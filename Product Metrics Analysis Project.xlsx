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boarding_funnel_dataset" sheetId="1" r:id="rId5"/>
    <sheet state="visible" name="purchases" sheetId="2" r:id="rId6"/>
    <sheet state="visible" name="dau" sheetId="3" r:id="rId7"/>
    <sheet state="visible" name="wau" sheetId="4" r:id="rId8"/>
    <sheet state="visible" name="mau" sheetId="5" r:id="rId9"/>
    <sheet state="visible" name="key insights" sheetId="6" r:id="rId10"/>
  </sheets>
  <definedNames/>
  <calcPr/>
</workbook>
</file>

<file path=xl/sharedStrings.xml><?xml version="1.0" encoding="utf-8"?>
<sst xmlns="http://schemas.openxmlformats.org/spreadsheetml/2006/main" count="12236" uniqueCount="32">
  <si>
    <t>user_id</t>
  </si>
  <si>
    <t>timestamp</t>
  </si>
  <si>
    <t>event</t>
  </si>
  <si>
    <t>registration</t>
  </si>
  <si>
    <t>profile_completed</t>
  </si>
  <si>
    <t>view_product</t>
  </si>
  <si>
    <t>purchase</t>
  </si>
  <si>
    <t>add_to_cart</t>
  </si>
  <si>
    <t>date</t>
  </si>
  <si>
    <t>week_start</t>
  </si>
  <si>
    <t>month_start</t>
  </si>
  <si>
    <t>Date</t>
  </si>
  <si>
    <t>DAU</t>
  </si>
  <si>
    <t>Month_start</t>
  </si>
  <si>
    <t>Week</t>
  </si>
  <si>
    <t>WAU</t>
  </si>
  <si>
    <t>Month</t>
  </si>
  <si>
    <t>MAU</t>
  </si>
  <si>
    <t>Average DAU</t>
  </si>
  <si>
    <t>Average WAU</t>
  </si>
  <si>
    <t>DAU/MAU</t>
  </si>
  <si>
    <t>WAU/MAU</t>
  </si>
  <si>
    <t>Metric</t>
  </si>
  <si>
    <t>Key Insight</t>
  </si>
  <si>
    <t>MAU peak</t>
  </si>
  <si>
    <t>Highest in March</t>
  </si>
  <si>
    <t>DAU trend</t>
  </si>
  <si>
    <t>Stable over time</t>
  </si>
  <si>
    <t>WAU trend</t>
  </si>
  <si>
    <t>Slight decline</t>
  </si>
  <si>
    <t>Stickiness</t>
  </si>
  <si>
    <t>Low daily engagement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</si>
</sst>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&quot;-&quot;mm&quot;-&quot;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9.0"/>
      <color rgb="FFCC0000"/>
      <name val="Arial"/>
    </font>
  </fonts>
  <fills count="2">
    <fill>
      <patternFill patternType="none"/>
    </fill>
    <fill>
      <patternFill patternType="lightGray"/>
    </fill>
  </fills>
  <borders count="7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1" numFmtId="165" xfId="0" applyAlignment="1" applyFont="1" applyNumberForma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0" fillId="0" fontId="2" numFmtId="165" xfId="0" applyFont="1" applyNumberFormat="1"/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4" fillId="0" fontId="2" numFmtId="165" xfId="0" applyAlignment="1" applyBorder="1" applyFont="1" applyNumberFormat="1">
      <alignment horizontal="center"/>
    </xf>
    <xf borderId="5" fillId="0" fontId="2" numFmtId="0" xfId="0" applyAlignment="1" applyBorder="1" applyFont="1">
      <alignment horizontal="center"/>
    </xf>
    <xf borderId="6" fillId="0" fontId="2" numFmtId="165" xfId="0" applyAlignment="1" applyBorder="1" applyFont="1" applyNumberFormat="1">
      <alignment horizontal="center"/>
    </xf>
    <xf borderId="5" fillId="0" fontId="2" numFmtId="4" xfId="0" applyAlignment="1" applyBorder="1" applyFont="1" applyNumberFormat="1">
      <alignment horizontal="center"/>
    </xf>
    <xf borderId="6" fillId="0" fontId="2" numFmtId="4" xfId="0" applyAlignment="1" applyBorder="1" applyFont="1" applyNumberFormat="1">
      <alignment horizontal="center"/>
    </xf>
    <xf borderId="0" fillId="0" fontId="3" numFmtId="0" xfId="0" applyAlignment="1" applyFont="1">
      <alignment horizontal="center" vertical="bottom"/>
    </xf>
    <xf borderId="0" fillId="0" fontId="2" numFmtId="4" xfId="0" applyAlignment="1" applyFont="1" applyNumberFormat="1">
      <alignment horizontal="center"/>
    </xf>
    <xf borderId="0" fillId="0" fontId="2" numFmtId="0" xfId="0" applyAlignment="1" applyFont="1">
      <alignment readingOrder="0"/>
    </xf>
    <xf borderId="0" fillId="0" fontId="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DAU timeline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dau!$B$1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E06666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dau!$A$2:$A$190</c:f>
            </c:strRef>
          </c:cat>
          <c:val>
            <c:numRef>
              <c:f>dau!$B$2:$B$190</c:f>
              <c:numCache/>
            </c:numRef>
          </c:val>
          <c:smooth val="0"/>
        </c:ser>
        <c:axId val="1187977989"/>
        <c:axId val="1385732370"/>
      </c:lineChart>
      <c:catAx>
        <c:axId val="11879779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5732370"/>
      </c:catAx>
      <c:valAx>
        <c:axId val="13857323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79779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WAU timeline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wau!$B$1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E06666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wau!$A$2:$A$29</c:f>
            </c:strRef>
          </c:cat>
          <c:val>
            <c:numRef>
              <c:f>wau!$B$2:$B$29</c:f>
              <c:numCache/>
            </c:numRef>
          </c:val>
          <c:smooth val="0"/>
        </c:ser>
        <c:axId val="630506437"/>
        <c:axId val="1380857957"/>
      </c:lineChart>
      <c:catAx>
        <c:axId val="6305064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0857957"/>
      </c:catAx>
      <c:valAx>
        <c:axId val="13808579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05064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MAU timeline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mau!$B$1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E06666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mau!$A$2:$A$8</c:f>
            </c:strRef>
          </c:cat>
          <c:val>
            <c:numRef>
              <c:f>mau!$B$2:$B$8</c:f>
              <c:numCache/>
            </c:numRef>
          </c:val>
          <c:smooth val="0"/>
        </c:ser>
        <c:axId val="1392461504"/>
        <c:axId val="264421656"/>
      </c:lineChart>
      <c:catAx>
        <c:axId val="1392461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4421656"/>
      </c:catAx>
      <c:valAx>
        <c:axId val="2644216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24615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Stickiness timeline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mau!$E$1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mau!$A$2:$A$9</c:f>
            </c:strRef>
          </c:cat>
          <c:val>
            <c:numRef>
              <c:f>mau!$E$2:$E$9</c:f>
              <c:numCache/>
            </c:numRef>
          </c:val>
          <c:smooth val="0"/>
        </c:ser>
        <c:ser>
          <c:idx val="1"/>
          <c:order val="1"/>
          <c:tx>
            <c:strRef>
              <c:f>mau!$F$1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mau!$A$2:$A$9</c:f>
            </c:strRef>
          </c:cat>
          <c:val>
            <c:numRef>
              <c:f>mau!$F$2:$F$9</c:f>
              <c:numCache/>
            </c:numRef>
          </c:val>
          <c:smooth val="0"/>
        </c:ser>
        <c:axId val="1476152196"/>
        <c:axId val="119278179"/>
      </c:lineChart>
      <c:catAx>
        <c:axId val="14761521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278179"/>
      </c:catAx>
      <c:valAx>
        <c:axId val="1192781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61521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3810000" cy="23622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942975</xdr:colOff>
      <xdr:row>0</xdr:row>
      <xdr:rowOff>190500</xdr:rowOff>
    </xdr:from>
    <xdr:ext cx="3829050" cy="23622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9525</xdr:rowOff>
    </xdr:from>
    <xdr:ext cx="3876675" cy="2390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952500</xdr:colOff>
      <xdr:row>9</xdr:row>
      <xdr:rowOff>171450</xdr:rowOff>
    </xdr:from>
    <xdr:ext cx="3981450" cy="24669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6.5"/>
    <col customWidth="1" min="3" max="3" width="14.13"/>
  </cols>
  <sheetData>
    <row r="1">
      <c r="A1" s="1" t="s">
        <v>0</v>
      </c>
      <c r="B1" s="1" t="s">
        <v>1</v>
      </c>
      <c r="C1" s="1" t="s">
        <v>2</v>
      </c>
      <c r="D1" s="2"/>
      <c r="E1" s="2"/>
    </row>
    <row r="2">
      <c r="A2" s="3">
        <v>5186.0</v>
      </c>
      <c r="B2" s="4">
        <v>45292.053877314815</v>
      </c>
      <c r="C2" s="3" t="s">
        <v>3</v>
      </c>
    </row>
    <row r="3">
      <c r="A3" s="3">
        <v>1087.0</v>
      </c>
      <c r="B3" s="4">
        <v>45292.110925925925</v>
      </c>
      <c r="C3" s="3" t="s">
        <v>3</v>
      </c>
    </row>
    <row r="4">
      <c r="A4" s="3">
        <v>6536.0</v>
      </c>
      <c r="B4" s="4">
        <v>45292.1471875</v>
      </c>
      <c r="C4" s="3" t="s">
        <v>3</v>
      </c>
    </row>
    <row r="5">
      <c r="A5" s="3">
        <v>3273.0</v>
      </c>
      <c r="B5" s="4">
        <v>45292.15226851852</v>
      </c>
      <c r="C5" s="3" t="s">
        <v>3</v>
      </c>
    </row>
    <row r="6">
      <c r="A6" s="3">
        <v>7437.0</v>
      </c>
      <c r="B6" s="4">
        <v>45292.158055555556</v>
      </c>
      <c r="C6" s="3" t="s">
        <v>3</v>
      </c>
    </row>
    <row r="7">
      <c r="A7" s="3">
        <v>467.0</v>
      </c>
      <c r="B7" s="4">
        <v>45292.17701388889</v>
      </c>
      <c r="C7" s="3" t="s">
        <v>3</v>
      </c>
    </row>
    <row r="8">
      <c r="A8" s="3">
        <v>4490.0</v>
      </c>
      <c r="B8" s="4">
        <v>45292.20302083333</v>
      </c>
      <c r="C8" s="3" t="s">
        <v>3</v>
      </c>
    </row>
    <row r="9">
      <c r="A9" s="3">
        <v>1967.0</v>
      </c>
      <c r="B9" s="4">
        <v>45292.243125</v>
      </c>
      <c r="C9" s="3" t="s">
        <v>3</v>
      </c>
    </row>
    <row r="10">
      <c r="A10" s="3">
        <v>3419.0</v>
      </c>
      <c r="B10" s="4">
        <v>45292.26789351852</v>
      </c>
      <c r="C10" s="3" t="s">
        <v>3</v>
      </c>
    </row>
    <row r="11">
      <c r="A11" s="3">
        <v>7246.0</v>
      </c>
      <c r="B11" s="4">
        <v>45292.287986111114</v>
      </c>
      <c r="C11" s="3" t="s">
        <v>4</v>
      </c>
    </row>
    <row r="12">
      <c r="A12" s="3">
        <v>2169.0</v>
      </c>
      <c r="B12" s="4">
        <v>45292.30200231481</v>
      </c>
      <c r="C12" s="3" t="s">
        <v>3</v>
      </c>
    </row>
    <row r="13">
      <c r="A13" s="3">
        <v>6275.0</v>
      </c>
      <c r="B13" s="4">
        <v>45292.30734953703</v>
      </c>
      <c r="C13" s="3" t="s">
        <v>3</v>
      </c>
    </row>
    <row r="14">
      <c r="A14" s="3">
        <v>5888.0</v>
      </c>
      <c r="B14" s="4">
        <v>45292.310694444444</v>
      </c>
      <c r="C14" s="3" t="s">
        <v>3</v>
      </c>
    </row>
    <row r="15">
      <c r="A15" s="3">
        <v>4152.0</v>
      </c>
      <c r="B15" s="4">
        <v>45292.3659375</v>
      </c>
      <c r="C15" s="3" t="s">
        <v>3</v>
      </c>
    </row>
    <row r="16">
      <c r="A16" s="3">
        <v>510.0</v>
      </c>
      <c r="B16" s="4">
        <v>45292.373773148145</v>
      </c>
      <c r="C16" s="3" t="s">
        <v>5</v>
      </c>
    </row>
    <row r="17">
      <c r="A17" s="3">
        <v>5646.0</v>
      </c>
      <c r="B17" s="4">
        <v>45292.43707175926</v>
      </c>
      <c r="C17" s="3" t="s">
        <v>3</v>
      </c>
    </row>
    <row r="18">
      <c r="A18" s="3">
        <v>7937.0</v>
      </c>
      <c r="B18" s="4">
        <v>45292.45444444445</v>
      </c>
      <c r="C18" s="3" t="s">
        <v>3</v>
      </c>
    </row>
    <row r="19">
      <c r="A19" s="3">
        <v>7602.0</v>
      </c>
      <c r="B19" s="4">
        <v>45292.457037037035</v>
      </c>
      <c r="C19" s="3" t="s">
        <v>3</v>
      </c>
    </row>
    <row r="20">
      <c r="A20" s="3">
        <v>1374.0</v>
      </c>
      <c r="B20" s="4">
        <v>45292.46527777778</v>
      </c>
      <c r="C20" s="3" t="s">
        <v>3</v>
      </c>
    </row>
    <row r="21">
      <c r="A21" s="3">
        <v>4070.0</v>
      </c>
      <c r="B21" s="4">
        <v>45292.49015046296</v>
      </c>
      <c r="C21" s="3" t="s">
        <v>3</v>
      </c>
    </row>
    <row r="22">
      <c r="A22" s="3">
        <v>2405.0</v>
      </c>
      <c r="B22" s="4">
        <v>45292.55368055555</v>
      </c>
      <c r="C22" s="3" t="s">
        <v>3</v>
      </c>
    </row>
    <row r="23">
      <c r="A23" s="3">
        <v>7536.0</v>
      </c>
      <c r="B23" s="4">
        <v>45292.63719907407</v>
      </c>
      <c r="C23" s="3" t="s">
        <v>3</v>
      </c>
    </row>
    <row r="24">
      <c r="A24" s="3">
        <v>7254.0</v>
      </c>
      <c r="B24" s="4">
        <v>45292.64282407407</v>
      </c>
      <c r="C24" s="3" t="s">
        <v>3</v>
      </c>
    </row>
    <row r="25">
      <c r="A25" s="3">
        <v>3619.0</v>
      </c>
      <c r="B25" s="4">
        <v>45292.64368055556</v>
      </c>
      <c r="C25" s="3" t="s">
        <v>3</v>
      </c>
    </row>
    <row r="26">
      <c r="A26" s="3">
        <v>7602.0</v>
      </c>
      <c r="B26" s="4">
        <v>45292.699849537035</v>
      </c>
      <c r="C26" s="3" t="s">
        <v>4</v>
      </c>
    </row>
    <row r="27">
      <c r="A27" s="3">
        <v>7246.0</v>
      </c>
      <c r="B27" s="4">
        <v>45292.70744212963</v>
      </c>
      <c r="C27" s="3" t="s">
        <v>3</v>
      </c>
    </row>
    <row r="28">
      <c r="A28" s="3">
        <v>1967.0</v>
      </c>
      <c r="B28" s="4">
        <v>45292.724965277775</v>
      </c>
      <c r="C28" s="3" t="s">
        <v>4</v>
      </c>
    </row>
    <row r="29">
      <c r="A29" s="3">
        <v>510.0</v>
      </c>
      <c r="B29" s="4">
        <v>45292.75457175926</v>
      </c>
      <c r="C29" s="3" t="s">
        <v>3</v>
      </c>
    </row>
    <row r="30">
      <c r="A30" s="3">
        <v>4490.0</v>
      </c>
      <c r="B30" s="4">
        <v>45292.807175925926</v>
      </c>
      <c r="C30" s="3" t="s">
        <v>4</v>
      </c>
    </row>
    <row r="31">
      <c r="A31" s="3">
        <v>2387.0</v>
      </c>
      <c r="B31" s="4">
        <v>45292.863599537035</v>
      </c>
      <c r="C31" s="3" t="s">
        <v>3</v>
      </c>
    </row>
    <row r="32">
      <c r="A32" s="3">
        <v>211.0</v>
      </c>
      <c r="B32" s="4">
        <v>45292.86372685185</v>
      </c>
      <c r="C32" s="3" t="s">
        <v>3</v>
      </c>
    </row>
    <row r="33">
      <c r="A33" s="3">
        <v>2871.0</v>
      </c>
      <c r="B33" s="4">
        <v>45292.94238425926</v>
      </c>
      <c r="C33" s="3" t="s">
        <v>3</v>
      </c>
    </row>
    <row r="34">
      <c r="A34" s="3">
        <v>4807.0</v>
      </c>
      <c r="B34" s="4">
        <v>45292.995729166665</v>
      </c>
      <c r="C34" s="3" t="s">
        <v>3</v>
      </c>
    </row>
    <row r="35">
      <c r="A35" s="3">
        <v>6882.0</v>
      </c>
      <c r="B35" s="4">
        <v>45292.99886574074</v>
      </c>
      <c r="C35" s="3" t="s">
        <v>3</v>
      </c>
    </row>
    <row r="36">
      <c r="A36" s="3">
        <v>3533.0</v>
      </c>
      <c r="B36" s="4">
        <v>45293.03256944445</v>
      </c>
      <c r="C36" s="3" t="s">
        <v>3</v>
      </c>
    </row>
    <row r="37">
      <c r="A37" s="3">
        <v>5872.0</v>
      </c>
      <c r="B37" s="4">
        <v>45293.08886574074</v>
      </c>
      <c r="C37" s="3" t="s">
        <v>4</v>
      </c>
    </row>
    <row r="38">
      <c r="A38" s="3">
        <v>6868.0</v>
      </c>
      <c r="B38" s="4">
        <v>45293.0925462963</v>
      </c>
      <c r="C38" s="3" t="s">
        <v>3</v>
      </c>
    </row>
    <row r="39">
      <c r="A39" s="3">
        <v>2993.0</v>
      </c>
      <c r="B39" s="4">
        <v>45293.10223379629</v>
      </c>
      <c r="C39" s="3" t="s">
        <v>3</v>
      </c>
    </row>
    <row r="40">
      <c r="A40" s="3">
        <v>6156.0</v>
      </c>
      <c r="B40" s="4">
        <v>45293.11256944444</v>
      </c>
      <c r="C40" s="3" t="s">
        <v>3</v>
      </c>
    </row>
    <row r="41">
      <c r="A41" s="3">
        <v>3632.0</v>
      </c>
      <c r="B41" s="4">
        <v>45293.11491898148</v>
      </c>
      <c r="C41" s="3" t="s">
        <v>3</v>
      </c>
    </row>
    <row r="42">
      <c r="A42" s="3">
        <v>6275.0</v>
      </c>
      <c r="B42" s="4">
        <v>45293.130266203705</v>
      </c>
      <c r="C42" s="3" t="s">
        <v>4</v>
      </c>
    </row>
    <row r="43">
      <c r="A43" s="3">
        <v>5186.0</v>
      </c>
      <c r="B43" s="4">
        <v>45293.13545138889</v>
      </c>
      <c r="C43" s="3" t="s">
        <v>4</v>
      </c>
    </row>
    <row r="44">
      <c r="A44" s="3">
        <v>5060.0</v>
      </c>
      <c r="B44" s="4">
        <v>45293.140543981484</v>
      </c>
      <c r="C44" s="3" t="s">
        <v>3</v>
      </c>
    </row>
    <row r="45">
      <c r="A45" s="3">
        <v>3432.0</v>
      </c>
      <c r="B45" s="4">
        <v>45293.21659722222</v>
      </c>
      <c r="C45" s="3" t="s">
        <v>3</v>
      </c>
    </row>
    <row r="46">
      <c r="A46" s="3">
        <v>6920.0</v>
      </c>
      <c r="B46" s="4">
        <v>45293.228541666664</v>
      </c>
      <c r="C46" s="3" t="s">
        <v>3</v>
      </c>
    </row>
    <row r="47">
      <c r="A47" s="3">
        <v>2570.0</v>
      </c>
      <c r="B47" s="4">
        <v>45293.23605324074</v>
      </c>
      <c r="C47" s="3" t="s">
        <v>3</v>
      </c>
    </row>
    <row r="48">
      <c r="A48" s="3">
        <v>6536.0</v>
      </c>
      <c r="B48" s="4">
        <v>45293.24061342593</v>
      </c>
      <c r="C48" s="3" t="s">
        <v>6</v>
      </c>
    </row>
    <row r="49">
      <c r="A49" s="3">
        <v>7263.0</v>
      </c>
      <c r="B49" s="4">
        <v>45293.247395833336</v>
      </c>
      <c r="C49" s="3" t="s">
        <v>3</v>
      </c>
    </row>
    <row r="50">
      <c r="A50" s="3">
        <v>6920.0</v>
      </c>
      <c r="B50" s="4">
        <v>45293.3308912037</v>
      </c>
      <c r="C50" s="3" t="s">
        <v>4</v>
      </c>
    </row>
    <row r="51">
      <c r="A51" s="3">
        <v>5781.0</v>
      </c>
      <c r="B51" s="4">
        <v>45293.34626157407</v>
      </c>
      <c r="C51" s="3" t="s">
        <v>3</v>
      </c>
    </row>
    <row r="52">
      <c r="A52" s="3">
        <v>6666.0</v>
      </c>
      <c r="B52" s="4">
        <v>45293.395532407405</v>
      </c>
      <c r="C52" s="3" t="s">
        <v>3</v>
      </c>
    </row>
    <row r="53">
      <c r="A53" s="3">
        <v>2011.0</v>
      </c>
      <c r="B53" s="4">
        <v>45293.4458912037</v>
      </c>
      <c r="C53" s="3" t="s">
        <v>3</v>
      </c>
    </row>
    <row r="54">
      <c r="A54" s="3">
        <v>4428.0</v>
      </c>
      <c r="B54" s="4">
        <v>45293.48805555556</v>
      </c>
      <c r="C54" s="3" t="s">
        <v>3</v>
      </c>
    </row>
    <row r="55">
      <c r="A55" s="3">
        <v>6130.0</v>
      </c>
      <c r="B55" s="4">
        <v>45293.500613425924</v>
      </c>
      <c r="C55" s="3" t="s">
        <v>4</v>
      </c>
    </row>
    <row r="56">
      <c r="A56" s="3">
        <v>7437.0</v>
      </c>
      <c r="B56" s="4">
        <v>45293.5727662037</v>
      </c>
      <c r="C56" s="3" t="s">
        <v>4</v>
      </c>
    </row>
    <row r="57">
      <c r="A57" s="3">
        <v>6536.0</v>
      </c>
      <c r="B57" s="4">
        <v>45293.59457175926</v>
      </c>
      <c r="C57" s="3" t="s">
        <v>4</v>
      </c>
    </row>
    <row r="58">
      <c r="A58" s="3">
        <v>1664.0</v>
      </c>
      <c r="B58" s="4">
        <v>45293.60438657407</v>
      </c>
      <c r="C58" s="3" t="s">
        <v>3</v>
      </c>
    </row>
    <row r="59">
      <c r="A59" s="3">
        <v>2871.0</v>
      </c>
      <c r="B59" s="4">
        <v>45293.69960648148</v>
      </c>
      <c r="C59" s="3" t="s">
        <v>4</v>
      </c>
    </row>
    <row r="60">
      <c r="A60" s="3">
        <v>7649.0</v>
      </c>
      <c r="B60" s="4">
        <v>45293.732037037036</v>
      </c>
      <c r="C60" s="3" t="s">
        <v>3</v>
      </c>
    </row>
    <row r="61">
      <c r="A61" s="3">
        <v>2570.0</v>
      </c>
      <c r="B61" s="4">
        <v>45293.76219907407</v>
      </c>
      <c r="C61" s="3" t="s">
        <v>4</v>
      </c>
    </row>
    <row r="62">
      <c r="A62" s="3">
        <v>7602.0</v>
      </c>
      <c r="B62" s="4">
        <v>45293.76914351852</v>
      </c>
      <c r="C62" s="3" t="s">
        <v>5</v>
      </c>
    </row>
    <row r="63">
      <c r="A63" s="3">
        <v>7602.0</v>
      </c>
      <c r="B63" s="4">
        <v>45293.78288194445</v>
      </c>
      <c r="C63" s="3" t="s">
        <v>7</v>
      </c>
    </row>
    <row r="64">
      <c r="A64" s="3">
        <v>5888.0</v>
      </c>
      <c r="B64" s="4">
        <v>45293.80081018519</v>
      </c>
      <c r="C64" s="3" t="s">
        <v>4</v>
      </c>
    </row>
    <row r="65">
      <c r="A65" s="3">
        <v>2405.0</v>
      </c>
      <c r="B65" s="4">
        <v>45293.827835648146</v>
      </c>
      <c r="C65" s="3" t="s">
        <v>4</v>
      </c>
    </row>
    <row r="66">
      <c r="A66" s="3">
        <v>5872.0</v>
      </c>
      <c r="B66" s="4">
        <v>45293.831921296296</v>
      </c>
      <c r="C66" s="3" t="s">
        <v>3</v>
      </c>
    </row>
    <row r="67">
      <c r="A67" s="3">
        <v>4251.0</v>
      </c>
      <c r="B67" s="4">
        <v>45293.856516203705</v>
      </c>
      <c r="C67" s="3" t="s">
        <v>3</v>
      </c>
    </row>
    <row r="68">
      <c r="A68" s="3">
        <v>6571.0</v>
      </c>
      <c r="B68" s="4">
        <v>45293.879965277774</v>
      </c>
      <c r="C68" s="3" t="s">
        <v>3</v>
      </c>
    </row>
    <row r="69">
      <c r="A69" s="3">
        <v>5565.0</v>
      </c>
      <c r="B69" s="4">
        <v>45293.886041666665</v>
      </c>
      <c r="C69" s="3" t="s">
        <v>3</v>
      </c>
    </row>
    <row r="70">
      <c r="A70" s="3">
        <v>5828.0</v>
      </c>
      <c r="B70" s="4">
        <v>45293.931296296294</v>
      </c>
      <c r="C70" s="3" t="s">
        <v>3</v>
      </c>
    </row>
    <row r="71">
      <c r="A71" s="3">
        <v>6130.0</v>
      </c>
      <c r="B71" s="4">
        <v>45293.93753472222</v>
      </c>
      <c r="C71" s="3" t="s">
        <v>3</v>
      </c>
    </row>
    <row r="72">
      <c r="A72" s="3">
        <v>5828.0</v>
      </c>
      <c r="B72" s="4">
        <v>45293.94327546296</v>
      </c>
      <c r="C72" s="3" t="s">
        <v>5</v>
      </c>
    </row>
    <row r="73">
      <c r="A73" s="3">
        <v>7337.0</v>
      </c>
      <c r="B73" s="4">
        <v>45294.004212962966</v>
      </c>
      <c r="C73" s="3" t="s">
        <v>3</v>
      </c>
    </row>
    <row r="74">
      <c r="A74" s="3">
        <v>7967.0</v>
      </c>
      <c r="B74" s="4">
        <v>45294.016539351855</v>
      </c>
      <c r="C74" s="3" t="s">
        <v>3</v>
      </c>
    </row>
    <row r="75">
      <c r="A75" s="3">
        <v>6019.0</v>
      </c>
      <c r="B75" s="4">
        <v>45294.03905092592</v>
      </c>
      <c r="C75" s="3" t="s">
        <v>4</v>
      </c>
    </row>
    <row r="76">
      <c r="A76" s="3">
        <v>7489.0</v>
      </c>
      <c r="B76" s="4">
        <v>45294.04392361111</v>
      </c>
      <c r="C76" s="3" t="s">
        <v>3</v>
      </c>
    </row>
    <row r="77">
      <c r="A77" s="3">
        <v>4797.0</v>
      </c>
      <c r="B77" s="4">
        <v>45294.04913194444</v>
      </c>
      <c r="C77" s="3" t="s">
        <v>5</v>
      </c>
    </row>
    <row r="78">
      <c r="A78" s="3">
        <v>7058.0</v>
      </c>
      <c r="B78" s="4">
        <v>45294.05064814815</v>
      </c>
      <c r="C78" s="3" t="s">
        <v>3</v>
      </c>
    </row>
    <row r="79">
      <c r="A79" s="3">
        <v>6829.0</v>
      </c>
      <c r="B79" s="4">
        <v>45294.056863425925</v>
      </c>
      <c r="C79" s="3" t="s">
        <v>3</v>
      </c>
    </row>
    <row r="80">
      <c r="A80" s="3">
        <v>965.0</v>
      </c>
      <c r="B80" s="4">
        <v>45294.06605324074</v>
      </c>
      <c r="C80" s="3" t="s">
        <v>3</v>
      </c>
    </row>
    <row r="81">
      <c r="A81" s="3">
        <v>7643.0</v>
      </c>
      <c r="B81" s="4">
        <v>45294.06851851852</v>
      </c>
      <c r="C81" s="3" t="s">
        <v>3</v>
      </c>
    </row>
    <row r="82">
      <c r="A82" s="3">
        <v>3255.0</v>
      </c>
      <c r="B82" s="4">
        <v>45294.07792824074</v>
      </c>
      <c r="C82" s="3" t="s">
        <v>3</v>
      </c>
    </row>
    <row r="83">
      <c r="A83" s="3">
        <v>4772.0</v>
      </c>
      <c r="B83" s="4">
        <v>45294.085752314815</v>
      </c>
      <c r="C83" s="3" t="s">
        <v>4</v>
      </c>
    </row>
    <row r="84">
      <c r="A84" s="3">
        <v>209.0</v>
      </c>
      <c r="B84" s="4">
        <v>45294.12930555556</v>
      </c>
      <c r="C84" s="3" t="s">
        <v>3</v>
      </c>
    </row>
    <row r="85">
      <c r="A85" s="3">
        <v>510.0</v>
      </c>
      <c r="B85" s="4">
        <v>45294.13836805556</v>
      </c>
      <c r="C85" s="3" t="s">
        <v>6</v>
      </c>
    </row>
    <row r="86">
      <c r="A86" s="3">
        <v>3273.0</v>
      </c>
      <c r="B86" s="4">
        <v>45294.13836805556</v>
      </c>
      <c r="C86" s="3" t="s">
        <v>4</v>
      </c>
    </row>
    <row r="87">
      <c r="A87" s="3">
        <v>4772.0</v>
      </c>
      <c r="B87" s="4">
        <v>45294.164456018516</v>
      </c>
      <c r="C87" s="3" t="s">
        <v>3</v>
      </c>
    </row>
    <row r="88">
      <c r="A88" s="3">
        <v>5872.0</v>
      </c>
      <c r="B88" s="4">
        <v>45294.180185185185</v>
      </c>
      <c r="C88" s="3" t="s">
        <v>6</v>
      </c>
    </row>
    <row r="89">
      <c r="A89" s="3">
        <v>6921.0</v>
      </c>
      <c r="B89" s="4">
        <v>45294.187418981484</v>
      </c>
      <c r="C89" s="3" t="s">
        <v>3</v>
      </c>
    </row>
    <row r="90">
      <c r="A90" s="3">
        <v>5489.0</v>
      </c>
      <c r="B90" s="4">
        <v>45294.19170138889</v>
      </c>
      <c r="C90" s="3" t="s">
        <v>4</v>
      </c>
    </row>
    <row r="91">
      <c r="A91" s="3">
        <v>504.0</v>
      </c>
      <c r="B91" s="4">
        <v>45294.217141203706</v>
      </c>
      <c r="C91" s="3" t="s">
        <v>3</v>
      </c>
    </row>
    <row r="92">
      <c r="A92" s="3">
        <v>577.0</v>
      </c>
      <c r="B92" s="4">
        <v>45294.21789351852</v>
      </c>
      <c r="C92" s="3" t="s">
        <v>3</v>
      </c>
    </row>
    <row r="93">
      <c r="A93" s="3">
        <v>7811.0</v>
      </c>
      <c r="B93" s="4">
        <v>45294.22744212963</v>
      </c>
      <c r="C93" s="3" t="s">
        <v>4</v>
      </c>
    </row>
    <row r="94">
      <c r="A94" s="3">
        <v>1374.0</v>
      </c>
      <c r="B94" s="4">
        <v>45294.25085648148</v>
      </c>
      <c r="C94" s="3" t="s">
        <v>4</v>
      </c>
    </row>
    <row r="95">
      <c r="A95" s="3">
        <v>510.0</v>
      </c>
      <c r="B95" s="4">
        <v>45294.26478009259</v>
      </c>
      <c r="C95" s="3" t="s">
        <v>7</v>
      </c>
    </row>
    <row r="96">
      <c r="A96" s="3">
        <v>4032.0</v>
      </c>
      <c r="B96" s="4">
        <v>45294.294756944444</v>
      </c>
      <c r="C96" s="3" t="s">
        <v>3</v>
      </c>
    </row>
    <row r="97">
      <c r="A97" s="3">
        <v>2993.0</v>
      </c>
      <c r="B97" s="4">
        <v>45294.304085648146</v>
      </c>
      <c r="C97" s="3" t="s">
        <v>4</v>
      </c>
    </row>
    <row r="98">
      <c r="A98" s="3">
        <v>1704.0</v>
      </c>
      <c r="B98" s="4">
        <v>45294.31039351852</v>
      </c>
      <c r="C98" s="3" t="s">
        <v>3</v>
      </c>
    </row>
    <row r="99">
      <c r="A99" s="3">
        <v>7489.0</v>
      </c>
      <c r="B99" s="4">
        <v>45294.31795138889</v>
      </c>
      <c r="C99" s="3" t="s">
        <v>4</v>
      </c>
    </row>
    <row r="100">
      <c r="A100" s="3">
        <v>6019.0</v>
      </c>
      <c r="B100" s="4">
        <v>45294.377233796295</v>
      </c>
      <c r="C100" s="3" t="s">
        <v>3</v>
      </c>
    </row>
    <row r="101">
      <c r="A101" s="3">
        <v>4499.0</v>
      </c>
      <c r="B101" s="4">
        <v>45294.37946759259</v>
      </c>
      <c r="C101" s="3" t="s">
        <v>3</v>
      </c>
    </row>
    <row r="102">
      <c r="A102" s="3">
        <v>5781.0</v>
      </c>
      <c r="B102" s="4">
        <v>45294.38180555555</v>
      </c>
      <c r="C102" s="3" t="s">
        <v>5</v>
      </c>
    </row>
    <row r="103">
      <c r="A103" s="3">
        <v>1664.0</v>
      </c>
      <c r="B103" s="4">
        <v>45294.40222222222</v>
      </c>
      <c r="C103" s="3" t="s">
        <v>4</v>
      </c>
    </row>
    <row r="104">
      <c r="A104" s="3">
        <v>141.0</v>
      </c>
      <c r="B104" s="4">
        <v>45294.43481481481</v>
      </c>
      <c r="C104" s="3" t="s">
        <v>3</v>
      </c>
    </row>
    <row r="105">
      <c r="A105" s="3">
        <v>4321.0</v>
      </c>
      <c r="B105" s="4">
        <v>45294.4684837963</v>
      </c>
      <c r="C105" s="3" t="s">
        <v>4</v>
      </c>
    </row>
    <row r="106">
      <c r="A106" s="3">
        <v>4338.0</v>
      </c>
      <c r="B106" s="4">
        <v>45294.52476851852</v>
      </c>
      <c r="C106" s="3" t="s">
        <v>3</v>
      </c>
    </row>
    <row r="107">
      <c r="A107" s="3">
        <v>4797.0</v>
      </c>
      <c r="B107" s="4">
        <v>45294.542719907404</v>
      </c>
      <c r="C107" s="3" t="s">
        <v>3</v>
      </c>
    </row>
    <row r="108">
      <c r="A108" s="3">
        <v>4797.0</v>
      </c>
      <c r="B108" s="4">
        <v>45294.57019675926</v>
      </c>
      <c r="C108" s="3" t="s">
        <v>4</v>
      </c>
    </row>
    <row r="109">
      <c r="A109" s="3">
        <v>1314.0</v>
      </c>
      <c r="B109" s="4">
        <v>45294.57818287037</v>
      </c>
      <c r="C109" s="3" t="s">
        <v>3</v>
      </c>
    </row>
    <row r="110">
      <c r="A110" s="3">
        <v>7811.0</v>
      </c>
      <c r="B110" s="4">
        <v>45294.57875</v>
      </c>
      <c r="C110" s="3" t="s">
        <v>3</v>
      </c>
    </row>
    <row r="111">
      <c r="A111" s="3">
        <v>1058.0</v>
      </c>
      <c r="B111" s="4">
        <v>45294.59753472222</v>
      </c>
      <c r="C111" s="3" t="s">
        <v>5</v>
      </c>
    </row>
    <row r="112">
      <c r="A112" s="3">
        <v>2217.0</v>
      </c>
      <c r="B112" s="4">
        <v>45294.622824074075</v>
      </c>
      <c r="C112" s="3" t="s">
        <v>3</v>
      </c>
    </row>
    <row r="113">
      <c r="A113" s="3">
        <v>209.0</v>
      </c>
      <c r="B113" s="4">
        <v>45294.623715277776</v>
      </c>
      <c r="C113" s="3" t="s">
        <v>4</v>
      </c>
    </row>
    <row r="114">
      <c r="A114" s="3">
        <v>7807.0</v>
      </c>
      <c r="B114" s="4">
        <v>45294.627337962964</v>
      </c>
      <c r="C114" s="3" t="s">
        <v>3</v>
      </c>
    </row>
    <row r="115">
      <c r="A115" s="3">
        <v>577.0</v>
      </c>
      <c r="B115" s="4">
        <v>45294.660578703704</v>
      </c>
      <c r="C115" s="3" t="s">
        <v>5</v>
      </c>
    </row>
    <row r="116">
      <c r="A116" s="3">
        <v>6275.0</v>
      </c>
      <c r="B116" s="4">
        <v>45294.66270833334</v>
      </c>
      <c r="C116" s="3" t="s">
        <v>6</v>
      </c>
    </row>
    <row r="117">
      <c r="A117" s="3">
        <v>7937.0</v>
      </c>
      <c r="B117" s="4">
        <v>45294.727013888885</v>
      </c>
      <c r="C117" s="3" t="s">
        <v>4</v>
      </c>
    </row>
    <row r="118">
      <c r="A118" s="3">
        <v>510.0</v>
      </c>
      <c r="B118" s="4">
        <v>45294.73631944445</v>
      </c>
      <c r="C118" s="3" t="s">
        <v>4</v>
      </c>
    </row>
    <row r="119">
      <c r="A119" s="3">
        <v>6560.0</v>
      </c>
      <c r="B119" s="4">
        <v>45294.743738425925</v>
      </c>
      <c r="C119" s="3" t="s">
        <v>3</v>
      </c>
    </row>
    <row r="120">
      <c r="A120" s="3">
        <v>3533.0</v>
      </c>
      <c r="B120" s="4">
        <v>45294.75362268519</v>
      </c>
      <c r="C120" s="3" t="s">
        <v>7</v>
      </c>
    </row>
    <row r="121">
      <c r="A121" s="3">
        <v>211.0</v>
      </c>
      <c r="B121" s="4">
        <v>45294.76157407407</v>
      </c>
      <c r="C121" s="3" t="s">
        <v>4</v>
      </c>
    </row>
    <row r="122">
      <c r="A122" s="3">
        <v>3575.0</v>
      </c>
      <c r="B122" s="4">
        <v>45294.76461805555</v>
      </c>
      <c r="C122" s="3" t="s">
        <v>3</v>
      </c>
    </row>
    <row r="123">
      <c r="A123" s="3">
        <v>5828.0</v>
      </c>
      <c r="B123" s="4">
        <v>45294.80569444445</v>
      </c>
      <c r="C123" s="3" t="s">
        <v>4</v>
      </c>
    </row>
    <row r="124">
      <c r="A124" s="3">
        <v>5147.0</v>
      </c>
      <c r="B124" s="4">
        <v>45294.848703703705</v>
      </c>
      <c r="C124" s="3" t="s">
        <v>3</v>
      </c>
    </row>
    <row r="125">
      <c r="A125" s="3">
        <v>4321.0</v>
      </c>
      <c r="B125" s="4">
        <v>45294.90552083333</v>
      </c>
      <c r="C125" s="3" t="s">
        <v>3</v>
      </c>
    </row>
    <row r="126">
      <c r="A126" s="3">
        <v>3255.0</v>
      </c>
      <c r="B126" s="4">
        <v>45294.90696759259</v>
      </c>
      <c r="C126" s="3" t="s">
        <v>4</v>
      </c>
    </row>
    <row r="127">
      <c r="A127" s="3">
        <v>6536.0</v>
      </c>
      <c r="B127" s="4">
        <v>45294.91862268518</v>
      </c>
      <c r="C127" s="3" t="s">
        <v>5</v>
      </c>
    </row>
    <row r="128">
      <c r="A128" s="3">
        <v>3419.0</v>
      </c>
      <c r="B128" s="4">
        <v>45294.925833333335</v>
      </c>
      <c r="C128" s="3" t="s">
        <v>5</v>
      </c>
    </row>
    <row r="129">
      <c r="A129" s="3">
        <v>5489.0</v>
      </c>
      <c r="B129" s="4">
        <v>45294.93732638889</v>
      </c>
      <c r="C129" s="3" t="s">
        <v>3</v>
      </c>
    </row>
    <row r="130">
      <c r="A130" s="3">
        <v>5147.0</v>
      </c>
      <c r="B130" s="4">
        <v>45294.94850694444</v>
      </c>
      <c r="C130" s="3" t="s">
        <v>4</v>
      </c>
    </row>
    <row r="131">
      <c r="A131" s="3">
        <v>3221.0</v>
      </c>
      <c r="B131" s="4">
        <v>45294.94898148148</v>
      </c>
      <c r="C131" s="3" t="s">
        <v>3</v>
      </c>
    </row>
    <row r="132">
      <c r="A132" s="3">
        <v>1058.0</v>
      </c>
      <c r="B132" s="4">
        <v>45294.958391203705</v>
      </c>
      <c r="C132" s="3" t="s">
        <v>3</v>
      </c>
    </row>
    <row r="133">
      <c r="A133" s="3">
        <v>7950.0</v>
      </c>
      <c r="B133" s="4">
        <v>45294.96225694445</v>
      </c>
      <c r="C133" s="3" t="s">
        <v>3</v>
      </c>
    </row>
    <row r="134">
      <c r="A134" s="3">
        <v>2970.0</v>
      </c>
      <c r="B134" s="4">
        <v>45294.96925925926</v>
      </c>
      <c r="C134" s="3" t="s">
        <v>3</v>
      </c>
    </row>
    <row r="135">
      <c r="A135" s="3">
        <v>7003.0</v>
      </c>
      <c r="B135" s="4">
        <v>45295.00413194444</v>
      </c>
      <c r="C135" s="3" t="s">
        <v>3</v>
      </c>
    </row>
    <row r="136">
      <c r="A136" s="3">
        <v>5307.0</v>
      </c>
      <c r="B136" s="4">
        <v>45295.013344907406</v>
      </c>
      <c r="C136" s="3" t="s">
        <v>4</v>
      </c>
    </row>
    <row r="137">
      <c r="A137" s="3">
        <v>6612.0</v>
      </c>
      <c r="B137" s="4">
        <v>45295.02342592592</v>
      </c>
      <c r="C137" s="3" t="s">
        <v>3</v>
      </c>
    </row>
    <row r="138">
      <c r="A138" s="3">
        <v>5781.0</v>
      </c>
      <c r="B138" s="4">
        <v>45295.03008101852</v>
      </c>
      <c r="C138" s="3" t="s">
        <v>7</v>
      </c>
    </row>
    <row r="139">
      <c r="A139" s="3">
        <v>4512.0</v>
      </c>
      <c r="B139" s="4">
        <v>45295.03733796296</v>
      </c>
      <c r="C139" s="3" t="s">
        <v>3</v>
      </c>
    </row>
    <row r="140">
      <c r="A140" s="3">
        <v>3533.0</v>
      </c>
      <c r="B140" s="4">
        <v>45295.04394675926</v>
      </c>
      <c r="C140" s="3" t="s">
        <v>4</v>
      </c>
    </row>
    <row r="141">
      <c r="A141" s="3">
        <v>504.0</v>
      </c>
      <c r="B141" s="4">
        <v>45295.07178240741</v>
      </c>
      <c r="C141" s="3" t="s">
        <v>5</v>
      </c>
    </row>
    <row r="142">
      <c r="A142" s="3">
        <v>2229.0</v>
      </c>
      <c r="B142" s="4">
        <v>45295.08346064815</v>
      </c>
      <c r="C142" s="3" t="s">
        <v>3</v>
      </c>
    </row>
    <row r="143">
      <c r="A143" s="3">
        <v>504.0</v>
      </c>
      <c r="B143" s="4">
        <v>45295.09957175926</v>
      </c>
      <c r="C143" s="3" t="s">
        <v>4</v>
      </c>
    </row>
    <row r="144">
      <c r="A144" s="3">
        <v>1374.0</v>
      </c>
      <c r="B144" s="4">
        <v>45295.11927083333</v>
      </c>
      <c r="C144" s="3" t="s">
        <v>6</v>
      </c>
    </row>
    <row r="145">
      <c r="A145" s="3">
        <v>3155.0</v>
      </c>
      <c r="B145" s="4">
        <v>45295.14728009259</v>
      </c>
      <c r="C145" s="3" t="s">
        <v>3</v>
      </c>
    </row>
    <row r="146">
      <c r="A146" s="3">
        <v>7990.0</v>
      </c>
      <c r="B146" s="4">
        <v>45295.16903935185</v>
      </c>
      <c r="C146" s="3" t="s">
        <v>4</v>
      </c>
    </row>
    <row r="147">
      <c r="A147" s="3">
        <v>7649.0</v>
      </c>
      <c r="B147" s="4">
        <v>45295.18865740741</v>
      </c>
      <c r="C147" s="3" t="s">
        <v>4</v>
      </c>
    </row>
    <row r="148">
      <c r="A148" s="3">
        <v>5668.0</v>
      </c>
      <c r="B148" s="4">
        <v>45295.19222222222</v>
      </c>
      <c r="C148" s="3" t="s">
        <v>3</v>
      </c>
    </row>
    <row r="149">
      <c r="A149" s="3">
        <v>5565.0</v>
      </c>
      <c r="B149" s="4">
        <v>45295.20622685185</v>
      </c>
      <c r="C149" s="3" t="s">
        <v>5</v>
      </c>
    </row>
    <row r="150">
      <c r="A150" s="3">
        <v>7987.0</v>
      </c>
      <c r="B150" s="4">
        <v>45295.23887731481</v>
      </c>
      <c r="C150" s="3" t="s">
        <v>3</v>
      </c>
    </row>
    <row r="151">
      <c r="A151" s="3">
        <v>5565.0</v>
      </c>
      <c r="B151" s="4">
        <v>45295.23946759259</v>
      </c>
      <c r="C151" s="3" t="s">
        <v>4</v>
      </c>
    </row>
    <row r="152">
      <c r="A152" s="3">
        <v>1639.0</v>
      </c>
      <c r="B152" s="4">
        <v>45295.2533912037</v>
      </c>
      <c r="C152" s="3" t="s">
        <v>4</v>
      </c>
    </row>
    <row r="153">
      <c r="A153" s="3">
        <v>4032.0</v>
      </c>
      <c r="B153" s="4">
        <v>45295.25702546296</v>
      </c>
      <c r="C153" s="3" t="s">
        <v>4</v>
      </c>
    </row>
    <row r="154">
      <c r="A154" s="3">
        <v>504.0</v>
      </c>
      <c r="B154" s="4">
        <v>45295.2700462963</v>
      </c>
      <c r="C154" s="3" t="s">
        <v>6</v>
      </c>
    </row>
    <row r="155">
      <c r="A155" s="3">
        <v>6013.0</v>
      </c>
      <c r="B155" s="4">
        <v>45295.29494212963</v>
      </c>
      <c r="C155" s="3" t="s">
        <v>3</v>
      </c>
    </row>
    <row r="156">
      <c r="A156" s="3">
        <v>4490.0</v>
      </c>
      <c r="B156" s="4">
        <v>45295.297789351855</v>
      </c>
      <c r="C156" s="3" t="s">
        <v>5</v>
      </c>
    </row>
    <row r="157">
      <c r="A157" s="3">
        <v>1314.0</v>
      </c>
      <c r="B157" s="4">
        <v>45295.321851851855</v>
      </c>
      <c r="C157" s="3" t="s">
        <v>6</v>
      </c>
    </row>
    <row r="158">
      <c r="A158" s="3">
        <v>5888.0</v>
      </c>
      <c r="B158" s="4">
        <v>45295.34295138889</v>
      </c>
      <c r="C158" s="3" t="s">
        <v>6</v>
      </c>
    </row>
    <row r="159">
      <c r="A159" s="3">
        <v>6794.0</v>
      </c>
      <c r="B159" s="4">
        <v>45295.34747685185</v>
      </c>
      <c r="C159" s="3" t="s">
        <v>3</v>
      </c>
    </row>
    <row r="160">
      <c r="A160" s="3">
        <v>3419.0</v>
      </c>
      <c r="B160" s="4">
        <v>45295.361655092594</v>
      </c>
      <c r="C160" s="3" t="s">
        <v>7</v>
      </c>
    </row>
    <row r="161">
      <c r="A161" s="3">
        <v>7990.0</v>
      </c>
      <c r="B161" s="4">
        <v>45295.361666666664</v>
      </c>
      <c r="C161" s="3" t="s">
        <v>3</v>
      </c>
    </row>
    <row r="162">
      <c r="A162" s="3">
        <v>7800.0</v>
      </c>
      <c r="B162" s="4">
        <v>45295.36405092593</v>
      </c>
      <c r="C162" s="3" t="s">
        <v>3</v>
      </c>
    </row>
    <row r="163">
      <c r="A163" s="3">
        <v>5307.0</v>
      </c>
      <c r="B163" s="4">
        <v>45295.381006944444</v>
      </c>
      <c r="C163" s="3" t="s">
        <v>3</v>
      </c>
    </row>
    <row r="164">
      <c r="A164" s="3">
        <v>7987.0</v>
      </c>
      <c r="B164" s="4">
        <v>45295.396585648145</v>
      </c>
      <c r="C164" s="3" t="s">
        <v>4</v>
      </c>
    </row>
    <row r="165">
      <c r="A165" s="3">
        <v>3805.0</v>
      </c>
      <c r="B165" s="4">
        <v>45295.403182870374</v>
      </c>
      <c r="C165" s="3" t="s">
        <v>3</v>
      </c>
    </row>
    <row r="166">
      <c r="A166" s="3">
        <v>3910.0</v>
      </c>
      <c r="B166" s="4">
        <v>45295.40484953704</v>
      </c>
      <c r="C166" s="3" t="s">
        <v>3</v>
      </c>
    </row>
    <row r="167">
      <c r="A167" s="3">
        <v>418.0</v>
      </c>
      <c r="B167" s="4">
        <v>45295.45060185185</v>
      </c>
      <c r="C167" s="3" t="s">
        <v>3</v>
      </c>
    </row>
    <row r="168">
      <c r="A168" s="3">
        <v>1704.0</v>
      </c>
      <c r="B168" s="4">
        <v>45295.46834490741</v>
      </c>
      <c r="C168" s="3" t="s">
        <v>6</v>
      </c>
    </row>
    <row r="169">
      <c r="A169" s="3">
        <v>1943.0</v>
      </c>
      <c r="B169" s="4">
        <v>45295.47887731482</v>
      </c>
      <c r="C169" s="3" t="s">
        <v>3</v>
      </c>
    </row>
    <row r="170">
      <c r="A170" s="3">
        <v>7767.0</v>
      </c>
      <c r="B170" s="4">
        <v>45295.48268518518</v>
      </c>
      <c r="C170" s="3" t="s">
        <v>3</v>
      </c>
    </row>
    <row r="171">
      <c r="A171" s="3">
        <v>6575.0</v>
      </c>
      <c r="B171" s="4">
        <v>45295.522002314814</v>
      </c>
      <c r="C171" s="3" t="s">
        <v>3</v>
      </c>
    </row>
    <row r="172">
      <c r="A172" s="3">
        <v>2881.0</v>
      </c>
      <c r="B172" s="4">
        <v>45295.53886574074</v>
      </c>
      <c r="C172" s="3" t="s">
        <v>3</v>
      </c>
    </row>
    <row r="173">
      <c r="A173" s="3">
        <v>3575.0</v>
      </c>
      <c r="B173" s="4">
        <v>45295.58864583333</v>
      </c>
      <c r="C173" s="3" t="s">
        <v>6</v>
      </c>
    </row>
    <row r="174">
      <c r="A174" s="3">
        <v>1704.0</v>
      </c>
      <c r="B174" s="4">
        <v>45295.59243055555</v>
      </c>
      <c r="C174" s="3" t="s">
        <v>4</v>
      </c>
    </row>
    <row r="175">
      <c r="A175" s="3">
        <v>6522.0</v>
      </c>
      <c r="B175" s="4">
        <v>45295.59494212963</v>
      </c>
      <c r="C175" s="3" t="s">
        <v>3</v>
      </c>
    </row>
    <row r="176">
      <c r="A176" s="3">
        <v>1374.0</v>
      </c>
      <c r="B176" s="4">
        <v>45295.60114583333</v>
      </c>
      <c r="C176" s="3" t="s">
        <v>5</v>
      </c>
    </row>
    <row r="177">
      <c r="A177" s="3">
        <v>1639.0</v>
      </c>
      <c r="B177" s="4">
        <v>45295.61561342593</v>
      </c>
      <c r="C177" s="3" t="s">
        <v>3</v>
      </c>
    </row>
    <row r="178">
      <c r="A178" s="3">
        <v>4499.0</v>
      </c>
      <c r="B178" s="4">
        <v>45295.62143518519</v>
      </c>
      <c r="C178" s="3" t="s">
        <v>4</v>
      </c>
    </row>
    <row r="179">
      <c r="A179" s="3">
        <v>4694.0</v>
      </c>
      <c r="B179" s="4">
        <v>45295.629849537036</v>
      </c>
      <c r="C179" s="3" t="s">
        <v>3</v>
      </c>
    </row>
    <row r="180">
      <c r="A180" s="3">
        <v>3575.0</v>
      </c>
      <c r="B180" s="4">
        <v>45295.64706018518</v>
      </c>
      <c r="C180" s="3" t="s">
        <v>4</v>
      </c>
    </row>
    <row r="181">
      <c r="A181" s="3">
        <v>4772.0</v>
      </c>
      <c r="B181" s="4">
        <v>45295.66116898148</v>
      </c>
      <c r="C181" s="3" t="s">
        <v>5</v>
      </c>
    </row>
    <row r="182">
      <c r="A182" s="3">
        <v>6339.0</v>
      </c>
      <c r="B182" s="4">
        <v>45295.666446759256</v>
      </c>
      <c r="C182" s="3" t="s">
        <v>3</v>
      </c>
    </row>
    <row r="183">
      <c r="A183" s="3">
        <v>2852.0</v>
      </c>
      <c r="B183" s="4">
        <v>45295.696875</v>
      </c>
      <c r="C183" s="3" t="s">
        <v>3</v>
      </c>
    </row>
    <row r="184">
      <c r="A184" s="3">
        <v>6266.0</v>
      </c>
      <c r="B184" s="4">
        <v>45295.700208333335</v>
      </c>
      <c r="C184" s="3" t="s">
        <v>3</v>
      </c>
    </row>
    <row r="185">
      <c r="A185" s="3">
        <v>5397.0</v>
      </c>
      <c r="B185" s="4">
        <v>45295.70653935185</v>
      </c>
      <c r="C185" s="3" t="s">
        <v>3</v>
      </c>
    </row>
    <row r="186">
      <c r="A186" s="3">
        <v>4598.0</v>
      </c>
      <c r="B186" s="4">
        <v>45295.711226851854</v>
      </c>
      <c r="C186" s="3" t="s">
        <v>3</v>
      </c>
    </row>
    <row r="187">
      <c r="A187" s="3">
        <v>2833.0</v>
      </c>
      <c r="B187" s="4">
        <v>45295.716365740744</v>
      </c>
      <c r="C187" s="3" t="s">
        <v>3</v>
      </c>
    </row>
    <row r="188">
      <c r="A188" s="3">
        <v>5415.0</v>
      </c>
      <c r="B188" s="4">
        <v>45295.71637731481</v>
      </c>
      <c r="C188" s="3" t="s">
        <v>3</v>
      </c>
    </row>
    <row r="189">
      <c r="A189" s="3">
        <v>7489.0</v>
      </c>
      <c r="B189" s="4">
        <v>45295.72409722222</v>
      </c>
      <c r="C189" s="3" t="s">
        <v>7</v>
      </c>
    </row>
    <row r="190">
      <c r="A190" s="3">
        <v>4592.0</v>
      </c>
      <c r="B190" s="4">
        <v>45295.80700231482</v>
      </c>
      <c r="C190" s="3" t="s">
        <v>3</v>
      </c>
    </row>
    <row r="191">
      <c r="A191" s="3">
        <v>3906.0</v>
      </c>
      <c r="B191" s="4">
        <v>45295.846921296295</v>
      </c>
      <c r="C191" s="3" t="s">
        <v>3</v>
      </c>
    </row>
    <row r="192">
      <c r="A192" s="3">
        <v>5702.0</v>
      </c>
      <c r="B192" s="4">
        <v>45295.86162037037</v>
      </c>
      <c r="C192" s="3" t="s">
        <v>3</v>
      </c>
    </row>
    <row r="193">
      <c r="A193" s="3">
        <v>5565.0</v>
      </c>
      <c r="B193" s="4">
        <v>45295.871458333335</v>
      </c>
      <c r="C193" s="3" t="s">
        <v>6</v>
      </c>
    </row>
    <row r="194">
      <c r="A194" s="3">
        <v>7990.0</v>
      </c>
      <c r="B194" s="4">
        <v>45295.87400462963</v>
      </c>
      <c r="C194" s="3" t="s">
        <v>5</v>
      </c>
    </row>
    <row r="195">
      <c r="A195" s="3">
        <v>765.0</v>
      </c>
      <c r="B195" s="4">
        <v>45295.88725694444</v>
      </c>
      <c r="C195" s="3" t="s">
        <v>4</v>
      </c>
    </row>
    <row r="196">
      <c r="A196" s="3">
        <v>2562.0</v>
      </c>
      <c r="B196" s="4">
        <v>45295.92170138889</v>
      </c>
      <c r="C196" s="3" t="s">
        <v>3</v>
      </c>
    </row>
    <row r="197">
      <c r="A197" s="3">
        <v>211.0</v>
      </c>
      <c r="B197" s="4">
        <v>45295.93908564815</v>
      </c>
      <c r="C197" s="3" t="s">
        <v>6</v>
      </c>
    </row>
    <row r="198">
      <c r="A198" s="3">
        <v>254.0</v>
      </c>
      <c r="B198" s="4">
        <v>45295.95275462963</v>
      </c>
      <c r="C198" s="3" t="s">
        <v>3</v>
      </c>
    </row>
    <row r="199">
      <c r="A199" s="3">
        <v>4756.0</v>
      </c>
      <c r="B199" s="4">
        <v>45295.959027777775</v>
      </c>
      <c r="C199" s="3" t="s">
        <v>3</v>
      </c>
    </row>
    <row r="200">
      <c r="A200" s="3">
        <v>765.0</v>
      </c>
      <c r="B200" s="4">
        <v>45295.96028935185</v>
      </c>
      <c r="C200" s="3" t="s">
        <v>3</v>
      </c>
    </row>
    <row r="201">
      <c r="A201" s="3">
        <v>1214.0</v>
      </c>
      <c r="B201" s="4">
        <v>45295.96886574074</v>
      </c>
      <c r="C201" s="3" t="s">
        <v>3</v>
      </c>
    </row>
    <row r="202">
      <c r="A202" s="3">
        <v>6612.0</v>
      </c>
      <c r="B202" s="4">
        <v>45295.972858796296</v>
      </c>
      <c r="C202" s="3" t="s">
        <v>5</v>
      </c>
    </row>
    <row r="203">
      <c r="A203" s="3">
        <v>1738.0</v>
      </c>
      <c r="B203" s="4">
        <v>45295.97393518518</v>
      </c>
      <c r="C203" s="3" t="s">
        <v>3</v>
      </c>
    </row>
    <row r="204">
      <c r="A204" s="3">
        <v>2993.0</v>
      </c>
      <c r="B204" s="4">
        <v>45296.00564814815</v>
      </c>
      <c r="C204" s="3" t="s">
        <v>5</v>
      </c>
    </row>
    <row r="205">
      <c r="A205" s="3">
        <v>7074.0</v>
      </c>
      <c r="B205" s="4">
        <v>45296.04010416667</v>
      </c>
      <c r="C205" s="3" t="s">
        <v>3</v>
      </c>
    </row>
    <row r="206">
      <c r="A206" s="3">
        <v>211.0</v>
      </c>
      <c r="B206" s="4">
        <v>45296.04284722222</v>
      </c>
      <c r="C206" s="3" t="s">
        <v>5</v>
      </c>
    </row>
    <row r="207">
      <c r="A207" s="3">
        <v>7822.0</v>
      </c>
      <c r="B207" s="4">
        <v>45296.04483796296</v>
      </c>
      <c r="C207" s="3" t="s">
        <v>3</v>
      </c>
    </row>
    <row r="208">
      <c r="A208" s="3">
        <v>2538.0</v>
      </c>
      <c r="B208" s="4">
        <v>45296.05138888889</v>
      </c>
      <c r="C208" s="3" t="s">
        <v>3</v>
      </c>
    </row>
    <row r="209">
      <c r="A209" s="3">
        <v>1738.0</v>
      </c>
      <c r="B209" s="4">
        <v>45296.05336805555</v>
      </c>
      <c r="C209" s="3" t="s">
        <v>6</v>
      </c>
    </row>
    <row r="210">
      <c r="A210" s="3">
        <v>6522.0</v>
      </c>
      <c r="B210" s="4">
        <v>45296.08513888889</v>
      </c>
      <c r="C210" s="3" t="s">
        <v>6</v>
      </c>
    </row>
    <row r="211">
      <c r="A211" s="3">
        <v>639.0</v>
      </c>
      <c r="B211" s="4">
        <v>45296.08568287037</v>
      </c>
      <c r="C211" s="3" t="s">
        <v>3</v>
      </c>
    </row>
    <row r="212">
      <c r="A212" s="3">
        <v>4694.0</v>
      </c>
      <c r="B212" s="4">
        <v>45296.089467592596</v>
      </c>
      <c r="C212" s="3" t="s">
        <v>4</v>
      </c>
    </row>
    <row r="213">
      <c r="A213" s="3">
        <v>639.0</v>
      </c>
      <c r="B213" s="4">
        <v>45296.11201388889</v>
      </c>
      <c r="C213" s="3" t="s">
        <v>4</v>
      </c>
    </row>
    <row r="214">
      <c r="A214" s="3">
        <v>6536.0</v>
      </c>
      <c r="B214" s="4">
        <v>45296.11381944444</v>
      </c>
      <c r="C214" s="3" t="s">
        <v>7</v>
      </c>
    </row>
    <row r="215">
      <c r="A215" s="3">
        <v>4593.0</v>
      </c>
      <c r="B215" s="4">
        <v>45296.13783564815</v>
      </c>
      <c r="C215" s="3" t="s">
        <v>3</v>
      </c>
    </row>
    <row r="216">
      <c r="A216" s="3">
        <v>1943.0</v>
      </c>
      <c r="B216" s="4">
        <v>45296.140393518515</v>
      </c>
      <c r="C216" s="3" t="s">
        <v>4</v>
      </c>
    </row>
    <row r="217">
      <c r="A217" s="3">
        <v>4776.0</v>
      </c>
      <c r="B217" s="4">
        <v>45296.15988425926</v>
      </c>
      <c r="C217" s="3" t="s">
        <v>3</v>
      </c>
    </row>
    <row r="218">
      <c r="A218" s="3">
        <v>2970.0</v>
      </c>
      <c r="B218" s="4">
        <v>45296.165555555555</v>
      </c>
      <c r="C218" s="3" t="s">
        <v>4</v>
      </c>
    </row>
    <row r="219">
      <c r="A219" s="3">
        <v>1906.0</v>
      </c>
      <c r="B219" s="4">
        <v>45296.17599537037</v>
      </c>
      <c r="C219" s="3" t="s">
        <v>3</v>
      </c>
    </row>
    <row r="220">
      <c r="A220" s="3">
        <v>2357.0</v>
      </c>
      <c r="B220" s="4">
        <v>45296.21172453704</v>
      </c>
      <c r="C220" s="3" t="s">
        <v>3</v>
      </c>
    </row>
    <row r="221">
      <c r="A221" s="3">
        <v>2852.0</v>
      </c>
      <c r="B221" s="4">
        <v>45296.253842592596</v>
      </c>
      <c r="C221" s="3" t="s">
        <v>4</v>
      </c>
    </row>
    <row r="222">
      <c r="A222" s="3">
        <v>6460.0</v>
      </c>
      <c r="B222" s="4">
        <v>45296.255625</v>
      </c>
      <c r="C222" s="3" t="s">
        <v>3</v>
      </c>
    </row>
    <row r="223">
      <c r="A223" s="3">
        <v>5147.0</v>
      </c>
      <c r="B223" s="4">
        <v>45296.27443287037</v>
      </c>
      <c r="C223" s="3" t="s">
        <v>5</v>
      </c>
    </row>
    <row r="224">
      <c r="A224" s="3">
        <v>7254.0</v>
      </c>
      <c r="B224" s="4">
        <v>45296.28888888889</v>
      </c>
      <c r="C224" s="3" t="s">
        <v>4</v>
      </c>
    </row>
    <row r="225">
      <c r="A225" s="3">
        <v>5202.0</v>
      </c>
      <c r="B225" s="4">
        <v>45296.31054398148</v>
      </c>
      <c r="C225" s="3" t="s">
        <v>3</v>
      </c>
    </row>
    <row r="226">
      <c r="A226" s="3">
        <v>1738.0</v>
      </c>
      <c r="B226" s="4">
        <v>45296.321805555555</v>
      </c>
      <c r="C226" s="3" t="s">
        <v>5</v>
      </c>
    </row>
    <row r="227">
      <c r="A227" s="3">
        <v>5997.0</v>
      </c>
      <c r="B227" s="4">
        <v>45296.321863425925</v>
      </c>
      <c r="C227" s="3" t="s">
        <v>4</v>
      </c>
    </row>
    <row r="228">
      <c r="A228" s="3">
        <v>2405.0</v>
      </c>
      <c r="B228" s="4">
        <v>45296.32894675926</v>
      </c>
      <c r="C228" s="3" t="s">
        <v>5</v>
      </c>
    </row>
    <row r="229">
      <c r="A229" s="3">
        <v>7602.0</v>
      </c>
      <c r="B229" s="4">
        <v>45296.33263888889</v>
      </c>
      <c r="C229" s="3" t="s">
        <v>6</v>
      </c>
    </row>
    <row r="230">
      <c r="A230" s="3">
        <v>904.0</v>
      </c>
      <c r="B230" s="4">
        <v>45296.33671296296</v>
      </c>
      <c r="C230" s="3" t="s">
        <v>3</v>
      </c>
    </row>
    <row r="231">
      <c r="A231" s="3">
        <v>577.0</v>
      </c>
      <c r="B231" s="4">
        <v>45296.359560185185</v>
      </c>
      <c r="C231" s="3" t="s">
        <v>4</v>
      </c>
    </row>
    <row r="232">
      <c r="A232" s="3">
        <v>987.0</v>
      </c>
      <c r="B232" s="4">
        <v>45296.36027777778</v>
      </c>
      <c r="C232" s="3" t="s">
        <v>3</v>
      </c>
    </row>
    <row r="233">
      <c r="A233" s="3">
        <v>7811.0</v>
      </c>
      <c r="B233" s="4">
        <v>45296.37855324074</v>
      </c>
      <c r="C233" s="3" t="s">
        <v>6</v>
      </c>
    </row>
    <row r="234">
      <c r="A234" s="3">
        <v>2309.0</v>
      </c>
      <c r="B234" s="4">
        <v>45296.39611111111</v>
      </c>
      <c r="C234" s="3" t="s">
        <v>3</v>
      </c>
    </row>
    <row r="235">
      <c r="A235" s="3">
        <v>6612.0</v>
      </c>
      <c r="B235" s="4">
        <v>45296.409525462965</v>
      </c>
      <c r="C235" s="3" t="s">
        <v>4</v>
      </c>
    </row>
    <row r="236">
      <c r="A236" s="3">
        <v>4490.0</v>
      </c>
      <c r="B236" s="4">
        <v>45296.433275462965</v>
      </c>
      <c r="C236" s="3" t="s">
        <v>6</v>
      </c>
    </row>
    <row r="237">
      <c r="A237" s="3">
        <v>2901.0</v>
      </c>
      <c r="B237" s="4">
        <v>45296.44715277778</v>
      </c>
      <c r="C237" s="3" t="s">
        <v>3</v>
      </c>
    </row>
    <row r="238">
      <c r="A238" s="3">
        <v>1058.0</v>
      </c>
      <c r="B238" s="4">
        <v>45296.457025462965</v>
      </c>
      <c r="C238" s="3" t="s">
        <v>4</v>
      </c>
    </row>
    <row r="239">
      <c r="A239" s="3">
        <v>992.0</v>
      </c>
      <c r="B239" s="4">
        <v>45296.47642361111</v>
      </c>
      <c r="C239" s="3" t="s">
        <v>3</v>
      </c>
    </row>
    <row r="240">
      <c r="A240" s="3">
        <v>5888.0</v>
      </c>
      <c r="B240" s="4">
        <v>45296.504594907405</v>
      </c>
      <c r="C240" s="3" t="s">
        <v>7</v>
      </c>
    </row>
    <row r="241">
      <c r="A241" s="3">
        <v>3218.0</v>
      </c>
      <c r="B241" s="4">
        <v>45296.512824074074</v>
      </c>
      <c r="C241" s="3" t="s">
        <v>3</v>
      </c>
    </row>
    <row r="242">
      <c r="A242" s="3">
        <v>4427.0</v>
      </c>
      <c r="B242" s="4">
        <v>45296.51449074074</v>
      </c>
      <c r="C242" s="3" t="s">
        <v>3</v>
      </c>
    </row>
    <row r="243">
      <c r="A243" s="3">
        <v>6575.0</v>
      </c>
      <c r="B243" s="4">
        <v>45296.51526620371</v>
      </c>
      <c r="C243" s="3" t="s">
        <v>4</v>
      </c>
    </row>
    <row r="244">
      <c r="A244" s="3">
        <v>3326.0</v>
      </c>
      <c r="B244" s="4">
        <v>45296.525625</v>
      </c>
      <c r="C244" s="3" t="s">
        <v>3</v>
      </c>
    </row>
    <row r="245">
      <c r="A245" s="3">
        <v>2217.0</v>
      </c>
      <c r="B245" s="4">
        <v>45296.54398148148</v>
      </c>
      <c r="C245" s="3" t="s">
        <v>4</v>
      </c>
    </row>
    <row r="246">
      <c r="A246" s="3">
        <v>5565.0</v>
      </c>
      <c r="B246" s="4">
        <v>45296.557546296295</v>
      </c>
      <c r="C246" s="3" t="s">
        <v>7</v>
      </c>
    </row>
    <row r="247">
      <c r="A247" s="3">
        <v>3772.0</v>
      </c>
      <c r="B247" s="4">
        <v>45296.61047453704</v>
      </c>
      <c r="C247" s="3" t="s">
        <v>3</v>
      </c>
    </row>
    <row r="248">
      <c r="A248" s="3">
        <v>1186.0</v>
      </c>
      <c r="B248" s="4">
        <v>45296.62578703704</v>
      </c>
      <c r="C248" s="3" t="s">
        <v>3</v>
      </c>
    </row>
    <row r="249">
      <c r="A249" s="3">
        <v>4776.0</v>
      </c>
      <c r="B249" s="4">
        <v>45296.6571412037</v>
      </c>
      <c r="C249" s="3" t="s">
        <v>5</v>
      </c>
    </row>
    <row r="250">
      <c r="A250" s="3">
        <v>211.0</v>
      </c>
      <c r="B250" s="4">
        <v>45296.65862268519</v>
      </c>
      <c r="C250" s="3" t="s">
        <v>7</v>
      </c>
    </row>
    <row r="251">
      <c r="A251" s="3">
        <v>5997.0</v>
      </c>
      <c r="B251" s="4">
        <v>45296.691666666666</v>
      </c>
      <c r="C251" s="3" t="s">
        <v>3</v>
      </c>
    </row>
    <row r="252">
      <c r="A252" s="3">
        <v>7216.0</v>
      </c>
      <c r="B252" s="4">
        <v>45296.701053240744</v>
      </c>
      <c r="C252" s="3" t="s">
        <v>3</v>
      </c>
    </row>
    <row r="253">
      <c r="A253" s="3">
        <v>3980.0</v>
      </c>
      <c r="B253" s="4">
        <v>45296.702997685185</v>
      </c>
      <c r="C253" s="3" t="s">
        <v>3</v>
      </c>
    </row>
    <row r="254">
      <c r="A254" s="3">
        <v>394.0</v>
      </c>
      <c r="B254" s="4">
        <v>45296.703831018516</v>
      </c>
      <c r="C254" s="3" t="s">
        <v>3</v>
      </c>
    </row>
    <row r="255">
      <c r="A255" s="3">
        <v>2707.0</v>
      </c>
      <c r="B255" s="4">
        <v>45296.70686342593</v>
      </c>
      <c r="C255" s="3" t="s">
        <v>4</v>
      </c>
    </row>
    <row r="256">
      <c r="A256" s="3">
        <v>4939.0</v>
      </c>
      <c r="B256" s="4">
        <v>45296.71333333333</v>
      </c>
      <c r="C256" s="3" t="s">
        <v>3</v>
      </c>
    </row>
    <row r="257">
      <c r="A257" s="3">
        <v>5612.0</v>
      </c>
      <c r="B257" s="4">
        <v>45296.72288194444</v>
      </c>
      <c r="C257" s="3" t="s">
        <v>3</v>
      </c>
    </row>
    <row r="258">
      <c r="A258" s="3">
        <v>3255.0</v>
      </c>
      <c r="B258" s="4">
        <v>45296.73064814815</v>
      </c>
      <c r="C258" s="3" t="s">
        <v>6</v>
      </c>
    </row>
    <row r="259">
      <c r="A259" s="3">
        <v>3770.0</v>
      </c>
      <c r="B259" s="4">
        <v>45296.751388888886</v>
      </c>
      <c r="C259" s="3" t="s">
        <v>3</v>
      </c>
    </row>
    <row r="260">
      <c r="A260" s="3">
        <v>3758.0</v>
      </c>
      <c r="B260" s="4">
        <v>45296.755</v>
      </c>
      <c r="C260" s="3" t="s">
        <v>3</v>
      </c>
    </row>
    <row r="261">
      <c r="A261" s="3">
        <v>4224.0</v>
      </c>
      <c r="B261" s="4">
        <v>45296.77821759259</v>
      </c>
      <c r="C261" s="3" t="s">
        <v>3</v>
      </c>
    </row>
    <row r="262">
      <c r="A262" s="3">
        <v>7916.0</v>
      </c>
      <c r="B262" s="4">
        <v>45296.787453703706</v>
      </c>
      <c r="C262" s="3" t="s">
        <v>3</v>
      </c>
    </row>
    <row r="263">
      <c r="A263" s="3">
        <v>1796.0</v>
      </c>
      <c r="B263" s="4">
        <v>45296.788252314815</v>
      </c>
      <c r="C263" s="3" t="s">
        <v>3</v>
      </c>
    </row>
    <row r="264">
      <c r="A264" s="3">
        <v>1738.0</v>
      </c>
      <c r="B264" s="4">
        <v>45296.80210648148</v>
      </c>
      <c r="C264" s="3" t="s">
        <v>4</v>
      </c>
    </row>
    <row r="265">
      <c r="A265" s="3">
        <v>1310.0</v>
      </c>
      <c r="B265" s="4">
        <v>45296.81710648148</v>
      </c>
      <c r="C265" s="3" t="s">
        <v>3</v>
      </c>
    </row>
    <row r="266">
      <c r="A266" s="3">
        <v>5147.0</v>
      </c>
      <c r="B266" s="4">
        <v>45296.81914351852</v>
      </c>
      <c r="C266" s="3" t="s">
        <v>6</v>
      </c>
    </row>
    <row r="267">
      <c r="A267" s="3">
        <v>3723.0</v>
      </c>
      <c r="B267" s="4">
        <v>45296.84717592593</v>
      </c>
      <c r="C267" s="3" t="s">
        <v>3</v>
      </c>
    </row>
    <row r="268">
      <c r="A268" s="3">
        <v>7990.0</v>
      </c>
      <c r="B268" s="4">
        <v>45296.849340277775</v>
      </c>
      <c r="C268" s="3" t="s">
        <v>7</v>
      </c>
    </row>
    <row r="269">
      <c r="A269" s="3">
        <v>2901.0</v>
      </c>
      <c r="B269" s="4">
        <v>45296.86736111111</v>
      </c>
      <c r="C269" s="3" t="s">
        <v>4</v>
      </c>
    </row>
    <row r="270">
      <c r="A270" s="3">
        <v>234.0</v>
      </c>
      <c r="B270" s="4">
        <v>45296.87299768518</v>
      </c>
      <c r="C270" s="3" t="s">
        <v>3</v>
      </c>
    </row>
    <row r="271">
      <c r="A271" s="3">
        <v>2707.0</v>
      </c>
      <c r="B271" s="4">
        <v>45296.88306712963</v>
      </c>
      <c r="C271" s="3" t="s">
        <v>3</v>
      </c>
    </row>
    <row r="272">
      <c r="A272" s="3">
        <v>6047.0</v>
      </c>
      <c r="B272" s="4">
        <v>45296.93068287037</v>
      </c>
      <c r="C272" s="3" t="s">
        <v>3</v>
      </c>
    </row>
    <row r="273">
      <c r="A273" s="3">
        <v>1455.0</v>
      </c>
      <c r="B273" s="4">
        <v>45296.933287037034</v>
      </c>
      <c r="C273" s="3" t="s">
        <v>3</v>
      </c>
    </row>
    <row r="274">
      <c r="A274" s="3">
        <v>3924.0</v>
      </c>
      <c r="B274" s="4">
        <v>45296.9553125</v>
      </c>
      <c r="C274" s="3" t="s">
        <v>3</v>
      </c>
    </row>
    <row r="275">
      <c r="A275" s="3">
        <v>3432.0</v>
      </c>
      <c r="B275" s="4">
        <v>45296.95773148148</v>
      </c>
      <c r="C275" s="3" t="s">
        <v>4</v>
      </c>
    </row>
    <row r="276">
      <c r="A276" s="3">
        <v>4032.0</v>
      </c>
      <c r="B276" s="4">
        <v>45296.96246527778</v>
      </c>
      <c r="C276" s="3" t="s">
        <v>6</v>
      </c>
    </row>
    <row r="277">
      <c r="A277" s="3">
        <v>394.0</v>
      </c>
      <c r="B277" s="4">
        <v>45296.96954861111</v>
      </c>
      <c r="C277" s="3" t="s">
        <v>5</v>
      </c>
    </row>
    <row r="278">
      <c r="A278" s="3">
        <v>4592.0</v>
      </c>
      <c r="B278" s="4">
        <v>45296.98292824074</v>
      </c>
      <c r="C278" s="3" t="s">
        <v>4</v>
      </c>
    </row>
    <row r="279">
      <c r="A279" s="3">
        <v>3772.0</v>
      </c>
      <c r="B279" s="4">
        <v>45296.98704861111</v>
      </c>
      <c r="C279" s="3" t="s">
        <v>4</v>
      </c>
    </row>
    <row r="280">
      <c r="A280" s="3">
        <v>5194.0</v>
      </c>
      <c r="B280" s="4">
        <v>45297.01696759259</v>
      </c>
      <c r="C280" s="3" t="s">
        <v>3</v>
      </c>
    </row>
    <row r="281">
      <c r="A281" s="3">
        <v>2833.0</v>
      </c>
      <c r="B281" s="4">
        <v>45297.086435185185</v>
      </c>
      <c r="C281" s="3" t="s">
        <v>4</v>
      </c>
    </row>
    <row r="282">
      <c r="A282" s="3">
        <v>665.0</v>
      </c>
      <c r="B282" s="4">
        <v>45297.08971064815</v>
      </c>
      <c r="C282" s="3" t="s">
        <v>3</v>
      </c>
    </row>
    <row r="283">
      <c r="A283" s="3">
        <v>577.0</v>
      </c>
      <c r="B283" s="4">
        <v>45297.10851851852</v>
      </c>
      <c r="C283" s="3" t="s">
        <v>7</v>
      </c>
    </row>
    <row r="284">
      <c r="A284" s="3">
        <v>7489.0</v>
      </c>
      <c r="B284" s="4">
        <v>45297.126550925925</v>
      </c>
      <c r="C284" s="3" t="s">
        <v>5</v>
      </c>
    </row>
    <row r="285">
      <c r="A285" s="3">
        <v>4499.0</v>
      </c>
      <c r="B285" s="4">
        <v>45297.145625</v>
      </c>
      <c r="C285" s="3" t="s">
        <v>5</v>
      </c>
    </row>
    <row r="286">
      <c r="A286" s="3">
        <v>6460.0</v>
      </c>
      <c r="B286" s="4">
        <v>45297.15096064815</v>
      </c>
      <c r="C286" s="3" t="s">
        <v>5</v>
      </c>
    </row>
    <row r="287">
      <c r="A287" s="3">
        <v>6315.0</v>
      </c>
      <c r="B287" s="4">
        <v>45297.16674768519</v>
      </c>
      <c r="C287" s="3" t="s">
        <v>4</v>
      </c>
    </row>
    <row r="288">
      <c r="A288" s="3">
        <v>3218.0</v>
      </c>
      <c r="B288" s="4">
        <v>45297.188622685186</v>
      </c>
      <c r="C288" s="3" t="s">
        <v>4</v>
      </c>
    </row>
    <row r="289">
      <c r="A289" s="3">
        <v>5015.0</v>
      </c>
      <c r="B289" s="4">
        <v>45297.19119212963</v>
      </c>
      <c r="C289" s="3" t="s">
        <v>3</v>
      </c>
    </row>
    <row r="290">
      <c r="A290" s="3">
        <v>4512.0</v>
      </c>
      <c r="B290" s="4">
        <v>45297.19131944444</v>
      </c>
      <c r="C290" s="3" t="s">
        <v>4</v>
      </c>
    </row>
    <row r="291">
      <c r="A291" s="3">
        <v>5244.0</v>
      </c>
      <c r="B291" s="4">
        <v>45297.201689814814</v>
      </c>
      <c r="C291" s="3" t="s">
        <v>3</v>
      </c>
    </row>
    <row r="292">
      <c r="A292" s="3">
        <v>7003.0</v>
      </c>
      <c r="B292" s="4">
        <v>45297.203518518516</v>
      </c>
      <c r="C292" s="3" t="s">
        <v>5</v>
      </c>
    </row>
    <row r="293">
      <c r="A293" s="3">
        <v>3218.0</v>
      </c>
      <c r="B293" s="4">
        <v>45297.22310185185</v>
      </c>
      <c r="C293" s="3" t="s">
        <v>6</v>
      </c>
    </row>
    <row r="294">
      <c r="A294" s="3">
        <v>6486.0</v>
      </c>
      <c r="B294" s="4">
        <v>45297.22640046296</v>
      </c>
      <c r="C294" s="3" t="s">
        <v>3</v>
      </c>
    </row>
    <row r="295">
      <c r="A295" s="3">
        <v>21.0</v>
      </c>
      <c r="B295" s="4">
        <v>45297.244409722225</v>
      </c>
      <c r="C295" s="3" t="s">
        <v>3</v>
      </c>
    </row>
    <row r="296">
      <c r="A296" s="3">
        <v>7234.0</v>
      </c>
      <c r="B296" s="4">
        <v>45297.24574074074</v>
      </c>
      <c r="C296" s="3" t="s">
        <v>3</v>
      </c>
    </row>
    <row r="297">
      <c r="A297" s="3">
        <v>1849.0</v>
      </c>
      <c r="B297" s="4">
        <v>45297.24931712963</v>
      </c>
      <c r="C297" s="3" t="s">
        <v>3</v>
      </c>
    </row>
    <row r="298">
      <c r="A298" s="3">
        <v>1854.0</v>
      </c>
      <c r="B298" s="4">
        <v>45297.25313657407</v>
      </c>
      <c r="C298" s="3" t="s">
        <v>3</v>
      </c>
    </row>
    <row r="299">
      <c r="A299" s="3">
        <v>5009.0</v>
      </c>
      <c r="B299" s="4">
        <v>45297.258888888886</v>
      </c>
      <c r="C299" s="3" t="s">
        <v>3</v>
      </c>
    </row>
    <row r="300">
      <c r="A300" s="3">
        <v>3906.0</v>
      </c>
      <c r="B300" s="4">
        <v>45297.27166666667</v>
      </c>
      <c r="C300" s="3" t="s">
        <v>7</v>
      </c>
    </row>
    <row r="301">
      <c r="A301" s="3">
        <v>4776.0</v>
      </c>
      <c r="B301" s="4">
        <v>45297.27302083333</v>
      </c>
      <c r="C301" s="3" t="s">
        <v>6</v>
      </c>
    </row>
    <row r="302">
      <c r="A302" s="3">
        <v>3161.0</v>
      </c>
      <c r="B302" s="4">
        <v>45297.28475694444</v>
      </c>
      <c r="C302" s="3" t="s">
        <v>3</v>
      </c>
    </row>
    <row r="303">
      <c r="A303" s="3">
        <v>2521.0</v>
      </c>
      <c r="B303" s="4">
        <v>45297.314247685186</v>
      </c>
      <c r="C303" s="3" t="s">
        <v>3</v>
      </c>
    </row>
    <row r="304">
      <c r="A304" s="3">
        <v>6612.0</v>
      </c>
      <c r="B304" s="4">
        <v>45297.354108796295</v>
      </c>
      <c r="C304" s="3" t="s">
        <v>7</v>
      </c>
    </row>
    <row r="305">
      <c r="A305" s="3">
        <v>5781.0</v>
      </c>
      <c r="B305" s="4">
        <v>45297.37517361111</v>
      </c>
      <c r="C305" s="3" t="s">
        <v>6</v>
      </c>
    </row>
    <row r="306">
      <c r="A306" s="3">
        <v>3533.0</v>
      </c>
      <c r="B306" s="4">
        <v>45297.389340277776</v>
      </c>
      <c r="C306" s="3" t="s">
        <v>5</v>
      </c>
    </row>
    <row r="307">
      <c r="A307" s="3">
        <v>7767.0</v>
      </c>
      <c r="B307" s="4">
        <v>45297.40641203704</v>
      </c>
      <c r="C307" s="3" t="s">
        <v>4</v>
      </c>
    </row>
    <row r="308">
      <c r="A308" s="3">
        <v>6522.0</v>
      </c>
      <c r="B308" s="4">
        <v>45297.413449074076</v>
      </c>
      <c r="C308" s="3" t="s">
        <v>4</v>
      </c>
    </row>
    <row r="309">
      <c r="A309" s="3">
        <v>1314.0</v>
      </c>
      <c r="B309" s="4">
        <v>45297.48780092593</v>
      </c>
      <c r="C309" s="3" t="s">
        <v>7</v>
      </c>
    </row>
    <row r="310">
      <c r="A310" s="3">
        <v>7489.0</v>
      </c>
      <c r="B310" s="4">
        <v>45297.51167824074</v>
      </c>
      <c r="C310" s="3" t="s">
        <v>6</v>
      </c>
    </row>
    <row r="311">
      <c r="A311" s="3">
        <v>5603.0</v>
      </c>
      <c r="B311" s="4">
        <v>45297.51425925926</v>
      </c>
      <c r="C311" s="3" t="s">
        <v>3</v>
      </c>
    </row>
    <row r="312">
      <c r="A312" s="3">
        <v>7265.0</v>
      </c>
      <c r="B312" s="4">
        <v>45297.51777777778</v>
      </c>
      <c r="C312" s="3" t="s">
        <v>3</v>
      </c>
    </row>
    <row r="313">
      <c r="A313" s="3">
        <v>1695.0</v>
      </c>
      <c r="B313" s="4">
        <v>45297.51957175926</v>
      </c>
      <c r="C313" s="3" t="s">
        <v>3</v>
      </c>
    </row>
    <row r="314">
      <c r="A314" s="3">
        <v>1815.0</v>
      </c>
      <c r="B314" s="4">
        <v>45297.5306712963</v>
      </c>
      <c r="C314" s="3" t="s">
        <v>3</v>
      </c>
    </row>
    <row r="315">
      <c r="A315" s="3">
        <v>6339.0</v>
      </c>
      <c r="B315" s="4">
        <v>45297.53863425926</v>
      </c>
      <c r="C315" s="3" t="s">
        <v>5</v>
      </c>
    </row>
    <row r="316">
      <c r="A316" s="3">
        <v>925.0</v>
      </c>
      <c r="B316" s="4">
        <v>45297.55150462963</v>
      </c>
      <c r="C316" s="3" t="s">
        <v>3</v>
      </c>
    </row>
    <row r="317">
      <c r="A317" s="3">
        <v>734.0</v>
      </c>
      <c r="B317" s="4">
        <v>45297.55210648148</v>
      </c>
      <c r="C317" s="3" t="s">
        <v>3</v>
      </c>
    </row>
    <row r="318">
      <c r="A318" s="3">
        <v>4032.0</v>
      </c>
      <c r="B318" s="4">
        <v>45297.59637731482</v>
      </c>
      <c r="C318" s="3" t="s">
        <v>5</v>
      </c>
    </row>
    <row r="319">
      <c r="A319" s="3">
        <v>630.0</v>
      </c>
      <c r="B319" s="4">
        <v>45297.616793981484</v>
      </c>
      <c r="C319" s="3" t="s">
        <v>3</v>
      </c>
    </row>
    <row r="320">
      <c r="A320" s="3">
        <v>5828.0</v>
      </c>
      <c r="B320" s="4">
        <v>45297.681076388886</v>
      </c>
      <c r="C320" s="3" t="s">
        <v>7</v>
      </c>
    </row>
    <row r="321">
      <c r="A321" s="3">
        <v>1314.0</v>
      </c>
      <c r="B321" s="4">
        <v>45297.69247685185</v>
      </c>
      <c r="C321" s="3" t="s">
        <v>5</v>
      </c>
    </row>
    <row r="322">
      <c r="A322" s="3">
        <v>6460.0</v>
      </c>
      <c r="B322" s="4">
        <v>45297.697488425925</v>
      </c>
      <c r="C322" s="3" t="s">
        <v>6</v>
      </c>
    </row>
    <row r="323">
      <c r="A323" s="3">
        <v>6612.0</v>
      </c>
      <c r="B323" s="4">
        <v>45297.716365740744</v>
      </c>
      <c r="C323" s="3" t="s">
        <v>6</v>
      </c>
    </row>
    <row r="324">
      <c r="A324" s="3">
        <v>734.0</v>
      </c>
      <c r="B324" s="4">
        <v>45297.72880787037</v>
      </c>
      <c r="C324" s="3" t="s">
        <v>4</v>
      </c>
    </row>
    <row r="325">
      <c r="A325" s="3">
        <v>394.0</v>
      </c>
      <c r="B325" s="4">
        <v>45297.743252314816</v>
      </c>
      <c r="C325" s="3" t="s">
        <v>7</v>
      </c>
    </row>
    <row r="326">
      <c r="A326" s="3">
        <v>3575.0</v>
      </c>
      <c r="B326" s="4">
        <v>45297.752905092595</v>
      </c>
      <c r="C326" s="3" t="s">
        <v>5</v>
      </c>
    </row>
    <row r="327">
      <c r="A327" s="3">
        <v>10.0</v>
      </c>
      <c r="B327" s="4">
        <v>45297.759571759256</v>
      </c>
      <c r="C327" s="3" t="s">
        <v>3</v>
      </c>
    </row>
    <row r="328">
      <c r="A328" s="3">
        <v>6315.0</v>
      </c>
      <c r="B328" s="4">
        <v>45297.78623842593</v>
      </c>
      <c r="C328" s="3" t="s">
        <v>3</v>
      </c>
    </row>
    <row r="329">
      <c r="A329" s="3">
        <v>5156.0</v>
      </c>
      <c r="B329" s="4">
        <v>45297.78658564815</v>
      </c>
      <c r="C329" s="3" t="s">
        <v>3</v>
      </c>
    </row>
    <row r="330">
      <c r="A330" s="3">
        <v>5310.0</v>
      </c>
      <c r="B330" s="4">
        <v>45297.79304398148</v>
      </c>
      <c r="C330" s="3" t="s">
        <v>3</v>
      </c>
    </row>
    <row r="331">
      <c r="A331" s="3">
        <v>6495.0</v>
      </c>
      <c r="B331" s="4">
        <v>45297.79802083333</v>
      </c>
      <c r="C331" s="3" t="s">
        <v>3</v>
      </c>
    </row>
    <row r="332">
      <c r="A332" s="3">
        <v>4598.0</v>
      </c>
      <c r="B332" s="4">
        <v>45297.798726851855</v>
      </c>
      <c r="C332" s="3" t="s">
        <v>4</v>
      </c>
    </row>
    <row r="333">
      <c r="A333" s="3">
        <v>5367.0</v>
      </c>
      <c r="B333" s="4">
        <v>45297.85690972222</v>
      </c>
      <c r="C333" s="3" t="s">
        <v>3</v>
      </c>
    </row>
    <row r="334">
      <c r="A334" s="3">
        <v>3161.0</v>
      </c>
      <c r="B334" s="4">
        <v>45297.862546296295</v>
      </c>
      <c r="C334" s="3" t="s">
        <v>4</v>
      </c>
    </row>
    <row r="335">
      <c r="A335" s="3">
        <v>3906.0</v>
      </c>
      <c r="B335" s="4">
        <v>45297.86403935185</v>
      </c>
      <c r="C335" s="3" t="s">
        <v>4</v>
      </c>
    </row>
    <row r="336">
      <c r="A336" s="3">
        <v>6522.0</v>
      </c>
      <c r="B336" s="4">
        <v>45297.87326388889</v>
      </c>
      <c r="C336" s="3" t="s">
        <v>5</v>
      </c>
    </row>
    <row r="337">
      <c r="A337" s="3">
        <v>2852.0</v>
      </c>
      <c r="B337" s="4">
        <v>45297.902349537035</v>
      </c>
      <c r="C337" s="3" t="s">
        <v>7</v>
      </c>
    </row>
    <row r="338">
      <c r="A338" s="3">
        <v>4776.0</v>
      </c>
      <c r="B338" s="4">
        <v>45297.94337962963</v>
      </c>
      <c r="C338" s="3" t="s">
        <v>4</v>
      </c>
    </row>
    <row r="339">
      <c r="A339" s="3">
        <v>6920.0</v>
      </c>
      <c r="B339" s="4">
        <v>45297.97184027778</v>
      </c>
      <c r="C339" s="3" t="s">
        <v>5</v>
      </c>
    </row>
    <row r="340">
      <c r="A340" s="3">
        <v>1455.0</v>
      </c>
      <c r="B340" s="4">
        <v>45297.98590277778</v>
      </c>
      <c r="C340" s="3" t="s">
        <v>4</v>
      </c>
    </row>
    <row r="341">
      <c r="A341" s="3">
        <v>3616.0</v>
      </c>
      <c r="B341" s="4">
        <v>45298.00945601852</v>
      </c>
      <c r="C341" s="3" t="s">
        <v>4</v>
      </c>
    </row>
    <row r="342">
      <c r="A342" s="3">
        <v>1738.0</v>
      </c>
      <c r="B342" s="4">
        <v>45298.02238425926</v>
      </c>
      <c r="C342" s="3" t="s">
        <v>7</v>
      </c>
    </row>
    <row r="343">
      <c r="A343" s="3">
        <v>6665.0</v>
      </c>
      <c r="B343" s="4">
        <v>45298.0391087963</v>
      </c>
      <c r="C343" s="3" t="s">
        <v>5</v>
      </c>
    </row>
    <row r="344">
      <c r="A344" s="3">
        <v>2136.0</v>
      </c>
      <c r="B344" s="4">
        <v>45298.04614583333</v>
      </c>
      <c r="C344" s="3" t="s">
        <v>3</v>
      </c>
    </row>
    <row r="345">
      <c r="A345" s="3">
        <v>5367.0</v>
      </c>
      <c r="B345" s="4">
        <v>45298.092210648145</v>
      </c>
      <c r="C345" s="3" t="s">
        <v>4</v>
      </c>
    </row>
    <row r="346">
      <c r="A346" s="3">
        <v>6197.0</v>
      </c>
      <c r="B346" s="4">
        <v>45298.09809027778</v>
      </c>
      <c r="C346" s="3" t="s">
        <v>3</v>
      </c>
    </row>
    <row r="347">
      <c r="A347" s="3">
        <v>7822.0</v>
      </c>
      <c r="B347" s="4">
        <v>45298.14079861111</v>
      </c>
      <c r="C347" s="3" t="s">
        <v>5</v>
      </c>
    </row>
    <row r="348">
      <c r="A348" s="3">
        <v>2229.0</v>
      </c>
      <c r="B348" s="4">
        <v>45298.15802083333</v>
      </c>
      <c r="C348" s="3" t="s">
        <v>4</v>
      </c>
    </row>
    <row r="349">
      <c r="A349" s="3">
        <v>4775.0</v>
      </c>
      <c r="B349" s="4">
        <v>45298.17831018518</v>
      </c>
      <c r="C349" s="3" t="s">
        <v>4</v>
      </c>
    </row>
    <row r="350">
      <c r="A350" s="3">
        <v>4736.0</v>
      </c>
      <c r="B350" s="4">
        <v>45298.18850694445</v>
      </c>
      <c r="C350" s="3" t="s">
        <v>3</v>
      </c>
    </row>
    <row r="351">
      <c r="A351" s="3">
        <v>4775.0</v>
      </c>
      <c r="B351" s="4">
        <v>45298.19159722222</v>
      </c>
      <c r="C351" s="3" t="s">
        <v>3</v>
      </c>
    </row>
    <row r="352">
      <c r="A352" s="3">
        <v>2608.0</v>
      </c>
      <c r="B352" s="4">
        <v>45298.193761574075</v>
      </c>
      <c r="C352" s="3" t="s">
        <v>3</v>
      </c>
    </row>
    <row r="353">
      <c r="A353" s="3">
        <v>6421.0</v>
      </c>
      <c r="B353" s="4">
        <v>45298.204884259256</v>
      </c>
      <c r="C353" s="3" t="s">
        <v>3</v>
      </c>
    </row>
    <row r="354">
      <c r="A354" s="3">
        <v>4321.0</v>
      </c>
      <c r="B354" s="4">
        <v>45298.205775462964</v>
      </c>
      <c r="C354" s="3" t="s">
        <v>5</v>
      </c>
    </row>
    <row r="355">
      <c r="A355" s="3">
        <v>7807.0</v>
      </c>
      <c r="B355" s="4">
        <v>45298.215208333335</v>
      </c>
      <c r="C355" s="3" t="s">
        <v>4</v>
      </c>
    </row>
    <row r="356">
      <c r="A356" s="3">
        <v>2984.0</v>
      </c>
      <c r="B356" s="4">
        <v>45298.21635416667</v>
      </c>
      <c r="C356" s="3" t="s">
        <v>3</v>
      </c>
    </row>
    <row r="357">
      <c r="A357" s="3">
        <v>2922.0</v>
      </c>
      <c r="B357" s="4">
        <v>45298.22712962963</v>
      </c>
      <c r="C357" s="3" t="s">
        <v>3</v>
      </c>
    </row>
    <row r="358">
      <c r="A358" s="3">
        <v>4499.0</v>
      </c>
      <c r="B358" s="4">
        <v>45298.23303240741</v>
      </c>
      <c r="C358" s="3" t="s">
        <v>7</v>
      </c>
    </row>
    <row r="359">
      <c r="A359" s="3">
        <v>1855.0</v>
      </c>
      <c r="B359" s="4">
        <v>45298.27039351852</v>
      </c>
      <c r="C359" s="3" t="s">
        <v>3</v>
      </c>
    </row>
    <row r="360">
      <c r="A360" s="3">
        <v>7822.0</v>
      </c>
      <c r="B360" s="4">
        <v>45298.27206018518</v>
      </c>
      <c r="C360" s="3" t="s">
        <v>6</v>
      </c>
    </row>
    <row r="361">
      <c r="A361" s="3">
        <v>4032.0</v>
      </c>
      <c r="B361" s="4">
        <v>45298.27715277778</v>
      </c>
      <c r="C361" s="3" t="s">
        <v>7</v>
      </c>
    </row>
    <row r="362">
      <c r="A362" s="3">
        <v>4187.0</v>
      </c>
      <c r="B362" s="4">
        <v>45298.28052083333</v>
      </c>
      <c r="C362" s="3" t="s">
        <v>3</v>
      </c>
    </row>
    <row r="363">
      <c r="A363" s="3">
        <v>7467.0</v>
      </c>
      <c r="B363" s="4">
        <v>45298.29577546296</v>
      </c>
      <c r="C363" s="3" t="s">
        <v>3</v>
      </c>
    </row>
    <row r="364">
      <c r="A364" s="3">
        <v>3533.0</v>
      </c>
      <c r="B364" s="4">
        <v>45298.31894675926</v>
      </c>
      <c r="C364" s="3" t="s">
        <v>6</v>
      </c>
    </row>
    <row r="365">
      <c r="A365" s="3">
        <v>4363.0</v>
      </c>
      <c r="B365" s="4">
        <v>45298.32349537037</v>
      </c>
      <c r="C365" s="3" t="s">
        <v>3</v>
      </c>
    </row>
    <row r="366">
      <c r="A366" s="3">
        <v>5633.0</v>
      </c>
      <c r="B366" s="4">
        <v>45298.328356481485</v>
      </c>
      <c r="C366" s="3" t="s">
        <v>3</v>
      </c>
    </row>
    <row r="367">
      <c r="A367" s="3">
        <v>5633.0</v>
      </c>
      <c r="B367" s="4">
        <v>45298.33083333333</v>
      </c>
      <c r="C367" s="3" t="s">
        <v>4</v>
      </c>
    </row>
    <row r="368">
      <c r="A368" s="3">
        <v>3756.0</v>
      </c>
      <c r="B368" s="4">
        <v>45298.33262731481</v>
      </c>
      <c r="C368" s="3" t="s">
        <v>3</v>
      </c>
    </row>
    <row r="369">
      <c r="A369" s="3">
        <v>4445.0</v>
      </c>
      <c r="B369" s="4">
        <v>45298.33337962963</v>
      </c>
      <c r="C369" s="3" t="s">
        <v>3</v>
      </c>
    </row>
    <row r="370">
      <c r="A370" s="3">
        <v>317.0</v>
      </c>
      <c r="B370" s="4">
        <v>45298.35138888889</v>
      </c>
      <c r="C370" s="3" t="s">
        <v>3</v>
      </c>
    </row>
    <row r="371">
      <c r="A371" s="3">
        <v>159.0</v>
      </c>
      <c r="B371" s="4">
        <v>45298.36209490741</v>
      </c>
      <c r="C371" s="3" t="s">
        <v>3</v>
      </c>
    </row>
    <row r="372">
      <c r="A372" s="3">
        <v>1906.0</v>
      </c>
      <c r="B372" s="4">
        <v>45298.36958333333</v>
      </c>
      <c r="C372" s="3" t="s">
        <v>5</v>
      </c>
    </row>
    <row r="373">
      <c r="A373" s="3">
        <v>4120.0</v>
      </c>
      <c r="B373" s="4">
        <v>45298.38128472222</v>
      </c>
      <c r="C373" s="3" t="s">
        <v>3</v>
      </c>
    </row>
    <row r="374">
      <c r="A374" s="3">
        <v>5195.0</v>
      </c>
      <c r="B374" s="4">
        <v>45298.39524305556</v>
      </c>
      <c r="C374" s="3" t="s">
        <v>3</v>
      </c>
    </row>
    <row r="375">
      <c r="A375" s="3">
        <v>6047.0</v>
      </c>
      <c r="B375" s="4">
        <v>45298.40268518519</v>
      </c>
      <c r="C375" s="3" t="s">
        <v>4</v>
      </c>
    </row>
    <row r="376">
      <c r="A376" s="3">
        <v>1704.0</v>
      </c>
      <c r="B376" s="4">
        <v>45298.411990740744</v>
      </c>
      <c r="C376" s="3" t="s">
        <v>5</v>
      </c>
    </row>
    <row r="377">
      <c r="A377" s="3">
        <v>7059.0</v>
      </c>
      <c r="B377" s="4">
        <v>45298.42219907408</v>
      </c>
      <c r="C377" s="3" t="s">
        <v>3</v>
      </c>
    </row>
    <row r="378">
      <c r="A378" s="3">
        <v>2620.0</v>
      </c>
      <c r="B378" s="4">
        <v>45298.44789351852</v>
      </c>
      <c r="C378" s="3" t="s">
        <v>3</v>
      </c>
    </row>
    <row r="379">
      <c r="A379" s="3">
        <v>904.0</v>
      </c>
      <c r="B379" s="4">
        <v>45298.452581018515</v>
      </c>
      <c r="C379" s="3" t="s">
        <v>4</v>
      </c>
    </row>
    <row r="380">
      <c r="A380" s="3">
        <v>7811.0</v>
      </c>
      <c r="B380" s="4">
        <v>45298.453726851854</v>
      </c>
      <c r="C380" s="3" t="s">
        <v>7</v>
      </c>
    </row>
    <row r="381">
      <c r="A381" s="3">
        <v>6742.0</v>
      </c>
      <c r="B381" s="4">
        <v>45298.464907407404</v>
      </c>
      <c r="C381" s="3" t="s">
        <v>3</v>
      </c>
    </row>
    <row r="382">
      <c r="A382" s="3">
        <v>6275.0</v>
      </c>
      <c r="B382" s="4">
        <v>45298.46523148148</v>
      </c>
      <c r="C382" s="3" t="s">
        <v>7</v>
      </c>
    </row>
    <row r="383">
      <c r="A383" s="3">
        <v>334.0</v>
      </c>
      <c r="B383" s="4">
        <v>45298.48701388889</v>
      </c>
      <c r="C383" s="3" t="s">
        <v>4</v>
      </c>
    </row>
    <row r="384">
      <c r="A384" s="3">
        <v>2639.0</v>
      </c>
      <c r="B384" s="4">
        <v>45298.493101851855</v>
      </c>
      <c r="C384" s="3" t="s">
        <v>4</v>
      </c>
    </row>
    <row r="385">
      <c r="A385" s="3">
        <v>7892.0</v>
      </c>
      <c r="B385" s="4">
        <v>45298.5002662037</v>
      </c>
      <c r="C385" s="3" t="s">
        <v>3</v>
      </c>
    </row>
    <row r="386">
      <c r="A386" s="3">
        <v>7585.0</v>
      </c>
      <c r="B386" s="4">
        <v>45298.502754629626</v>
      </c>
      <c r="C386" s="3" t="s">
        <v>3</v>
      </c>
    </row>
    <row r="387">
      <c r="A387" s="3">
        <v>2852.0</v>
      </c>
      <c r="B387" s="4">
        <v>45298.504953703705</v>
      </c>
      <c r="C387" s="3" t="s">
        <v>5</v>
      </c>
    </row>
    <row r="388">
      <c r="A388" s="3">
        <v>5603.0</v>
      </c>
      <c r="B388" s="4">
        <v>45298.592569444445</v>
      </c>
      <c r="C388" s="3" t="s">
        <v>5</v>
      </c>
    </row>
    <row r="389">
      <c r="A389" s="3">
        <v>84.0</v>
      </c>
      <c r="B389" s="4">
        <v>45298.614895833336</v>
      </c>
      <c r="C389" s="3" t="s">
        <v>3</v>
      </c>
    </row>
    <row r="390">
      <c r="A390" s="3">
        <v>334.0</v>
      </c>
      <c r="B390" s="4">
        <v>45298.618784722225</v>
      </c>
      <c r="C390" s="3" t="s">
        <v>3</v>
      </c>
    </row>
    <row r="391">
      <c r="A391" s="3">
        <v>665.0</v>
      </c>
      <c r="B391" s="4">
        <v>45298.63621527778</v>
      </c>
      <c r="C391" s="3" t="s">
        <v>4</v>
      </c>
    </row>
    <row r="392">
      <c r="A392" s="3">
        <v>3906.0</v>
      </c>
      <c r="B392" s="4">
        <v>45298.645462962966</v>
      </c>
      <c r="C392" s="3" t="s">
        <v>5</v>
      </c>
    </row>
    <row r="393">
      <c r="A393" s="3">
        <v>5409.0</v>
      </c>
      <c r="B393" s="4">
        <v>45298.66523148148</v>
      </c>
      <c r="C393" s="3" t="s">
        <v>3</v>
      </c>
    </row>
    <row r="394">
      <c r="A394" s="3">
        <v>7643.0</v>
      </c>
      <c r="B394" s="4">
        <v>45298.66814814815</v>
      </c>
      <c r="C394" s="3" t="s">
        <v>4</v>
      </c>
    </row>
    <row r="395">
      <c r="A395" s="3">
        <v>6920.0</v>
      </c>
      <c r="B395" s="4">
        <v>45298.67517361111</v>
      </c>
      <c r="C395" s="3" t="s">
        <v>7</v>
      </c>
    </row>
    <row r="396">
      <c r="A396" s="3">
        <v>1056.0</v>
      </c>
      <c r="B396" s="4">
        <v>45298.67726851852</v>
      </c>
      <c r="C396" s="3" t="s">
        <v>3</v>
      </c>
    </row>
    <row r="397">
      <c r="A397" s="3">
        <v>3419.0</v>
      </c>
      <c r="B397" s="4">
        <v>45298.7319212963</v>
      </c>
      <c r="C397" s="3" t="s">
        <v>6</v>
      </c>
    </row>
    <row r="398">
      <c r="A398" s="3">
        <v>6665.0</v>
      </c>
      <c r="B398" s="4">
        <v>45298.73994212963</v>
      </c>
      <c r="C398" s="3" t="s">
        <v>3</v>
      </c>
    </row>
    <row r="399">
      <c r="A399" s="3">
        <v>3375.0</v>
      </c>
      <c r="B399" s="4">
        <v>45298.74428240741</v>
      </c>
      <c r="C399" s="3" t="s">
        <v>3</v>
      </c>
    </row>
    <row r="400">
      <c r="A400" s="3">
        <v>6197.0</v>
      </c>
      <c r="B400" s="4">
        <v>45298.76862268519</v>
      </c>
      <c r="C400" s="3" t="s">
        <v>4</v>
      </c>
    </row>
    <row r="401">
      <c r="A401" s="3">
        <v>7108.0</v>
      </c>
      <c r="B401" s="4">
        <v>45298.77275462963</v>
      </c>
      <c r="C401" s="3" t="s">
        <v>3</v>
      </c>
    </row>
    <row r="402">
      <c r="A402" s="3">
        <v>1906.0</v>
      </c>
      <c r="B402" s="4">
        <v>45298.80469907408</v>
      </c>
      <c r="C402" s="3" t="s">
        <v>4</v>
      </c>
    </row>
    <row r="403">
      <c r="A403" s="3">
        <v>2707.0</v>
      </c>
      <c r="B403" s="4">
        <v>45298.81060185185</v>
      </c>
      <c r="C403" s="3" t="s">
        <v>7</v>
      </c>
    </row>
    <row r="404">
      <c r="A404" s="3">
        <v>1796.0</v>
      </c>
      <c r="B404" s="4">
        <v>45298.83760416666</v>
      </c>
      <c r="C404" s="3" t="s">
        <v>4</v>
      </c>
    </row>
    <row r="405">
      <c r="A405" s="3">
        <v>4772.0</v>
      </c>
      <c r="B405" s="4">
        <v>45298.83859953703</v>
      </c>
      <c r="C405" s="3" t="s">
        <v>7</v>
      </c>
    </row>
    <row r="406">
      <c r="A406" s="3">
        <v>5194.0</v>
      </c>
      <c r="B406" s="4">
        <v>45298.848449074074</v>
      </c>
      <c r="C406" s="3" t="s">
        <v>6</v>
      </c>
    </row>
    <row r="407">
      <c r="A407" s="3">
        <v>4120.0</v>
      </c>
      <c r="B407" s="4">
        <v>45298.85600694444</v>
      </c>
      <c r="C407" s="3" t="s">
        <v>4</v>
      </c>
    </row>
    <row r="408">
      <c r="A408" s="3">
        <v>702.0</v>
      </c>
      <c r="B408" s="4">
        <v>45298.87603009259</v>
      </c>
      <c r="C408" s="3" t="s">
        <v>3</v>
      </c>
    </row>
    <row r="409">
      <c r="A409" s="3">
        <v>7467.0</v>
      </c>
      <c r="B409" s="4">
        <v>45298.88863425926</v>
      </c>
      <c r="C409" s="3" t="s">
        <v>5</v>
      </c>
    </row>
    <row r="410">
      <c r="A410" s="3">
        <v>394.0</v>
      </c>
      <c r="B410" s="4">
        <v>45298.89855324074</v>
      </c>
      <c r="C410" s="3" t="s">
        <v>4</v>
      </c>
    </row>
    <row r="411">
      <c r="A411" s="3">
        <v>460.0</v>
      </c>
      <c r="B411" s="4">
        <v>45298.914814814816</v>
      </c>
      <c r="C411" s="3" t="s">
        <v>3</v>
      </c>
    </row>
    <row r="412">
      <c r="A412" s="3">
        <v>6338.0</v>
      </c>
      <c r="B412" s="4">
        <v>45298.922627314816</v>
      </c>
      <c r="C412" s="3" t="s">
        <v>3</v>
      </c>
    </row>
    <row r="413">
      <c r="A413" s="3">
        <v>2639.0</v>
      </c>
      <c r="B413" s="4">
        <v>45298.93041666667</v>
      </c>
      <c r="C413" s="3" t="s">
        <v>3</v>
      </c>
    </row>
    <row r="414">
      <c r="A414" s="3">
        <v>7003.0</v>
      </c>
      <c r="B414" s="4">
        <v>45298.95291666667</v>
      </c>
      <c r="C414" s="3" t="s">
        <v>6</v>
      </c>
    </row>
    <row r="415">
      <c r="A415" s="3">
        <v>3616.0</v>
      </c>
      <c r="B415" s="4">
        <v>45298.97127314815</v>
      </c>
      <c r="C415" s="3" t="s">
        <v>3</v>
      </c>
    </row>
    <row r="416">
      <c r="A416" s="3">
        <v>5307.0</v>
      </c>
      <c r="B416" s="4">
        <v>45298.97855324074</v>
      </c>
      <c r="C416" s="3" t="s">
        <v>7</v>
      </c>
    </row>
    <row r="417">
      <c r="A417" s="3">
        <v>321.0</v>
      </c>
      <c r="B417" s="4">
        <v>45298.97971064815</v>
      </c>
      <c r="C417" s="3" t="s">
        <v>3</v>
      </c>
    </row>
    <row r="418">
      <c r="A418" s="3">
        <v>5603.0</v>
      </c>
      <c r="B418" s="4">
        <v>45299.01909722222</v>
      </c>
      <c r="C418" s="3" t="s">
        <v>4</v>
      </c>
    </row>
    <row r="419">
      <c r="A419" s="3">
        <v>6242.0</v>
      </c>
      <c r="B419" s="4">
        <v>45299.03135416667</v>
      </c>
      <c r="C419" s="3" t="s">
        <v>3</v>
      </c>
    </row>
    <row r="420">
      <c r="A420" s="3">
        <v>5702.0</v>
      </c>
      <c r="B420" s="4">
        <v>45299.04356481481</v>
      </c>
      <c r="C420" s="3" t="s">
        <v>4</v>
      </c>
    </row>
    <row r="421">
      <c r="A421" s="3">
        <v>6689.0</v>
      </c>
      <c r="B421" s="4">
        <v>45299.05190972222</v>
      </c>
      <c r="C421" s="3" t="s">
        <v>4</v>
      </c>
    </row>
    <row r="422">
      <c r="A422" s="3">
        <v>2407.0</v>
      </c>
      <c r="B422" s="4">
        <v>45299.06861111111</v>
      </c>
      <c r="C422" s="3" t="s">
        <v>3</v>
      </c>
    </row>
    <row r="423">
      <c r="A423" s="3">
        <v>7081.0</v>
      </c>
      <c r="B423" s="4">
        <v>45299.1046412037</v>
      </c>
      <c r="C423" s="3" t="s">
        <v>3</v>
      </c>
    </row>
    <row r="424">
      <c r="A424" s="3">
        <v>2954.0</v>
      </c>
      <c r="B424" s="4">
        <v>45299.107939814814</v>
      </c>
      <c r="C424" s="3" t="s">
        <v>3</v>
      </c>
    </row>
    <row r="425">
      <c r="A425" s="3">
        <v>2405.0</v>
      </c>
      <c r="B425" s="4">
        <v>45299.128530092596</v>
      </c>
      <c r="C425" s="3" t="s">
        <v>6</v>
      </c>
    </row>
    <row r="426">
      <c r="A426" s="3">
        <v>765.0</v>
      </c>
      <c r="B426" s="4">
        <v>45299.14980324074</v>
      </c>
      <c r="C426" s="3" t="s">
        <v>6</v>
      </c>
    </row>
    <row r="427">
      <c r="A427" s="3">
        <v>4415.0</v>
      </c>
      <c r="B427" s="4">
        <v>45299.15787037037</v>
      </c>
      <c r="C427" s="3" t="s">
        <v>3</v>
      </c>
    </row>
    <row r="428">
      <c r="A428" s="3">
        <v>4593.0</v>
      </c>
      <c r="B428" s="4">
        <v>45299.164375</v>
      </c>
      <c r="C428" s="3" t="s">
        <v>4</v>
      </c>
    </row>
    <row r="429">
      <c r="A429" s="3">
        <v>5156.0</v>
      </c>
      <c r="B429" s="4">
        <v>45299.18344907407</v>
      </c>
      <c r="C429" s="3" t="s">
        <v>5</v>
      </c>
    </row>
    <row r="430">
      <c r="A430" s="3">
        <v>2310.0</v>
      </c>
      <c r="B430" s="4">
        <v>45299.19231481481</v>
      </c>
      <c r="C430" s="3" t="s">
        <v>3</v>
      </c>
    </row>
    <row r="431">
      <c r="A431" s="3">
        <v>6544.0</v>
      </c>
      <c r="B431" s="4">
        <v>45299.258472222224</v>
      </c>
      <c r="C431" s="3" t="s">
        <v>3</v>
      </c>
    </row>
    <row r="432">
      <c r="A432" s="3">
        <v>2993.0</v>
      </c>
      <c r="B432" s="4">
        <v>45299.26960648148</v>
      </c>
      <c r="C432" s="3" t="s">
        <v>6</v>
      </c>
    </row>
    <row r="433">
      <c r="A433" s="3">
        <v>4363.0</v>
      </c>
      <c r="B433" s="4">
        <v>45299.28465277778</v>
      </c>
      <c r="C433" s="3" t="s">
        <v>6</v>
      </c>
    </row>
    <row r="434">
      <c r="A434" s="3">
        <v>6242.0</v>
      </c>
      <c r="B434" s="4">
        <v>45299.292708333334</v>
      </c>
      <c r="C434" s="3" t="s">
        <v>4</v>
      </c>
    </row>
    <row r="435">
      <c r="A435" s="3">
        <v>6791.0</v>
      </c>
      <c r="B435" s="4">
        <v>45299.30452546296</v>
      </c>
      <c r="C435" s="3" t="s">
        <v>3</v>
      </c>
    </row>
    <row r="436">
      <c r="A436" s="3">
        <v>3004.0</v>
      </c>
      <c r="B436" s="4">
        <v>45299.31548611111</v>
      </c>
      <c r="C436" s="3" t="s">
        <v>3</v>
      </c>
    </row>
    <row r="437">
      <c r="A437" s="3">
        <v>541.0</v>
      </c>
      <c r="B437" s="4">
        <v>45299.31912037037</v>
      </c>
      <c r="C437" s="3" t="s">
        <v>3</v>
      </c>
    </row>
    <row r="438">
      <c r="A438" s="3">
        <v>6205.0</v>
      </c>
      <c r="B438" s="4">
        <v>45299.32001157408</v>
      </c>
      <c r="C438" s="3" t="s">
        <v>3</v>
      </c>
    </row>
    <row r="439">
      <c r="A439" s="3">
        <v>2845.0</v>
      </c>
      <c r="B439" s="4">
        <v>45299.32275462963</v>
      </c>
      <c r="C439" s="3" t="s">
        <v>4</v>
      </c>
    </row>
    <row r="440">
      <c r="A440" s="3">
        <v>4101.0</v>
      </c>
      <c r="B440" s="4">
        <v>45299.371712962966</v>
      </c>
      <c r="C440" s="3" t="s">
        <v>3</v>
      </c>
    </row>
    <row r="441">
      <c r="A441" s="3">
        <v>4976.0</v>
      </c>
      <c r="B441" s="4">
        <v>45299.390601851854</v>
      </c>
      <c r="C441" s="3" t="s">
        <v>3</v>
      </c>
    </row>
    <row r="442">
      <c r="A442" s="3">
        <v>2562.0</v>
      </c>
      <c r="B442" s="4">
        <v>45299.39811342592</v>
      </c>
      <c r="C442" s="3" t="s">
        <v>4</v>
      </c>
    </row>
    <row r="443">
      <c r="A443" s="3">
        <v>1796.0</v>
      </c>
      <c r="B443" s="4">
        <v>45299.41065972222</v>
      </c>
      <c r="C443" s="3" t="s">
        <v>5</v>
      </c>
    </row>
    <row r="444">
      <c r="A444" s="3">
        <v>6689.0</v>
      </c>
      <c r="B444" s="4">
        <v>45299.4212962963</v>
      </c>
      <c r="C444" s="3" t="s">
        <v>3</v>
      </c>
    </row>
    <row r="445">
      <c r="A445" s="3">
        <v>6791.0</v>
      </c>
      <c r="B445" s="4">
        <v>45299.44736111111</v>
      </c>
      <c r="C445" s="3" t="s">
        <v>4</v>
      </c>
    </row>
    <row r="446">
      <c r="A446" s="3">
        <v>7003.0</v>
      </c>
      <c r="B446" s="4">
        <v>45299.46266203704</v>
      </c>
      <c r="C446" s="3" t="s">
        <v>7</v>
      </c>
    </row>
    <row r="447">
      <c r="A447" s="3">
        <v>4233.0</v>
      </c>
      <c r="B447" s="4">
        <v>45299.48195601852</v>
      </c>
      <c r="C447" s="3" t="s">
        <v>3</v>
      </c>
    </row>
    <row r="448">
      <c r="A448" s="3">
        <v>4363.0</v>
      </c>
      <c r="B448" s="4">
        <v>45299.49613425926</v>
      </c>
      <c r="C448" s="3" t="s">
        <v>4</v>
      </c>
    </row>
    <row r="449">
      <c r="A449" s="3">
        <v>1729.0</v>
      </c>
      <c r="B449" s="4">
        <v>45299.49836805555</v>
      </c>
      <c r="C449" s="3" t="s">
        <v>3</v>
      </c>
    </row>
    <row r="450">
      <c r="A450" s="3">
        <v>3657.0</v>
      </c>
      <c r="B450" s="4">
        <v>45299.50232638889</v>
      </c>
      <c r="C450" s="3" t="s">
        <v>4</v>
      </c>
    </row>
    <row r="451">
      <c r="A451" s="3">
        <v>2150.0</v>
      </c>
      <c r="B451" s="4">
        <v>45299.52226851852</v>
      </c>
      <c r="C451" s="3" t="s">
        <v>5</v>
      </c>
    </row>
    <row r="452">
      <c r="A452" s="3">
        <v>1771.0</v>
      </c>
      <c r="B452" s="4">
        <v>45299.54010416667</v>
      </c>
      <c r="C452" s="3" t="s">
        <v>3</v>
      </c>
    </row>
    <row r="453">
      <c r="A453" s="3">
        <v>6665.0</v>
      </c>
      <c r="B453" s="4">
        <v>45299.54765046296</v>
      </c>
      <c r="C453" s="3" t="s">
        <v>4</v>
      </c>
    </row>
    <row r="454">
      <c r="A454" s="3">
        <v>1796.0</v>
      </c>
      <c r="B454" s="4">
        <v>45299.562997685185</v>
      </c>
      <c r="C454" s="3" t="s">
        <v>7</v>
      </c>
    </row>
    <row r="455">
      <c r="A455" s="3">
        <v>3157.0</v>
      </c>
      <c r="B455" s="4">
        <v>45299.574525462966</v>
      </c>
      <c r="C455" s="3" t="s">
        <v>3</v>
      </c>
    </row>
    <row r="456">
      <c r="A456" s="3">
        <v>799.0</v>
      </c>
      <c r="B456" s="4">
        <v>45299.582141203704</v>
      </c>
      <c r="C456" s="3" t="s">
        <v>3</v>
      </c>
    </row>
    <row r="457">
      <c r="A457" s="3">
        <v>7467.0</v>
      </c>
      <c r="B457" s="4">
        <v>45299.60071759259</v>
      </c>
      <c r="C457" s="3" t="s">
        <v>6</v>
      </c>
    </row>
    <row r="458">
      <c r="A458" s="3">
        <v>2707.0</v>
      </c>
      <c r="B458" s="4">
        <v>45299.604375</v>
      </c>
      <c r="C458" s="3" t="s">
        <v>5</v>
      </c>
    </row>
    <row r="459">
      <c r="A459" s="3">
        <v>3218.0</v>
      </c>
      <c r="B459" s="4">
        <v>45299.60702546296</v>
      </c>
      <c r="C459" s="3" t="s">
        <v>7</v>
      </c>
    </row>
    <row r="460">
      <c r="A460" s="3">
        <v>321.0</v>
      </c>
      <c r="B460" s="4">
        <v>45299.60774305555</v>
      </c>
      <c r="C460" s="3" t="s">
        <v>4</v>
      </c>
    </row>
    <row r="461">
      <c r="A461" s="3">
        <v>5194.0</v>
      </c>
      <c r="B461" s="4">
        <v>45299.667719907404</v>
      </c>
      <c r="C461" s="3" t="s">
        <v>5</v>
      </c>
    </row>
    <row r="462">
      <c r="A462" s="3">
        <v>2524.0</v>
      </c>
      <c r="B462" s="4">
        <v>45299.67454861111</v>
      </c>
      <c r="C462" s="3" t="s">
        <v>3</v>
      </c>
    </row>
    <row r="463">
      <c r="A463" s="3">
        <v>7082.0</v>
      </c>
      <c r="B463" s="4">
        <v>45299.67601851852</v>
      </c>
      <c r="C463" s="3" t="s">
        <v>3</v>
      </c>
    </row>
    <row r="464">
      <c r="A464" s="3">
        <v>5326.0</v>
      </c>
      <c r="B464" s="4">
        <v>45299.6830787037</v>
      </c>
      <c r="C464" s="3" t="s">
        <v>3</v>
      </c>
    </row>
    <row r="465">
      <c r="A465" s="3">
        <v>3657.0</v>
      </c>
      <c r="B465" s="4">
        <v>45299.68791666667</v>
      </c>
      <c r="C465" s="3" t="s">
        <v>3</v>
      </c>
    </row>
    <row r="466">
      <c r="A466" s="3">
        <v>2845.0</v>
      </c>
      <c r="B466" s="4">
        <v>45299.69415509259</v>
      </c>
      <c r="C466" s="3" t="s">
        <v>3</v>
      </c>
    </row>
    <row r="467">
      <c r="A467" s="3">
        <v>4592.0</v>
      </c>
      <c r="B467" s="4">
        <v>45299.70141203704</v>
      </c>
      <c r="C467" s="3" t="s">
        <v>6</v>
      </c>
    </row>
    <row r="468">
      <c r="A468" s="3">
        <v>3772.0</v>
      </c>
      <c r="B468" s="4">
        <v>45299.70989583333</v>
      </c>
      <c r="C468" s="3" t="s">
        <v>5</v>
      </c>
    </row>
    <row r="469">
      <c r="A469" s="3">
        <v>4851.0</v>
      </c>
      <c r="B469" s="4">
        <v>45299.713125</v>
      </c>
      <c r="C469" s="3" t="s">
        <v>3</v>
      </c>
    </row>
    <row r="470">
      <c r="A470" s="3">
        <v>2199.0</v>
      </c>
      <c r="B470" s="4">
        <v>45299.73553240741</v>
      </c>
      <c r="C470" s="3" t="s">
        <v>3</v>
      </c>
    </row>
    <row r="471">
      <c r="A471" s="3">
        <v>3352.0</v>
      </c>
      <c r="B471" s="4">
        <v>45299.752546296295</v>
      </c>
      <c r="C471" s="3" t="s">
        <v>3</v>
      </c>
    </row>
    <row r="472">
      <c r="A472" s="3">
        <v>1730.0</v>
      </c>
      <c r="B472" s="4">
        <v>45299.75586805555</v>
      </c>
      <c r="C472" s="3" t="s">
        <v>3</v>
      </c>
    </row>
    <row r="473">
      <c r="A473" s="3">
        <v>2616.0</v>
      </c>
      <c r="B473" s="4">
        <v>45299.78693287037</v>
      </c>
      <c r="C473" s="3" t="s">
        <v>3</v>
      </c>
    </row>
    <row r="474">
      <c r="A474" s="3">
        <v>1771.0</v>
      </c>
      <c r="B474" s="4">
        <v>45299.78841435185</v>
      </c>
      <c r="C474" s="3" t="s">
        <v>4</v>
      </c>
    </row>
    <row r="475">
      <c r="A475" s="3">
        <v>4321.0</v>
      </c>
      <c r="B475" s="4">
        <v>45299.791550925926</v>
      </c>
      <c r="C475" s="3" t="s">
        <v>6</v>
      </c>
    </row>
    <row r="476">
      <c r="A476" s="3">
        <v>3008.0</v>
      </c>
      <c r="B476" s="4">
        <v>45299.826365740744</v>
      </c>
      <c r="C476" s="3" t="s">
        <v>3</v>
      </c>
    </row>
    <row r="477">
      <c r="A477" s="3">
        <v>4976.0</v>
      </c>
      <c r="B477" s="4">
        <v>45299.826516203706</v>
      </c>
      <c r="C477" s="3" t="s">
        <v>4</v>
      </c>
    </row>
    <row r="478">
      <c r="A478" s="3">
        <v>7375.0</v>
      </c>
      <c r="B478" s="4">
        <v>45299.82962962963</v>
      </c>
      <c r="C478" s="3" t="s">
        <v>3</v>
      </c>
    </row>
    <row r="479">
      <c r="A479" s="3">
        <v>5186.0</v>
      </c>
      <c r="B479" s="4">
        <v>45299.83324074074</v>
      </c>
      <c r="C479" s="3" t="s">
        <v>6</v>
      </c>
    </row>
    <row r="480">
      <c r="A480" s="3">
        <v>6737.0</v>
      </c>
      <c r="B480" s="4">
        <v>45299.87008101852</v>
      </c>
      <c r="C480" s="3" t="s">
        <v>3</v>
      </c>
    </row>
    <row r="481">
      <c r="A481" s="3">
        <v>3639.0</v>
      </c>
      <c r="B481" s="4">
        <v>45299.8784375</v>
      </c>
      <c r="C481" s="3" t="s">
        <v>3</v>
      </c>
    </row>
    <row r="482">
      <c r="A482" s="3">
        <v>1056.0</v>
      </c>
      <c r="B482" s="4">
        <v>45299.91496527778</v>
      </c>
      <c r="C482" s="3" t="s">
        <v>7</v>
      </c>
    </row>
    <row r="483">
      <c r="A483" s="3">
        <v>504.0</v>
      </c>
      <c r="B483" s="4">
        <v>45299.95525462963</v>
      </c>
      <c r="C483" s="3" t="s">
        <v>7</v>
      </c>
    </row>
    <row r="484">
      <c r="A484" s="3">
        <v>7892.0</v>
      </c>
      <c r="B484" s="4">
        <v>45299.95769675926</v>
      </c>
      <c r="C484" s="3" t="s">
        <v>4</v>
      </c>
    </row>
    <row r="485">
      <c r="A485" s="3">
        <v>5195.0</v>
      </c>
      <c r="B485" s="4">
        <v>45299.95947916667</v>
      </c>
      <c r="C485" s="3" t="s">
        <v>4</v>
      </c>
    </row>
    <row r="486">
      <c r="A486" s="3">
        <v>2150.0</v>
      </c>
      <c r="B486" s="4">
        <v>45299.96</v>
      </c>
      <c r="C486" s="3" t="s">
        <v>3</v>
      </c>
    </row>
    <row r="487">
      <c r="A487" s="3">
        <v>3910.0</v>
      </c>
      <c r="B487" s="4">
        <v>45299.97251157407</v>
      </c>
      <c r="C487" s="3" t="s">
        <v>4</v>
      </c>
    </row>
    <row r="488">
      <c r="A488" s="3">
        <v>7036.0</v>
      </c>
      <c r="B488" s="4">
        <v>45299.99826388889</v>
      </c>
      <c r="C488" s="3" t="s">
        <v>3</v>
      </c>
    </row>
    <row r="489">
      <c r="A489" s="3">
        <v>2610.0</v>
      </c>
      <c r="B489" s="4">
        <v>45300.00090277778</v>
      </c>
      <c r="C489" s="3" t="s">
        <v>3</v>
      </c>
    </row>
    <row r="490">
      <c r="A490" s="3">
        <v>734.0</v>
      </c>
      <c r="B490" s="4">
        <v>45300.00203703704</v>
      </c>
      <c r="C490" s="3" t="s">
        <v>7</v>
      </c>
    </row>
    <row r="491">
      <c r="A491" s="3">
        <v>2570.0</v>
      </c>
      <c r="B491" s="4">
        <v>45300.01552083333</v>
      </c>
      <c r="C491" s="3" t="s">
        <v>6</v>
      </c>
    </row>
    <row r="492">
      <c r="A492" s="3">
        <v>3617.0</v>
      </c>
      <c r="B492" s="4">
        <v>45300.03269675926</v>
      </c>
      <c r="C492" s="3" t="s">
        <v>4</v>
      </c>
    </row>
    <row r="493">
      <c r="A493" s="3">
        <v>1056.0</v>
      </c>
      <c r="B493" s="4">
        <v>45300.048993055556</v>
      </c>
      <c r="C493" s="3" t="s">
        <v>4</v>
      </c>
    </row>
    <row r="494">
      <c r="A494" s="3">
        <v>7274.0</v>
      </c>
      <c r="B494" s="4">
        <v>45300.051469907405</v>
      </c>
      <c r="C494" s="3" t="s">
        <v>5</v>
      </c>
    </row>
    <row r="495">
      <c r="A495" s="3">
        <v>4120.0</v>
      </c>
      <c r="B495" s="4">
        <v>45300.05548611111</v>
      </c>
      <c r="C495" s="3" t="s">
        <v>7</v>
      </c>
    </row>
    <row r="496">
      <c r="A496" s="3">
        <v>5147.0</v>
      </c>
      <c r="B496" s="4">
        <v>45300.06420138889</v>
      </c>
      <c r="C496" s="3" t="s">
        <v>7</v>
      </c>
    </row>
    <row r="497">
      <c r="A497" s="3">
        <v>3617.0</v>
      </c>
      <c r="B497" s="4">
        <v>45300.072118055556</v>
      </c>
      <c r="C497" s="3" t="s">
        <v>3</v>
      </c>
    </row>
    <row r="498">
      <c r="A498" s="3">
        <v>2639.0</v>
      </c>
      <c r="B498" s="4">
        <v>45300.12883101852</v>
      </c>
      <c r="C498" s="3" t="s">
        <v>7</v>
      </c>
    </row>
    <row r="499">
      <c r="A499" s="3">
        <v>2898.0</v>
      </c>
      <c r="B499" s="4">
        <v>45300.135300925926</v>
      </c>
      <c r="C499" s="3" t="s">
        <v>4</v>
      </c>
    </row>
    <row r="500">
      <c r="A500" s="3">
        <v>687.0</v>
      </c>
      <c r="B500" s="4">
        <v>45300.147523148145</v>
      </c>
      <c r="C500" s="3" t="s">
        <v>3</v>
      </c>
    </row>
    <row r="501">
      <c r="A501" s="3">
        <v>4775.0</v>
      </c>
      <c r="B501" s="4">
        <v>45300.153495370374</v>
      </c>
      <c r="C501" s="3" t="s">
        <v>6</v>
      </c>
    </row>
    <row r="502">
      <c r="A502" s="3">
        <v>4227.0</v>
      </c>
      <c r="B502" s="4">
        <v>45300.16038194444</v>
      </c>
      <c r="C502" s="3" t="s">
        <v>3</v>
      </c>
    </row>
    <row r="503">
      <c r="A503" s="3">
        <v>6046.0</v>
      </c>
      <c r="B503" s="4">
        <v>45300.16626157407</v>
      </c>
      <c r="C503" s="3" t="s">
        <v>3</v>
      </c>
    </row>
    <row r="504">
      <c r="A504" s="3">
        <v>6065.0</v>
      </c>
      <c r="B504" s="4">
        <v>45300.18543981481</v>
      </c>
      <c r="C504" s="3" t="s">
        <v>3</v>
      </c>
    </row>
    <row r="505">
      <c r="A505" s="3">
        <v>7990.0</v>
      </c>
      <c r="B505" s="4">
        <v>45300.2544212963</v>
      </c>
      <c r="C505" s="3" t="s">
        <v>6</v>
      </c>
    </row>
    <row r="506">
      <c r="A506" s="3">
        <v>375.0</v>
      </c>
      <c r="B506" s="4">
        <v>45300.26047453703</v>
      </c>
      <c r="C506" s="3" t="s">
        <v>3</v>
      </c>
    </row>
    <row r="507">
      <c r="A507" s="3">
        <v>4629.0</v>
      </c>
      <c r="B507" s="4">
        <v>45300.30130787037</v>
      </c>
      <c r="C507" s="3" t="s">
        <v>3</v>
      </c>
    </row>
    <row r="508">
      <c r="A508" s="3">
        <v>3535.0</v>
      </c>
      <c r="B508" s="4">
        <v>45300.30228009259</v>
      </c>
      <c r="C508" s="3" t="s">
        <v>4</v>
      </c>
    </row>
    <row r="509">
      <c r="A509" s="3">
        <v>6544.0</v>
      </c>
      <c r="B509" s="4">
        <v>45300.31501157407</v>
      </c>
      <c r="C509" s="3" t="s">
        <v>6</v>
      </c>
    </row>
    <row r="510">
      <c r="A510" s="3">
        <v>4775.0</v>
      </c>
      <c r="B510" s="4">
        <v>45300.31861111111</v>
      </c>
      <c r="C510" s="3" t="s">
        <v>5</v>
      </c>
    </row>
    <row r="511">
      <c r="A511" s="3">
        <v>7307.0</v>
      </c>
      <c r="B511" s="4">
        <v>45300.31914351852</v>
      </c>
      <c r="C511" s="3" t="s">
        <v>3</v>
      </c>
    </row>
    <row r="512">
      <c r="A512" s="3">
        <v>1502.0</v>
      </c>
      <c r="B512" s="4">
        <v>45300.33744212963</v>
      </c>
      <c r="C512" s="3" t="s">
        <v>3</v>
      </c>
    </row>
    <row r="513">
      <c r="A513" s="3">
        <v>3535.0</v>
      </c>
      <c r="B513" s="4">
        <v>45300.35157407408</v>
      </c>
      <c r="C513" s="3" t="s">
        <v>3</v>
      </c>
    </row>
    <row r="514">
      <c r="A514" s="3">
        <v>3758.0</v>
      </c>
      <c r="B514" s="4">
        <v>45300.36288194444</v>
      </c>
      <c r="C514" s="3" t="s">
        <v>4</v>
      </c>
    </row>
    <row r="515">
      <c r="A515" s="3">
        <v>1115.0</v>
      </c>
      <c r="B515" s="4">
        <v>45300.368101851855</v>
      </c>
      <c r="C515" s="3" t="s">
        <v>3</v>
      </c>
    </row>
    <row r="516">
      <c r="A516" s="3">
        <v>2002.0</v>
      </c>
      <c r="B516" s="4">
        <v>45300.375439814816</v>
      </c>
      <c r="C516" s="3" t="s">
        <v>3</v>
      </c>
    </row>
    <row r="517">
      <c r="A517" s="3">
        <v>3756.0</v>
      </c>
      <c r="B517" s="4">
        <v>45300.40534722222</v>
      </c>
      <c r="C517" s="3" t="s">
        <v>4</v>
      </c>
    </row>
    <row r="518">
      <c r="A518" s="3">
        <v>1939.0</v>
      </c>
      <c r="B518" s="4">
        <v>45300.41569444445</v>
      </c>
      <c r="C518" s="3" t="s">
        <v>3</v>
      </c>
    </row>
    <row r="519">
      <c r="A519" s="3">
        <v>4609.0</v>
      </c>
      <c r="B519" s="4">
        <v>45300.43163194445</v>
      </c>
      <c r="C519" s="3" t="s">
        <v>3</v>
      </c>
    </row>
    <row r="520">
      <c r="A520" s="3">
        <v>3617.0</v>
      </c>
      <c r="B520" s="4">
        <v>45300.439479166664</v>
      </c>
      <c r="C520" s="3" t="s">
        <v>5</v>
      </c>
    </row>
    <row r="521">
      <c r="A521" s="3">
        <v>6665.0</v>
      </c>
      <c r="B521" s="4">
        <v>45300.45978009259</v>
      </c>
      <c r="C521" s="3" t="s">
        <v>7</v>
      </c>
    </row>
    <row r="522">
      <c r="A522" s="3">
        <v>6370.0</v>
      </c>
      <c r="B522" s="4">
        <v>45300.462118055555</v>
      </c>
      <c r="C522" s="3" t="s">
        <v>3</v>
      </c>
    </row>
    <row r="523">
      <c r="A523" s="3">
        <v>2072.0</v>
      </c>
      <c r="B523" s="4">
        <v>45300.469618055555</v>
      </c>
      <c r="C523" s="3" t="s">
        <v>3</v>
      </c>
    </row>
    <row r="524">
      <c r="A524" s="3">
        <v>1796.0</v>
      </c>
      <c r="B524" s="4">
        <v>45300.51519675926</v>
      </c>
      <c r="C524" s="3" t="s">
        <v>6</v>
      </c>
    </row>
    <row r="525">
      <c r="A525" s="3">
        <v>6544.0</v>
      </c>
      <c r="B525" s="4">
        <v>45300.515555555554</v>
      </c>
      <c r="C525" s="3" t="s">
        <v>5</v>
      </c>
    </row>
    <row r="526">
      <c r="A526" s="3">
        <v>248.0</v>
      </c>
      <c r="B526" s="4">
        <v>45300.524722222224</v>
      </c>
      <c r="C526" s="3" t="s">
        <v>3</v>
      </c>
    </row>
    <row r="527">
      <c r="A527" s="3">
        <v>882.0</v>
      </c>
      <c r="B527" s="4">
        <v>45300.533321759256</v>
      </c>
      <c r="C527" s="3" t="s">
        <v>3</v>
      </c>
    </row>
    <row r="528">
      <c r="A528" s="3">
        <v>6799.0</v>
      </c>
      <c r="B528" s="4">
        <v>45300.542592592596</v>
      </c>
      <c r="C528" s="3" t="s">
        <v>3</v>
      </c>
    </row>
    <row r="529">
      <c r="A529" s="3">
        <v>2620.0</v>
      </c>
      <c r="B529" s="4">
        <v>45300.54268518519</v>
      </c>
      <c r="C529" s="3" t="s">
        <v>4</v>
      </c>
    </row>
    <row r="530">
      <c r="A530" s="3">
        <v>858.0</v>
      </c>
      <c r="B530" s="4">
        <v>45300.554247685184</v>
      </c>
      <c r="C530" s="3" t="s">
        <v>3</v>
      </c>
    </row>
    <row r="531">
      <c r="A531" s="3">
        <v>1729.0</v>
      </c>
      <c r="B531" s="4">
        <v>45300.56181712963</v>
      </c>
      <c r="C531" s="3" t="s">
        <v>5</v>
      </c>
    </row>
    <row r="532">
      <c r="A532" s="3">
        <v>1906.0</v>
      </c>
      <c r="B532" s="4">
        <v>45300.578576388885</v>
      </c>
      <c r="C532" s="3" t="s">
        <v>7</v>
      </c>
    </row>
    <row r="533">
      <c r="A533" s="3">
        <v>4694.0</v>
      </c>
      <c r="B533" s="4">
        <v>45300.59584490741</v>
      </c>
      <c r="C533" s="3" t="s">
        <v>7</v>
      </c>
    </row>
    <row r="534">
      <c r="A534" s="3">
        <v>2150.0</v>
      </c>
      <c r="B534" s="4">
        <v>45300.598599537036</v>
      </c>
      <c r="C534" s="3" t="s">
        <v>4</v>
      </c>
    </row>
    <row r="535">
      <c r="A535" s="3">
        <v>3218.0</v>
      </c>
      <c r="B535" s="4">
        <v>45300.60613425926</v>
      </c>
      <c r="C535" s="3" t="s">
        <v>5</v>
      </c>
    </row>
    <row r="536">
      <c r="A536" s="3">
        <v>2922.0</v>
      </c>
      <c r="B536" s="4">
        <v>45300.61246527778</v>
      </c>
      <c r="C536" s="3" t="s">
        <v>4</v>
      </c>
    </row>
    <row r="537">
      <c r="A537" s="3">
        <v>799.0</v>
      </c>
      <c r="B537" s="4">
        <v>45300.628020833334</v>
      </c>
      <c r="C537" s="3" t="s">
        <v>5</v>
      </c>
    </row>
    <row r="538">
      <c r="A538" s="3">
        <v>3008.0</v>
      </c>
      <c r="B538" s="4">
        <v>45300.640335648146</v>
      </c>
      <c r="C538" s="3" t="s">
        <v>7</v>
      </c>
    </row>
    <row r="539">
      <c r="A539" s="3">
        <v>7704.0</v>
      </c>
      <c r="B539" s="4">
        <v>45300.71443287037</v>
      </c>
      <c r="C539" s="3" t="s">
        <v>3</v>
      </c>
    </row>
    <row r="540">
      <c r="A540" s="3">
        <v>1407.0</v>
      </c>
      <c r="B540" s="4">
        <v>45300.73273148148</v>
      </c>
      <c r="C540" s="3" t="s">
        <v>3</v>
      </c>
    </row>
    <row r="541">
      <c r="A541" s="3">
        <v>7748.0</v>
      </c>
      <c r="B541" s="4">
        <v>45300.747395833336</v>
      </c>
      <c r="C541" s="3" t="s">
        <v>3</v>
      </c>
    </row>
    <row r="542">
      <c r="A542" s="3">
        <v>6544.0</v>
      </c>
      <c r="B542" s="4">
        <v>45300.74743055556</v>
      </c>
      <c r="C542" s="3" t="s">
        <v>4</v>
      </c>
    </row>
    <row r="543">
      <c r="A543" s="3">
        <v>2524.0</v>
      </c>
      <c r="B543" s="4">
        <v>45300.75366898148</v>
      </c>
      <c r="C543" s="3" t="s">
        <v>4</v>
      </c>
    </row>
    <row r="544">
      <c r="A544" s="3">
        <v>6799.0</v>
      </c>
      <c r="B544" s="4">
        <v>45300.777349537035</v>
      </c>
      <c r="C544" s="3" t="s">
        <v>5</v>
      </c>
    </row>
    <row r="545">
      <c r="A545" s="3">
        <v>7530.0</v>
      </c>
      <c r="B545" s="4">
        <v>45300.780590277776</v>
      </c>
      <c r="C545" s="3" t="s">
        <v>3</v>
      </c>
    </row>
    <row r="546">
      <c r="A546" s="3">
        <v>5195.0</v>
      </c>
      <c r="B546" s="4">
        <v>45300.78150462963</v>
      </c>
      <c r="C546" s="3" t="s">
        <v>7</v>
      </c>
    </row>
    <row r="547">
      <c r="A547" s="3">
        <v>799.0</v>
      </c>
      <c r="B547" s="4">
        <v>45300.80699074074</v>
      </c>
      <c r="C547" s="3" t="s">
        <v>4</v>
      </c>
    </row>
    <row r="548">
      <c r="A548" s="3">
        <v>2407.0</v>
      </c>
      <c r="B548" s="4">
        <v>45300.813784722224</v>
      </c>
      <c r="C548" s="3" t="s">
        <v>5</v>
      </c>
    </row>
    <row r="549">
      <c r="A549" s="3">
        <v>307.0</v>
      </c>
      <c r="B549" s="4">
        <v>45300.81407407407</v>
      </c>
      <c r="C549" s="3" t="s">
        <v>3</v>
      </c>
    </row>
    <row r="550">
      <c r="A550" s="3">
        <v>209.0</v>
      </c>
      <c r="B550" s="4">
        <v>45300.83965277778</v>
      </c>
      <c r="C550" s="3" t="s">
        <v>7</v>
      </c>
    </row>
    <row r="551">
      <c r="A551" s="3">
        <v>2898.0</v>
      </c>
      <c r="B551" s="4">
        <v>45300.87055555556</v>
      </c>
      <c r="C551" s="3" t="s">
        <v>3</v>
      </c>
    </row>
    <row r="552">
      <c r="A552" s="3">
        <v>7274.0</v>
      </c>
      <c r="B552" s="4">
        <v>45300.877222222225</v>
      </c>
      <c r="C552" s="3" t="s">
        <v>3</v>
      </c>
    </row>
    <row r="553">
      <c r="A553" s="3">
        <v>5326.0</v>
      </c>
      <c r="B553" s="4">
        <v>45300.92400462963</v>
      </c>
      <c r="C553" s="3" t="s">
        <v>5</v>
      </c>
    </row>
    <row r="554">
      <c r="A554" s="3">
        <v>7530.0</v>
      </c>
      <c r="B554" s="4">
        <v>45300.92732638889</v>
      </c>
      <c r="C554" s="3" t="s">
        <v>4</v>
      </c>
    </row>
    <row r="555">
      <c r="A555" s="3">
        <v>3663.0</v>
      </c>
      <c r="B555" s="4">
        <v>45300.95446759259</v>
      </c>
      <c r="C555" s="3" t="s">
        <v>3</v>
      </c>
    </row>
    <row r="556">
      <c r="A556" s="3">
        <v>7274.0</v>
      </c>
      <c r="B556" s="4">
        <v>45300.977372685185</v>
      </c>
      <c r="C556" s="3" t="s">
        <v>4</v>
      </c>
    </row>
    <row r="557">
      <c r="A557" s="3">
        <v>7314.0</v>
      </c>
      <c r="B557" s="4">
        <v>45300.98971064815</v>
      </c>
      <c r="C557" s="3" t="s">
        <v>3</v>
      </c>
    </row>
    <row r="558">
      <c r="A558" s="3">
        <v>6618.0</v>
      </c>
      <c r="B558" s="4">
        <v>45301.00295138889</v>
      </c>
      <c r="C558" s="3" t="s">
        <v>3</v>
      </c>
    </row>
    <row r="559">
      <c r="A559" s="3">
        <v>3008.0</v>
      </c>
      <c r="B559" s="4">
        <v>45301.01384259259</v>
      </c>
      <c r="C559" s="3" t="s">
        <v>5</v>
      </c>
    </row>
    <row r="560">
      <c r="A560" s="3">
        <v>7679.0</v>
      </c>
      <c r="B560" s="4">
        <v>45301.01949074074</v>
      </c>
      <c r="C560" s="3" t="s">
        <v>3</v>
      </c>
    </row>
    <row r="561">
      <c r="A561" s="3">
        <v>1636.0</v>
      </c>
      <c r="B561" s="4">
        <v>45301.05738425926</v>
      </c>
      <c r="C561" s="3" t="s">
        <v>3</v>
      </c>
    </row>
    <row r="562">
      <c r="A562" s="3">
        <v>7020.0</v>
      </c>
      <c r="B562" s="4">
        <v>45301.05986111111</v>
      </c>
      <c r="C562" s="3" t="s">
        <v>3</v>
      </c>
    </row>
    <row r="563">
      <c r="A563" s="3">
        <v>882.0</v>
      </c>
      <c r="B563" s="4">
        <v>45301.06318287037</v>
      </c>
      <c r="C563" s="3" t="s">
        <v>4</v>
      </c>
    </row>
    <row r="564">
      <c r="A564" s="3">
        <v>1729.0</v>
      </c>
      <c r="B564" s="4">
        <v>45301.06375</v>
      </c>
      <c r="C564" s="3" t="s">
        <v>4</v>
      </c>
    </row>
    <row r="565">
      <c r="A565" s="3">
        <v>5603.0</v>
      </c>
      <c r="B565" s="4">
        <v>45301.06765046297</v>
      </c>
      <c r="C565" s="3" t="s">
        <v>6</v>
      </c>
    </row>
    <row r="566">
      <c r="A566" s="3">
        <v>209.0</v>
      </c>
      <c r="B566" s="4">
        <v>45301.087592592594</v>
      </c>
      <c r="C566" s="3" t="s">
        <v>6</v>
      </c>
    </row>
    <row r="567">
      <c r="A567" s="3">
        <v>3121.0</v>
      </c>
      <c r="B567" s="4">
        <v>45301.09380787037</v>
      </c>
      <c r="C567" s="3" t="s">
        <v>3</v>
      </c>
    </row>
    <row r="568">
      <c r="A568" s="3">
        <v>5315.0</v>
      </c>
      <c r="B568" s="4">
        <v>45301.12637731482</v>
      </c>
      <c r="C568" s="3" t="s">
        <v>3</v>
      </c>
    </row>
    <row r="569">
      <c r="A569" s="3">
        <v>2796.0</v>
      </c>
      <c r="B569" s="4">
        <v>45301.1355787037</v>
      </c>
      <c r="C569" s="3" t="s">
        <v>4</v>
      </c>
    </row>
    <row r="570">
      <c r="A570" s="3">
        <v>5485.0</v>
      </c>
      <c r="B570" s="4">
        <v>45301.138657407406</v>
      </c>
      <c r="C570" s="3" t="s">
        <v>3</v>
      </c>
    </row>
    <row r="571">
      <c r="A571" s="3">
        <v>5633.0</v>
      </c>
      <c r="B571" s="4">
        <v>45301.14225694445</v>
      </c>
      <c r="C571" s="3" t="s">
        <v>5</v>
      </c>
    </row>
    <row r="572">
      <c r="A572" s="3">
        <v>541.0</v>
      </c>
      <c r="B572" s="4">
        <v>45301.16662037037</v>
      </c>
      <c r="C572" s="3" t="s">
        <v>4</v>
      </c>
    </row>
    <row r="573">
      <c r="A573" s="3">
        <v>4609.0</v>
      </c>
      <c r="B573" s="4">
        <v>45301.17859953704</v>
      </c>
      <c r="C573" s="3" t="s">
        <v>5</v>
      </c>
    </row>
    <row r="574">
      <c r="A574" s="3">
        <v>3657.0</v>
      </c>
      <c r="B574" s="4">
        <v>45301.188263888886</v>
      </c>
      <c r="C574" s="3" t="s">
        <v>5</v>
      </c>
    </row>
    <row r="575">
      <c r="A575" s="3">
        <v>6031.0</v>
      </c>
      <c r="B575" s="4">
        <v>45301.19440972222</v>
      </c>
      <c r="C575" s="3" t="s">
        <v>3</v>
      </c>
    </row>
    <row r="576">
      <c r="A576" s="3">
        <v>2407.0</v>
      </c>
      <c r="B576" s="4">
        <v>45301.20212962963</v>
      </c>
      <c r="C576" s="3" t="s">
        <v>7</v>
      </c>
    </row>
    <row r="577">
      <c r="A577" s="3">
        <v>1346.0</v>
      </c>
      <c r="B577" s="4">
        <v>45301.22881944444</v>
      </c>
      <c r="C577" s="3" t="s">
        <v>4</v>
      </c>
    </row>
    <row r="578">
      <c r="A578" s="3">
        <v>3718.0</v>
      </c>
      <c r="B578" s="4">
        <v>45301.23607638889</v>
      </c>
      <c r="C578" s="3" t="s">
        <v>4</v>
      </c>
    </row>
    <row r="579">
      <c r="A579" s="3">
        <v>6210.0</v>
      </c>
      <c r="B579" s="4">
        <v>45301.245462962965</v>
      </c>
      <c r="C579" s="3" t="s">
        <v>3</v>
      </c>
    </row>
    <row r="580">
      <c r="A580" s="3">
        <v>7117.0</v>
      </c>
      <c r="B580" s="4">
        <v>45301.24607638889</v>
      </c>
      <c r="C580" s="3" t="s">
        <v>3</v>
      </c>
    </row>
    <row r="581">
      <c r="A581" s="3">
        <v>4499.0</v>
      </c>
      <c r="B581" s="4">
        <v>45301.26042824074</v>
      </c>
      <c r="C581" s="3" t="s">
        <v>6</v>
      </c>
    </row>
    <row r="582">
      <c r="A582" s="3">
        <v>4433.0</v>
      </c>
      <c r="B582" s="4">
        <v>45301.2683912037</v>
      </c>
      <c r="C582" s="3" t="s">
        <v>3</v>
      </c>
    </row>
    <row r="583">
      <c r="A583" s="3">
        <v>4439.0</v>
      </c>
      <c r="B583" s="4">
        <v>45301.29991898148</v>
      </c>
      <c r="C583" s="3" t="s">
        <v>3</v>
      </c>
    </row>
    <row r="584">
      <c r="A584" s="3">
        <v>7108.0</v>
      </c>
      <c r="B584" s="4">
        <v>45301.30206018518</v>
      </c>
      <c r="C584" s="3" t="s">
        <v>4</v>
      </c>
    </row>
    <row r="585">
      <c r="A585" s="3">
        <v>1346.0</v>
      </c>
      <c r="B585" s="4">
        <v>45301.30569444445</v>
      </c>
      <c r="C585" s="3" t="s">
        <v>3</v>
      </c>
    </row>
    <row r="586">
      <c r="A586" s="3">
        <v>1587.0</v>
      </c>
      <c r="B586" s="4">
        <v>45301.30743055556</v>
      </c>
      <c r="C586" s="3" t="s">
        <v>3</v>
      </c>
    </row>
    <row r="587">
      <c r="A587" s="3">
        <v>4598.0</v>
      </c>
      <c r="B587" s="4">
        <v>45301.315034722225</v>
      </c>
      <c r="C587" s="3" t="s">
        <v>6</v>
      </c>
    </row>
    <row r="588">
      <c r="A588" s="3">
        <v>707.0</v>
      </c>
      <c r="B588" s="4">
        <v>45301.32898148148</v>
      </c>
      <c r="C588" s="3" t="s">
        <v>3</v>
      </c>
    </row>
    <row r="589">
      <c r="A589" s="3">
        <v>2610.0</v>
      </c>
      <c r="B589" s="4">
        <v>45301.362129629626</v>
      </c>
      <c r="C589" s="3" t="s">
        <v>4</v>
      </c>
    </row>
    <row r="590">
      <c r="A590" s="3">
        <v>5307.0</v>
      </c>
      <c r="B590" s="4">
        <v>45301.40865740741</v>
      </c>
      <c r="C590" s="3" t="s">
        <v>6</v>
      </c>
    </row>
    <row r="591">
      <c r="A591" s="3">
        <v>2407.0</v>
      </c>
      <c r="B591" s="4">
        <v>45301.44888888889</v>
      </c>
      <c r="C591" s="3" t="s">
        <v>4</v>
      </c>
    </row>
    <row r="592">
      <c r="A592" s="3">
        <v>6610.0</v>
      </c>
      <c r="B592" s="4">
        <v>45301.45111111111</v>
      </c>
      <c r="C592" s="3" t="s">
        <v>3</v>
      </c>
    </row>
    <row r="593">
      <c r="A593" s="3">
        <v>7987.0</v>
      </c>
      <c r="B593" s="4">
        <v>45301.46329861111</v>
      </c>
      <c r="C593" s="3" t="s">
        <v>6</v>
      </c>
    </row>
    <row r="594">
      <c r="A594" s="3">
        <v>6790.0</v>
      </c>
      <c r="B594" s="4">
        <v>45301.47521990741</v>
      </c>
      <c r="C594" s="3" t="s">
        <v>3</v>
      </c>
    </row>
    <row r="595">
      <c r="A595" s="3">
        <v>6315.0</v>
      </c>
      <c r="B595" s="4">
        <v>45301.47777777778</v>
      </c>
      <c r="C595" s="3" t="s">
        <v>6</v>
      </c>
    </row>
    <row r="596">
      <c r="A596" s="3">
        <v>492.0</v>
      </c>
      <c r="B596" s="4">
        <v>45301.48321759259</v>
      </c>
      <c r="C596" s="3" t="s">
        <v>4</v>
      </c>
    </row>
    <row r="597">
      <c r="A597" s="3">
        <v>545.0</v>
      </c>
      <c r="B597" s="4">
        <v>45301.518217592595</v>
      </c>
      <c r="C597" s="3" t="s">
        <v>4</v>
      </c>
    </row>
    <row r="598">
      <c r="A598" s="3">
        <v>5409.0</v>
      </c>
      <c r="B598" s="4">
        <v>45301.53071759259</v>
      </c>
      <c r="C598" s="3" t="s">
        <v>4</v>
      </c>
    </row>
    <row r="599">
      <c r="A599" s="3">
        <v>2325.0</v>
      </c>
      <c r="B599" s="4">
        <v>45301.559699074074</v>
      </c>
      <c r="C599" s="3" t="s">
        <v>3</v>
      </c>
    </row>
    <row r="600">
      <c r="A600" s="3">
        <v>3616.0</v>
      </c>
      <c r="B600" s="4">
        <v>45301.566400462965</v>
      </c>
      <c r="C600" s="3" t="s">
        <v>5</v>
      </c>
    </row>
    <row r="601">
      <c r="A601" s="3">
        <v>4797.0</v>
      </c>
      <c r="B601" s="4">
        <v>45301.58248842593</v>
      </c>
      <c r="C601" s="3" t="s">
        <v>6</v>
      </c>
    </row>
    <row r="602">
      <c r="A602" s="3">
        <v>6920.0</v>
      </c>
      <c r="B602" s="4">
        <v>45301.59040509259</v>
      </c>
      <c r="C602" s="3" t="s">
        <v>6</v>
      </c>
    </row>
    <row r="603">
      <c r="A603" s="3">
        <v>5315.0</v>
      </c>
      <c r="B603" s="4">
        <v>45301.60490740741</v>
      </c>
      <c r="C603" s="3" t="s">
        <v>4</v>
      </c>
    </row>
    <row r="604">
      <c r="A604" s="3">
        <v>5252.0</v>
      </c>
      <c r="B604" s="4">
        <v>45301.631689814814</v>
      </c>
      <c r="C604" s="3" t="s">
        <v>3</v>
      </c>
    </row>
    <row r="605">
      <c r="A605" s="3">
        <v>234.0</v>
      </c>
      <c r="B605" s="4">
        <v>45301.63476851852</v>
      </c>
      <c r="C605" s="3" t="s">
        <v>6</v>
      </c>
    </row>
    <row r="606">
      <c r="A606" s="3">
        <v>719.0</v>
      </c>
      <c r="B606" s="4">
        <v>45301.63983796296</v>
      </c>
      <c r="C606" s="3" t="s">
        <v>3</v>
      </c>
    </row>
    <row r="607">
      <c r="A607" s="3">
        <v>3044.0</v>
      </c>
      <c r="B607" s="4">
        <v>45301.64582175926</v>
      </c>
      <c r="C607" s="3" t="s">
        <v>3</v>
      </c>
    </row>
    <row r="608">
      <c r="A608" s="3">
        <v>1587.0</v>
      </c>
      <c r="B608" s="4">
        <v>45301.65583333333</v>
      </c>
      <c r="C608" s="3" t="s">
        <v>4</v>
      </c>
    </row>
    <row r="609">
      <c r="A609" s="3">
        <v>2524.0</v>
      </c>
      <c r="B609" s="4">
        <v>45301.660416666666</v>
      </c>
      <c r="C609" s="3" t="s">
        <v>6</v>
      </c>
    </row>
    <row r="610">
      <c r="A610" s="3">
        <v>6001.0</v>
      </c>
      <c r="B610" s="4">
        <v>45301.673946759256</v>
      </c>
      <c r="C610" s="3" t="s">
        <v>3</v>
      </c>
    </row>
    <row r="611">
      <c r="A611" s="3">
        <v>1967.0</v>
      </c>
      <c r="B611" s="4">
        <v>45301.689259259256</v>
      </c>
      <c r="C611" s="3" t="s">
        <v>6</v>
      </c>
    </row>
    <row r="612">
      <c r="A612" s="3">
        <v>577.0</v>
      </c>
      <c r="B612" s="4">
        <v>45301.702511574076</v>
      </c>
      <c r="C612" s="3" t="s">
        <v>6</v>
      </c>
    </row>
    <row r="613">
      <c r="A613" s="3">
        <v>3641.0</v>
      </c>
      <c r="B613" s="4">
        <v>45301.71443287037</v>
      </c>
      <c r="C613" s="3" t="s">
        <v>3</v>
      </c>
    </row>
    <row r="614">
      <c r="A614" s="3">
        <v>1730.0</v>
      </c>
      <c r="B614" s="4">
        <v>45301.73726851852</v>
      </c>
      <c r="C614" s="3" t="s">
        <v>4</v>
      </c>
    </row>
    <row r="615">
      <c r="A615" s="3">
        <v>5367.0</v>
      </c>
      <c r="B615" s="4">
        <v>45301.74434027778</v>
      </c>
      <c r="C615" s="3" t="s">
        <v>7</v>
      </c>
    </row>
    <row r="616">
      <c r="A616" s="3">
        <v>492.0</v>
      </c>
      <c r="B616" s="4">
        <v>45301.77390046296</v>
      </c>
      <c r="C616" s="3" t="s">
        <v>3</v>
      </c>
    </row>
    <row r="617">
      <c r="A617" s="3">
        <v>7235.0</v>
      </c>
      <c r="B617" s="4">
        <v>45301.77717592593</v>
      </c>
      <c r="C617" s="3" t="s">
        <v>3</v>
      </c>
    </row>
    <row r="618">
      <c r="A618" s="3">
        <v>7614.0</v>
      </c>
      <c r="B618" s="4">
        <v>45301.808020833334</v>
      </c>
      <c r="C618" s="3" t="s">
        <v>3</v>
      </c>
    </row>
    <row r="619">
      <c r="A619" s="3">
        <v>5828.0</v>
      </c>
      <c r="B619" s="4">
        <v>45301.811423611114</v>
      </c>
      <c r="C619" s="3" t="s">
        <v>6</v>
      </c>
    </row>
    <row r="620">
      <c r="A620" s="3">
        <v>2796.0</v>
      </c>
      <c r="B620" s="4">
        <v>45301.82607638889</v>
      </c>
      <c r="C620" s="3" t="s">
        <v>3</v>
      </c>
    </row>
    <row r="621">
      <c r="A621" s="3">
        <v>5156.0</v>
      </c>
      <c r="B621" s="4">
        <v>45301.845821759256</v>
      </c>
      <c r="C621" s="3" t="s">
        <v>6</v>
      </c>
    </row>
    <row r="622">
      <c r="A622" s="3">
        <v>269.0</v>
      </c>
      <c r="B622" s="4">
        <v>45301.845868055556</v>
      </c>
      <c r="C622" s="3" t="s">
        <v>3</v>
      </c>
    </row>
    <row r="623">
      <c r="A623" s="3">
        <v>6791.0</v>
      </c>
      <c r="B623" s="4">
        <v>45301.868472222224</v>
      </c>
      <c r="C623" s="3" t="s">
        <v>5</v>
      </c>
    </row>
    <row r="624">
      <c r="A624" s="3">
        <v>6809.0</v>
      </c>
      <c r="B624" s="4">
        <v>45301.886608796296</v>
      </c>
      <c r="C624" s="3" t="s">
        <v>3</v>
      </c>
    </row>
    <row r="625">
      <c r="A625" s="3">
        <v>1956.0</v>
      </c>
      <c r="B625" s="4">
        <v>45301.898877314816</v>
      </c>
      <c r="C625" s="3" t="s">
        <v>3</v>
      </c>
    </row>
    <row r="626">
      <c r="A626" s="3">
        <v>2608.0</v>
      </c>
      <c r="B626" s="4">
        <v>45301.900671296295</v>
      </c>
      <c r="C626" s="3" t="s">
        <v>4</v>
      </c>
    </row>
    <row r="627">
      <c r="A627" s="3">
        <v>545.0</v>
      </c>
      <c r="B627" s="4">
        <v>45301.901342592595</v>
      </c>
      <c r="C627" s="3" t="s">
        <v>3</v>
      </c>
    </row>
    <row r="628">
      <c r="A628" s="3">
        <v>1502.0</v>
      </c>
      <c r="B628" s="4">
        <v>45301.930081018516</v>
      </c>
      <c r="C628" s="3" t="s">
        <v>4</v>
      </c>
    </row>
    <row r="629">
      <c r="A629" s="3">
        <v>1906.0</v>
      </c>
      <c r="B629" s="4">
        <v>45301.93478009259</v>
      </c>
      <c r="C629" s="3" t="s">
        <v>6</v>
      </c>
    </row>
    <row r="630">
      <c r="A630" s="3">
        <v>7530.0</v>
      </c>
      <c r="B630" s="4">
        <v>45301.95806712963</v>
      </c>
      <c r="C630" s="3" t="s">
        <v>7</v>
      </c>
    </row>
    <row r="631">
      <c r="A631" s="3">
        <v>3718.0</v>
      </c>
      <c r="B631" s="4">
        <v>45301.98978009259</v>
      </c>
      <c r="C631" s="3" t="s">
        <v>3</v>
      </c>
    </row>
    <row r="632">
      <c r="A632" s="3">
        <v>6544.0</v>
      </c>
      <c r="B632" s="4">
        <v>45302.01598379629</v>
      </c>
      <c r="C632" s="3" t="s">
        <v>7</v>
      </c>
    </row>
    <row r="633">
      <c r="A633" s="3">
        <v>5215.0</v>
      </c>
      <c r="B633" s="4">
        <v>45302.03028935185</v>
      </c>
      <c r="C633" s="3" t="s">
        <v>3</v>
      </c>
    </row>
    <row r="634">
      <c r="A634" s="3">
        <v>1407.0</v>
      </c>
      <c r="B634" s="4">
        <v>45302.03784722222</v>
      </c>
      <c r="C634" s="3" t="s">
        <v>4</v>
      </c>
    </row>
    <row r="635">
      <c r="A635" s="3">
        <v>5727.0</v>
      </c>
      <c r="B635" s="4">
        <v>45302.06292824074</v>
      </c>
      <c r="C635" s="3" t="s">
        <v>3</v>
      </c>
    </row>
    <row r="636">
      <c r="A636" s="3">
        <v>1898.0</v>
      </c>
      <c r="B636" s="4">
        <v>45302.09869212963</v>
      </c>
      <c r="C636" s="3" t="s">
        <v>3</v>
      </c>
    </row>
    <row r="637">
      <c r="A637" s="3">
        <v>2786.0</v>
      </c>
      <c r="B637" s="4">
        <v>45302.10076388889</v>
      </c>
      <c r="C637" s="3" t="s">
        <v>3</v>
      </c>
    </row>
    <row r="638">
      <c r="A638" s="3">
        <v>5124.0</v>
      </c>
      <c r="B638" s="4">
        <v>45302.14925925926</v>
      </c>
      <c r="C638" s="3" t="s">
        <v>3</v>
      </c>
    </row>
    <row r="639">
      <c r="A639" s="3">
        <v>4204.0</v>
      </c>
      <c r="B639" s="4">
        <v>45302.16421296296</v>
      </c>
      <c r="C639" s="3" t="s">
        <v>3</v>
      </c>
    </row>
    <row r="640">
      <c r="A640" s="3">
        <v>6791.0</v>
      </c>
      <c r="B640" s="4">
        <v>45302.17167824074</v>
      </c>
      <c r="C640" s="3" t="s">
        <v>6</v>
      </c>
    </row>
    <row r="641">
      <c r="A641" s="3">
        <v>810.0</v>
      </c>
      <c r="B641" s="4">
        <v>45302.172939814816</v>
      </c>
      <c r="C641" s="3" t="s">
        <v>3</v>
      </c>
    </row>
    <row r="642">
      <c r="A642" s="3">
        <v>5145.0</v>
      </c>
      <c r="B642" s="4">
        <v>45302.18638888889</v>
      </c>
      <c r="C642" s="3" t="s">
        <v>3</v>
      </c>
    </row>
    <row r="643">
      <c r="A643" s="3">
        <v>4298.0</v>
      </c>
      <c r="B643" s="4">
        <v>45302.190833333334</v>
      </c>
      <c r="C643" s="3" t="s">
        <v>3</v>
      </c>
    </row>
    <row r="644">
      <c r="A644" s="3">
        <v>2710.0</v>
      </c>
      <c r="B644" s="4">
        <v>45302.19732638889</v>
      </c>
      <c r="C644" s="3" t="s">
        <v>3</v>
      </c>
    </row>
    <row r="645">
      <c r="A645" s="3">
        <v>6223.0</v>
      </c>
      <c r="B645" s="4">
        <v>45302.211851851855</v>
      </c>
      <c r="C645" s="3" t="s">
        <v>3</v>
      </c>
    </row>
    <row r="646">
      <c r="A646" s="3">
        <v>6370.0</v>
      </c>
      <c r="B646" s="4">
        <v>45302.22681712963</v>
      </c>
      <c r="C646" s="3" t="s">
        <v>4</v>
      </c>
    </row>
    <row r="647">
      <c r="A647" s="3">
        <v>4693.0</v>
      </c>
      <c r="B647" s="4">
        <v>45302.23002314815</v>
      </c>
      <c r="C647" s="3" t="s">
        <v>3</v>
      </c>
    </row>
    <row r="648">
      <c r="A648" s="3">
        <v>734.0</v>
      </c>
      <c r="B648" s="4">
        <v>45302.25179398148</v>
      </c>
      <c r="C648" s="3" t="s">
        <v>6</v>
      </c>
    </row>
    <row r="649">
      <c r="A649" s="3">
        <v>4120.0</v>
      </c>
      <c r="B649" s="4">
        <v>45302.267384259256</v>
      </c>
      <c r="C649" s="3" t="s">
        <v>5</v>
      </c>
    </row>
    <row r="650">
      <c r="A650" s="3">
        <v>5390.0</v>
      </c>
      <c r="B650" s="4">
        <v>45302.28991898148</v>
      </c>
      <c r="C650" s="3" t="s">
        <v>3</v>
      </c>
    </row>
    <row r="651">
      <c r="A651" s="3">
        <v>7117.0</v>
      </c>
      <c r="B651" s="4">
        <v>45302.33237268519</v>
      </c>
      <c r="C651" s="3" t="s">
        <v>4</v>
      </c>
    </row>
    <row r="652">
      <c r="A652" s="3">
        <v>7017.0</v>
      </c>
      <c r="B652" s="4">
        <v>45302.34390046296</v>
      </c>
      <c r="C652" s="3" t="s">
        <v>3</v>
      </c>
    </row>
    <row r="653">
      <c r="A653" s="3">
        <v>4120.0</v>
      </c>
      <c r="B653" s="4">
        <v>45302.34556712963</v>
      </c>
      <c r="C653" s="3" t="s">
        <v>6</v>
      </c>
    </row>
    <row r="654">
      <c r="A654" s="3">
        <v>7541.0</v>
      </c>
      <c r="B654" s="4">
        <v>45302.37603009259</v>
      </c>
      <c r="C654" s="3" t="s">
        <v>3</v>
      </c>
    </row>
    <row r="655">
      <c r="A655" s="3">
        <v>2540.0</v>
      </c>
      <c r="B655" s="4">
        <v>45302.38667824074</v>
      </c>
      <c r="C655" s="3" t="s">
        <v>4</v>
      </c>
    </row>
    <row r="656">
      <c r="A656" s="3">
        <v>1587.0</v>
      </c>
      <c r="B656" s="4">
        <v>45302.3981712963</v>
      </c>
      <c r="C656" s="3" t="s">
        <v>6</v>
      </c>
    </row>
    <row r="657">
      <c r="A657" s="3">
        <v>5850.0</v>
      </c>
      <c r="B657" s="4">
        <v>45302.40988425926</v>
      </c>
      <c r="C657" s="3" t="s">
        <v>4</v>
      </c>
    </row>
    <row r="658">
      <c r="A658" s="3">
        <v>3756.0</v>
      </c>
      <c r="B658" s="4">
        <v>45302.41799768519</v>
      </c>
      <c r="C658" s="3" t="s">
        <v>5</v>
      </c>
    </row>
    <row r="659">
      <c r="A659" s="3">
        <v>882.0</v>
      </c>
      <c r="B659" s="4">
        <v>45302.42984953704</v>
      </c>
      <c r="C659" s="3" t="s">
        <v>5</v>
      </c>
    </row>
    <row r="660">
      <c r="A660" s="3">
        <v>2820.0</v>
      </c>
      <c r="B660" s="4">
        <v>45302.44112268519</v>
      </c>
      <c r="C660" s="3" t="s">
        <v>4</v>
      </c>
    </row>
    <row r="661">
      <c r="A661" s="3">
        <v>702.0</v>
      </c>
      <c r="B661" s="4">
        <v>45302.46209490741</v>
      </c>
      <c r="C661" s="3" t="s">
        <v>7</v>
      </c>
    </row>
    <row r="662">
      <c r="A662" s="3">
        <v>1128.0</v>
      </c>
      <c r="B662" s="4">
        <v>45302.47337962963</v>
      </c>
      <c r="C662" s="3" t="s">
        <v>3</v>
      </c>
    </row>
    <row r="663">
      <c r="A663" s="3">
        <v>3055.0</v>
      </c>
      <c r="B663" s="4">
        <v>45302.50334490741</v>
      </c>
      <c r="C663" s="3" t="s">
        <v>3</v>
      </c>
    </row>
    <row r="664">
      <c r="A664" s="3">
        <v>2620.0</v>
      </c>
      <c r="B664" s="4">
        <v>45302.51660879629</v>
      </c>
      <c r="C664" s="3" t="s">
        <v>5</v>
      </c>
    </row>
    <row r="665">
      <c r="A665" s="3">
        <v>1455.0</v>
      </c>
      <c r="B665" s="4">
        <v>45302.53958333333</v>
      </c>
      <c r="C665" s="3" t="s">
        <v>6</v>
      </c>
    </row>
    <row r="666">
      <c r="A666" s="3">
        <v>2820.0</v>
      </c>
      <c r="B666" s="4">
        <v>45302.54163194444</v>
      </c>
      <c r="C666" s="3" t="s">
        <v>3</v>
      </c>
    </row>
    <row r="667">
      <c r="A667" s="3">
        <v>7036.0</v>
      </c>
      <c r="B667" s="4">
        <v>45302.54462962963</v>
      </c>
      <c r="C667" s="3" t="s">
        <v>4</v>
      </c>
    </row>
    <row r="668">
      <c r="A668" s="3">
        <v>7020.0</v>
      </c>
      <c r="B668" s="4">
        <v>45302.55335648148</v>
      </c>
      <c r="C668" s="3" t="s">
        <v>4</v>
      </c>
    </row>
    <row r="669">
      <c r="A669" s="3">
        <v>2150.0</v>
      </c>
      <c r="B669" s="4">
        <v>45302.557662037034</v>
      </c>
      <c r="C669" s="3" t="s">
        <v>7</v>
      </c>
    </row>
    <row r="670">
      <c r="A670" s="3">
        <v>6938.0</v>
      </c>
      <c r="B670" s="4">
        <v>45302.571122685185</v>
      </c>
      <c r="C670" s="3" t="s">
        <v>3</v>
      </c>
    </row>
    <row r="671">
      <c r="A671" s="3">
        <v>5850.0</v>
      </c>
      <c r="B671" s="4">
        <v>45302.57517361111</v>
      </c>
      <c r="C671" s="3" t="s">
        <v>3</v>
      </c>
    </row>
    <row r="672">
      <c r="A672" s="3">
        <v>2540.0</v>
      </c>
      <c r="B672" s="4">
        <v>45302.621203703704</v>
      </c>
      <c r="C672" s="3" t="s">
        <v>3</v>
      </c>
    </row>
    <row r="673">
      <c r="A673" s="3">
        <v>799.0</v>
      </c>
      <c r="B673" s="4">
        <v>45302.63625</v>
      </c>
      <c r="C673" s="3" t="s">
        <v>6</v>
      </c>
    </row>
    <row r="674">
      <c r="A674" s="3">
        <v>6339.0</v>
      </c>
      <c r="B674" s="4">
        <v>45302.64204861111</v>
      </c>
      <c r="C674" s="3" t="s">
        <v>6</v>
      </c>
    </row>
    <row r="675">
      <c r="A675" s="3">
        <v>4415.0</v>
      </c>
      <c r="B675" s="4">
        <v>45302.66017361111</v>
      </c>
      <c r="C675" s="3" t="s">
        <v>5</v>
      </c>
    </row>
    <row r="676">
      <c r="A676" s="3">
        <v>6809.0</v>
      </c>
      <c r="B676" s="4">
        <v>45302.68431712963</v>
      </c>
      <c r="C676" s="3" t="s">
        <v>4</v>
      </c>
    </row>
    <row r="677">
      <c r="A677" s="3">
        <v>2150.0</v>
      </c>
      <c r="B677" s="4">
        <v>45302.68719907408</v>
      </c>
      <c r="C677" s="3" t="s">
        <v>6</v>
      </c>
    </row>
    <row r="678">
      <c r="A678" s="3">
        <v>3368.0</v>
      </c>
      <c r="B678" s="4">
        <v>45302.71431712963</v>
      </c>
      <c r="C678" s="3" t="s">
        <v>3</v>
      </c>
    </row>
    <row r="679">
      <c r="A679" s="3">
        <v>5953.0</v>
      </c>
      <c r="B679" s="4">
        <v>45302.74853009259</v>
      </c>
      <c r="C679" s="3" t="s">
        <v>3</v>
      </c>
    </row>
    <row r="680">
      <c r="A680" s="3">
        <v>6799.0</v>
      </c>
      <c r="B680" s="4">
        <v>45302.76644675926</v>
      </c>
      <c r="C680" s="3" t="s">
        <v>6</v>
      </c>
    </row>
    <row r="681">
      <c r="A681" s="3">
        <v>492.0</v>
      </c>
      <c r="B681" s="4">
        <v>45302.77447916667</v>
      </c>
      <c r="C681" s="3" t="s">
        <v>7</v>
      </c>
    </row>
    <row r="682">
      <c r="A682" s="3">
        <v>886.0</v>
      </c>
      <c r="B682" s="4">
        <v>45302.77579861111</v>
      </c>
      <c r="C682" s="3" t="s">
        <v>3</v>
      </c>
    </row>
    <row r="683">
      <c r="A683" s="3">
        <v>4903.0</v>
      </c>
      <c r="B683" s="4">
        <v>45302.79684027778</v>
      </c>
      <c r="C683" s="3" t="s">
        <v>3</v>
      </c>
    </row>
    <row r="684">
      <c r="A684" s="3">
        <v>206.0</v>
      </c>
      <c r="B684" s="4">
        <v>45302.80954861111</v>
      </c>
      <c r="C684" s="3" t="s">
        <v>3</v>
      </c>
    </row>
    <row r="685">
      <c r="A685" s="3">
        <v>4775.0</v>
      </c>
      <c r="B685" s="4">
        <v>45302.810694444444</v>
      </c>
      <c r="C685" s="3" t="s">
        <v>7</v>
      </c>
    </row>
    <row r="686">
      <c r="A686" s="3">
        <v>5124.0</v>
      </c>
      <c r="B686" s="4">
        <v>45302.81630787037</v>
      </c>
      <c r="C686" s="3" t="s">
        <v>5</v>
      </c>
    </row>
    <row r="687">
      <c r="A687" s="3">
        <v>586.0</v>
      </c>
      <c r="B687" s="4">
        <v>45302.821377314816</v>
      </c>
      <c r="C687" s="3" t="s">
        <v>3</v>
      </c>
    </row>
    <row r="688">
      <c r="A688" s="3">
        <v>1502.0</v>
      </c>
      <c r="B688" s="4">
        <v>45302.83201388889</v>
      </c>
      <c r="C688" s="3" t="s">
        <v>5</v>
      </c>
    </row>
    <row r="689">
      <c r="A689" s="3">
        <v>5195.0</v>
      </c>
      <c r="B689" s="4">
        <v>45302.845185185186</v>
      </c>
      <c r="C689" s="3" t="s">
        <v>5</v>
      </c>
    </row>
    <row r="690">
      <c r="A690" s="3">
        <v>4512.0</v>
      </c>
      <c r="B690" s="4">
        <v>45302.86561342593</v>
      </c>
      <c r="C690" s="3" t="s">
        <v>6</v>
      </c>
    </row>
    <row r="691">
      <c r="A691" s="3">
        <v>6799.0</v>
      </c>
      <c r="B691" s="4">
        <v>45302.866215277776</v>
      </c>
      <c r="C691" s="3" t="s">
        <v>4</v>
      </c>
    </row>
    <row r="692">
      <c r="A692" s="3">
        <v>1729.0</v>
      </c>
      <c r="B692" s="4">
        <v>45302.868935185186</v>
      </c>
      <c r="C692" s="3" t="s">
        <v>7</v>
      </c>
    </row>
    <row r="693">
      <c r="A693" s="3">
        <v>6689.0</v>
      </c>
      <c r="B693" s="4">
        <v>45302.87773148148</v>
      </c>
      <c r="C693" s="3" t="s">
        <v>5</v>
      </c>
    </row>
    <row r="694">
      <c r="A694" s="3">
        <v>2199.0</v>
      </c>
      <c r="B694" s="4">
        <v>45302.88130787037</v>
      </c>
      <c r="C694" s="3" t="s">
        <v>4</v>
      </c>
    </row>
    <row r="695">
      <c r="A695" s="3">
        <v>799.0</v>
      </c>
      <c r="B695" s="4">
        <v>45302.89020833333</v>
      </c>
      <c r="C695" s="3" t="s">
        <v>7</v>
      </c>
    </row>
    <row r="696">
      <c r="A696" s="3">
        <v>702.0</v>
      </c>
      <c r="B696" s="4">
        <v>45302.891805555555</v>
      </c>
      <c r="C696" s="3" t="s">
        <v>5</v>
      </c>
    </row>
    <row r="697">
      <c r="A697" s="3">
        <v>7614.0</v>
      </c>
      <c r="B697" s="4">
        <v>45302.905706018515</v>
      </c>
      <c r="C697" s="3" t="s">
        <v>4</v>
      </c>
    </row>
    <row r="698">
      <c r="A698" s="3">
        <v>4693.0</v>
      </c>
      <c r="B698" s="4">
        <v>45302.94677083333</v>
      </c>
      <c r="C698" s="3" t="s">
        <v>4</v>
      </c>
    </row>
    <row r="699">
      <c r="A699" s="3">
        <v>248.0</v>
      </c>
      <c r="B699" s="4">
        <v>45302.951006944444</v>
      </c>
      <c r="C699" s="3" t="s">
        <v>4</v>
      </c>
    </row>
    <row r="700">
      <c r="A700" s="3">
        <v>2620.0</v>
      </c>
      <c r="B700" s="4">
        <v>45302.953576388885</v>
      </c>
      <c r="C700" s="3" t="s">
        <v>6</v>
      </c>
    </row>
    <row r="701">
      <c r="A701" s="3">
        <v>2746.0</v>
      </c>
      <c r="B701" s="4">
        <v>45302.95445601852</v>
      </c>
      <c r="C701" s="3" t="s">
        <v>3</v>
      </c>
    </row>
    <row r="702">
      <c r="A702" s="3">
        <v>2292.0</v>
      </c>
      <c r="B702" s="4">
        <v>45302.95862268518</v>
      </c>
      <c r="C702" s="3" t="s">
        <v>3</v>
      </c>
    </row>
    <row r="703">
      <c r="A703" s="3">
        <v>1058.0</v>
      </c>
      <c r="B703" s="4">
        <v>45302.963784722226</v>
      </c>
      <c r="C703" s="3" t="s">
        <v>6</v>
      </c>
    </row>
    <row r="704">
      <c r="A704" s="3">
        <v>5489.0</v>
      </c>
      <c r="B704" s="4">
        <v>45302.994988425926</v>
      </c>
      <c r="C704" s="3" t="s">
        <v>6</v>
      </c>
    </row>
    <row r="705">
      <c r="A705" s="3">
        <v>3616.0</v>
      </c>
      <c r="B705" s="4">
        <v>45303.00393518519</v>
      </c>
      <c r="C705" s="3" t="s">
        <v>6</v>
      </c>
    </row>
    <row r="706">
      <c r="A706" s="3">
        <v>1730.0</v>
      </c>
      <c r="B706" s="4">
        <v>45303.01427083334</v>
      </c>
      <c r="C706" s="3" t="s">
        <v>7</v>
      </c>
    </row>
    <row r="707">
      <c r="A707" s="3">
        <v>5200.0</v>
      </c>
      <c r="B707" s="4">
        <v>45303.022002314814</v>
      </c>
      <c r="C707" s="3" t="s">
        <v>4</v>
      </c>
    </row>
    <row r="708">
      <c r="A708" s="3">
        <v>2599.0</v>
      </c>
      <c r="B708" s="4">
        <v>45303.0359837963</v>
      </c>
      <c r="C708" s="3" t="s">
        <v>3</v>
      </c>
    </row>
    <row r="709">
      <c r="A709" s="3">
        <v>1128.0</v>
      </c>
      <c r="B709" s="4">
        <v>45303.04736111111</v>
      </c>
      <c r="C709" s="3" t="s">
        <v>6</v>
      </c>
    </row>
    <row r="710">
      <c r="A710" s="3">
        <v>3617.0</v>
      </c>
      <c r="B710" s="4">
        <v>45303.07336805556</v>
      </c>
      <c r="C710" s="3" t="s">
        <v>7</v>
      </c>
    </row>
    <row r="711">
      <c r="A711" s="3">
        <v>3947.0</v>
      </c>
      <c r="B711" s="4">
        <v>45303.08744212963</v>
      </c>
      <c r="C711" s="3" t="s">
        <v>3</v>
      </c>
    </row>
    <row r="712">
      <c r="A712" s="3">
        <v>4272.0</v>
      </c>
      <c r="B712" s="4">
        <v>45303.110243055555</v>
      </c>
      <c r="C712" s="3" t="s">
        <v>3</v>
      </c>
    </row>
    <row r="713">
      <c r="A713" s="3">
        <v>3143.0</v>
      </c>
      <c r="B713" s="4">
        <v>45303.11178240741</v>
      </c>
      <c r="C713" s="3" t="s">
        <v>3</v>
      </c>
    </row>
    <row r="714">
      <c r="A714" s="3">
        <v>5367.0</v>
      </c>
      <c r="B714" s="4">
        <v>45303.18243055556</v>
      </c>
      <c r="C714" s="3" t="s">
        <v>6</v>
      </c>
    </row>
    <row r="715">
      <c r="A715" s="3">
        <v>5200.0</v>
      </c>
      <c r="B715" s="4">
        <v>45303.18269675926</v>
      </c>
      <c r="C715" s="3" t="s">
        <v>3</v>
      </c>
    </row>
    <row r="716">
      <c r="A716" s="3">
        <v>5390.0</v>
      </c>
      <c r="B716" s="4">
        <v>45303.18853009259</v>
      </c>
      <c r="C716" s="3" t="s">
        <v>6</v>
      </c>
    </row>
    <row r="717">
      <c r="A717" s="3">
        <v>4341.0</v>
      </c>
      <c r="B717" s="4">
        <v>45303.18943287037</v>
      </c>
      <c r="C717" s="3" t="s">
        <v>4</v>
      </c>
    </row>
    <row r="718">
      <c r="A718" s="3">
        <v>2610.0</v>
      </c>
      <c r="B718" s="4">
        <v>45303.210752314815</v>
      </c>
      <c r="C718" s="3" t="s">
        <v>5</v>
      </c>
    </row>
    <row r="719">
      <c r="A719" s="3">
        <v>2524.0</v>
      </c>
      <c r="B719" s="4">
        <v>45303.2184837963</v>
      </c>
      <c r="C719" s="3" t="s">
        <v>5</v>
      </c>
    </row>
    <row r="720">
      <c r="A720" s="3">
        <v>455.0</v>
      </c>
      <c r="B720" s="4">
        <v>45303.22212962963</v>
      </c>
      <c r="C720" s="3" t="s">
        <v>3</v>
      </c>
    </row>
    <row r="721">
      <c r="A721" s="3">
        <v>1593.0</v>
      </c>
      <c r="B721" s="4">
        <v>45303.22900462963</v>
      </c>
      <c r="C721" s="3" t="s">
        <v>3</v>
      </c>
    </row>
    <row r="722">
      <c r="A722" s="3">
        <v>1636.0</v>
      </c>
      <c r="B722" s="4">
        <v>45303.24049768518</v>
      </c>
      <c r="C722" s="3" t="s">
        <v>4</v>
      </c>
    </row>
    <row r="723">
      <c r="A723" s="3">
        <v>5633.0</v>
      </c>
      <c r="B723" s="4">
        <v>45303.24318287037</v>
      </c>
      <c r="C723" s="3" t="s">
        <v>6</v>
      </c>
    </row>
    <row r="724">
      <c r="A724" s="3">
        <v>492.0</v>
      </c>
      <c r="B724" s="4">
        <v>45303.25502314815</v>
      </c>
      <c r="C724" s="3" t="s">
        <v>5</v>
      </c>
    </row>
    <row r="725">
      <c r="A725" s="3">
        <v>4363.0</v>
      </c>
      <c r="B725" s="4">
        <v>45303.257048611114</v>
      </c>
      <c r="C725" s="3" t="s">
        <v>7</v>
      </c>
    </row>
    <row r="726">
      <c r="A726" s="3">
        <v>7981.0</v>
      </c>
      <c r="B726" s="4">
        <v>45303.29027777778</v>
      </c>
      <c r="C726" s="3" t="s">
        <v>3</v>
      </c>
    </row>
    <row r="727">
      <c r="A727" s="3">
        <v>3143.0</v>
      </c>
      <c r="B727" s="4">
        <v>45303.29231481482</v>
      </c>
      <c r="C727" s="3" t="s">
        <v>5</v>
      </c>
    </row>
    <row r="728">
      <c r="A728" s="3">
        <v>7679.0</v>
      </c>
      <c r="B728" s="4">
        <v>45303.293078703704</v>
      </c>
      <c r="C728" s="3" t="s">
        <v>4</v>
      </c>
    </row>
    <row r="729">
      <c r="A729" s="3">
        <v>707.0</v>
      </c>
      <c r="B729" s="4">
        <v>45303.29586805555</v>
      </c>
      <c r="C729" s="3" t="s">
        <v>5</v>
      </c>
    </row>
    <row r="730">
      <c r="A730" s="3">
        <v>4772.0</v>
      </c>
      <c r="B730" s="4">
        <v>45303.30613425926</v>
      </c>
      <c r="C730" s="3" t="s">
        <v>6</v>
      </c>
    </row>
    <row r="731">
      <c r="A731" s="3">
        <v>545.0</v>
      </c>
      <c r="B731" s="4">
        <v>45303.31704861111</v>
      </c>
      <c r="C731" s="3" t="s">
        <v>5</v>
      </c>
    </row>
    <row r="732">
      <c r="A732" s="3">
        <v>6315.0</v>
      </c>
      <c r="B732" s="4">
        <v>45303.33673611111</v>
      </c>
      <c r="C732" s="3" t="s">
        <v>7</v>
      </c>
    </row>
    <row r="733">
      <c r="A733" s="3">
        <v>1730.0</v>
      </c>
      <c r="B733" s="4">
        <v>45303.391805555555</v>
      </c>
      <c r="C733" s="3" t="s">
        <v>5</v>
      </c>
    </row>
    <row r="734">
      <c r="A734" s="3">
        <v>6001.0</v>
      </c>
      <c r="B734" s="4">
        <v>45303.39962962963</v>
      </c>
      <c r="C734" s="3" t="s">
        <v>4</v>
      </c>
    </row>
    <row r="735">
      <c r="A735" s="3">
        <v>4903.0</v>
      </c>
      <c r="B735" s="4">
        <v>45303.40356481481</v>
      </c>
      <c r="C735" s="3" t="s">
        <v>4</v>
      </c>
    </row>
    <row r="736">
      <c r="A736" s="3">
        <v>3244.0</v>
      </c>
      <c r="B736" s="4">
        <v>45303.43157407407</v>
      </c>
      <c r="C736" s="3" t="s">
        <v>3</v>
      </c>
    </row>
    <row r="737">
      <c r="A737" s="3">
        <v>3643.0</v>
      </c>
      <c r="B737" s="4">
        <v>45303.43896990741</v>
      </c>
      <c r="C737" s="3" t="s">
        <v>4</v>
      </c>
    </row>
    <row r="738">
      <c r="A738" s="3">
        <v>7679.0</v>
      </c>
      <c r="B738" s="4">
        <v>45303.446388888886</v>
      </c>
      <c r="C738" s="3" t="s">
        <v>7</v>
      </c>
    </row>
    <row r="739">
      <c r="A739" s="3">
        <v>5485.0</v>
      </c>
      <c r="B739" s="4">
        <v>45303.47047453704</v>
      </c>
      <c r="C739" s="3" t="s">
        <v>4</v>
      </c>
    </row>
    <row r="740">
      <c r="A740" s="3">
        <v>707.0</v>
      </c>
      <c r="B740" s="4">
        <v>45303.49103009259</v>
      </c>
      <c r="C740" s="3" t="s">
        <v>4</v>
      </c>
    </row>
    <row r="741">
      <c r="A741" s="3">
        <v>2852.0</v>
      </c>
      <c r="B741" s="4">
        <v>45303.49109953704</v>
      </c>
      <c r="C741" s="3" t="s">
        <v>6</v>
      </c>
    </row>
    <row r="742">
      <c r="A742" s="3">
        <v>3643.0</v>
      </c>
      <c r="B742" s="4">
        <v>45303.49736111111</v>
      </c>
      <c r="C742" s="3" t="s">
        <v>3</v>
      </c>
    </row>
    <row r="743">
      <c r="A743" s="3">
        <v>436.0</v>
      </c>
      <c r="B743" s="4">
        <v>45303.50622685185</v>
      </c>
      <c r="C743" s="3" t="s">
        <v>3</v>
      </c>
    </row>
    <row r="744">
      <c r="A744" s="3">
        <v>1171.0</v>
      </c>
      <c r="B744" s="4">
        <v>45303.51246527778</v>
      </c>
      <c r="C744" s="3" t="s">
        <v>3</v>
      </c>
    </row>
    <row r="745">
      <c r="A745" s="3">
        <v>2620.0</v>
      </c>
      <c r="B745" s="4">
        <v>45303.52172453704</v>
      </c>
      <c r="C745" s="3" t="s">
        <v>7</v>
      </c>
    </row>
    <row r="746">
      <c r="A746" s="3">
        <v>7824.0</v>
      </c>
      <c r="B746" s="4">
        <v>45303.604583333334</v>
      </c>
      <c r="C746" s="3" t="s">
        <v>3</v>
      </c>
    </row>
    <row r="747">
      <c r="A747" s="3">
        <v>7679.0</v>
      </c>
      <c r="B747" s="4">
        <v>45303.610439814816</v>
      </c>
      <c r="C747" s="3" t="s">
        <v>5</v>
      </c>
    </row>
    <row r="748">
      <c r="A748" s="3">
        <v>3718.0</v>
      </c>
      <c r="B748" s="4">
        <v>45303.627858796295</v>
      </c>
      <c r="C748" s="3" t="s">
        <v>6</v>
      </c>
    </row>
    <row r="749">
      <c r="A749" s="3">
        <v>1128.0</v>
      </c>
      <c r="B749" s="4">
        <v>45303.63439814815</v>
      </c>
      <c r="C749" s="3" t="s">
        <v>7</v>
      </c>
    </row>
    <row r="750">
      <c r="A750" s="3">
        <v>545.0</v>
      </c>
      <c r="B750" s="4">
        <v>45303.66150462963</v>
      </c>
      <c r="C750" s="3" t="s">
        <v>7</v>
      </c>
    </row>
    <row r="751">
      <c r="A751" s="3">
        <v>5390.0</v>
      </c>
      <c r="B751" s="4">
        <v>45303.668125</v>
      </c>
      <c r="C751" s="3" t="s">
        <v>5</v>
      </c>
    </row>
    <row r="752">
      <c r="A752" s="3">
        <v>7296.0</v>
      </c>
      <c r="B752" s="4">
        <v>45303.6724537037</v>
      </c>
      <c r="C752" s="3" t="s">
        <v>3</v>
      </c>
    </row>
    <row r="753">
      <c r="A753" s="3">
        <v>6313.0</v>
      </c>
      <c r="B753" s="4">
        <v>45303.71141203704</v>
      </c>
      <c r="C753" s="3" t="s">
        <v>3</v>
      </c>
    </row>
    <row r="754">
      <c r="A754" s="3">
        <v>4439.0</v>
      </c>
      <c r="B754" s="4">
        <v>45303.7240625</v>
      </c>
      <c r="C754" s="3" t="s">
        <v>4</v>
      </c>
    </row>
    <row r="755">
      <c r="A755" s="3">
        <v>1587.0</v>
      </c>
      <c r="B755" s="4">
        <v>45303.737858796296</v>
      </c>
      <c r="C755" s="3" t="s">
        <v>7</v>
      </c>
    </row>
    <row r="756">
      <c r="A756" s="3">
        <v>2599.0</v>
      </c>
      <c r="B756" s="4">
        <v>45303.7521412037</v>
      </c>
      <c r="C756" s="3" t="s">
        <v>4</v>
      </c>
    </row>
    <row r="757">
      <c r="A757" s="3">
        <v>4609.0</v>
      </c>
      <c r="B757" s="4">
        <v>45303.75283564815</v>
      </c>
      <c r="C757" s="3" t="s">
        <v>7</v>
      </c>
    </row>
    <row r="758">
      <c r="A758" s="3">
        <v>4342.0</v>
      </c>
      <c r="B758" s="4">
        <v>45303.78344907407</v>
      </c>
      <c r="C758" s="3" t="s">
        <v>3</v>
      </c>
    </row>
    <row r="759">
      <c r="A759" s="3">
        <v>1128.0</v>
      </c>
      <c r="B759" s="4">
        <v>45303.79319444444</v>
      </c>
      <c r="C759" s="3" t="s">
        <v>4</v>
      </c>
    </row>
    <row r="760">
      <c r="A760" s="3">
        <v>5603.0</v>
      </c>
      <c r="B760" s="4">
        <v>45303.797638888886</v>
      </c>
      <c r="C760" s="3" t="s">
        <v>7</v>
      </c>
    </row>
    <row r="761">
      <c r="A761" s="3">
        <v>3044.0</v>
      </c>
      <c r="B761" s="4">
        <v>45303.82821759259</v>
      </c>
      <c r="C761" s="3" t="s">
        <v>4</v>
      </c>
    </row>
    <row r="762">
      <c r="A762" s="3">
        <v>6791.0</v>
      </c>
      <c r="B762" s="4">
        <v>45303.82849537037</v>
      </c>
      <c r="C762" s="3" t="s">
        <v>7</v>
      </c>
    </row>
    <row r="763">
      <c r="A763" s="3">
        <v>4757.0</v>
      </c>
      <c r="B763" s="4">
        <v>45303.83070601852</v>
      </c>
      <c r="C763" s="3" t="s">
        <v>3</v>
      </c>
    </row>
    <row r="764">
      <c r="A764" s="3">
        <v>6370.0</v>
      </c>
      <c r="B764" s="4">
        <v>45303.8537037037</v>
      </c>
      <c r="C764" s="3" t="s">
        <v>7</v>
      </c>
    </row>
    <row r="765">
      <c r="A765" s="3">
        <v>3947.0</v>
      </c>
      <c r="B765" s="4">
        <v>45303.8734375</v>
      </c>
      <c r="C765" s="3" t="s">
        <v>4</v>
      </c>
    </row>
    <row r="766">
      <c r="A766" s="3">
        <v>334.0</v>
      </c>
      <c r="B766" s="4">
        <v>45303.87496527778</v>
      </c>
      <c r="C766" s="3" t="s">
        <v>6</v>
      </c>
    </row>
    <row r="767">
      <c r="A767" s="3">
        <v>4341.0</v>
      </c>
      <c r="B767" s="4">
        <v>45303.88724537037</v>
      </c>
      <c r="C767" s="3" t="s">
        <v>3</v>
      </c>
    </row>
    <row r="768">
      <c r="A768" s="3">
        <v>2898.0</v>
      </c>
      <c r="B768" s="4">
        <v>45303.92668981481</v>
      </c>
      <c r="C768" s="3" t="s">
        <v>5</v>
      </c>
    </row>
    <row r="769">
      <c r="A769" s="3">
        <v>1898.0</v>
      </c>
      <c r="B769" s="4">
        <v>45303.942199074074</v>
      </c>
      <c r="C769" s="3" t="s">
        <v>6</v>
      </c>
    </row>
    <row r="770">
      <c r="A770" s="3">
        <v>4694.0</v>
      </c>
      <c r="B770" s="4">
        <v>45303.954618055555</v>
      </c>
      <c r="C770" s="3" t="s">
        <v>6</v>
      </c>
    </row>
    <row r="771">
      <c r="A771" s="3">
        <v>3055.0</v>
      </c>
      <c r="B771" s="4">
        <v>45304.02038194444</v>
      </c>
      <c r="C771" s="3" t="s">
        <v>4</v>
      </c>
    </row>
    <row r="772">
      <c r="A772" s="3">
        <v>6798.0</v>
      </c>
      <c r="B772" s="4">
        <v>45304.03163194445</v>
      </c>
      <c r="C772" s="3" t="s">
        <v>3</v>
      </c>
    </row>
    <row r="773">
      <c r="A773" s="3">
        <v>3769.0</v>
      </c>
      <c r="B773" s="4">
        <v>45304.05804398148</v>
      </c>
      <c r="C773" s="3" t="s">
        <v>3</v>
      </c>
    </row>
    <row r="774">
      <c r="A774" s="3">
        <v>2153.0</v>
      </c>
      <c r="B774" s="4">
        <v>45304.09662037037</v>
      </c>
      <c r="C774" s="3" t="s">
        <v>3</v>
      </c>
    </row>
    <row r="775">
      <c r="A775" s="3">
        <v>5326.0</v>
      </c>
      <c r="B775" s="4">
        <v>45304.09831018518</v>
      </c>
      <c r="C775" s="3" t="s">
        <v>7</v>
      </c>
    </row>
    <row r="776">
      <c r="A776" s="3">
        <v>3969.0</v>
      </c>
      <c r="B776" s="4">
        <v>45304.1009837963</v>
      </c>
      <c r="C776" s="3" t="s">
        <v>3</v>
      </c>
    </row>
    <row r="777">
      <c r="A777" s="3">
        <v>4716.0</v>
      </c>
      <c r="B777" s="4">
        <v>45304.10155092592</v>
      </c>
      <c r="C777" s="3" t="s">
        <v>4</v>
      </c>
    </row>
    <row r="778">
      <c r="A778" s="3">
        <v>4272.0</v>
      </c>
      <c r="B778" s="4">
        <v>45304.1046412037</v>
      </c>
      <c r="C778" s="3" t="s">
        <v>7</v>
      </c>
    </row>
    <row r="779">
      <c r="A779" s="3">
        <v>3253.0</v>
      </c>
      <c r="B779" s="4">
        <v>45304.1096875</v>
      </c>
      <c r="C779" s="3" t="s">
        <v>4</v>
      </c>
    </row>
    <row r="780">
      <c r="A780" s="3">
        <v>3361.0</v>
      </c>
      <c r="B780" s="4">
        <v>45304.111712962964</v>
      </c>
      <c r="C780" s="3" t="s">
        <v>4</v>
      </c>
    </row>
    <row r="781">
      <c r="A781" s="3">
        <v>6341.0</v>
      </c>
      <c r="B781" s="4">
        <v>45304.11251157407</v>
      </c>
      <c r="C781" s="3" t="s">
        <v>3</v>
      </c>
    </row>
    <row r="782">
      <c r="A782" s="3">
        <v>3769.0</v>
      </c>
      <c r="B782" s="4">
        <v>45304.116956018515</v>
      </c>
      <c r="C782" s="3" t="s">
        <v>5</v>
      </c>
    </row>
    <row r="783">
      <c r="A783" s="3">
        <v>5956.0</v>
      </c>
      <c r="B783" s="4">
        <v>45304.134780092594</v>
      </c>
      <c r="C783" s="3" t="s">
        <v>3</v>
      </c>
    </row>
    <row r="784">
      <c r="A784" s="3">
        <v>914.0</v>
      </c>
      <c r="B784" s="4">
        <v>45304.15446759259</v>
      </c>
      <c r="C784" s="3" t="s">
        <v>3</v>
      </c>
    </row>
    <row r="785">
      <c r="A785" s="3">
        <v>6790.0</v>
      </c>
      <c r="B785" s="4">
        <v>45304.18387731481</v>
      </c>
      <c r="C785" s="3" t="s">
        <v>6</v>
      </c>
    </row>
    <row r="786">
      <c r="A786" s="3">
        <v>6618.0</v>
      </c>
      <c r="B786" s="4">
        <v>45304.199328703704</v>
      </c>
      <c r="C786" s="3" t="s">
        <v>4</v>
      </c>
    </row>
    <row r="787">
      <c r="A787" s="3">
        <v>1348.0</v>
      </c>
      <c r="B787" s="4">
        <v>45304.22016203704</v>
      </c>
      <c r="C787" s="3" t="s">
        <v>4</v>
      </c>
    </row>
    <row r="788">
      <c r="A788" s="3">
        <v>1407.0</v>
      </c>
      <c r="B788" s="4">
        <v>45304.225810185184</v>
      </c>
      <c r="C788" s="3" t="s">
        <v>6</v>
      </c>
    </row>
    <row r="789">
      <c r="A789" s="3">
        <v>2957.0</v>
      </c>
      <c r="B789" s="4">
        <v>45304.2284375</v>
      </c>
      <c r="C789" s="3" t="s">
        <v>3</v>
      </c>
    </row>
    <row r="790">
      <c r="A790" s="3">
        <v>436.0</v>
      </c>
      <c r="B790" s="4">
        <v>45304.238078703704</v>
      </c>
      <c r="C790" s="3" t="s">
        <v>4</v>
      </c>
    </row>
    <row r="791">
      <c r="A791" s="3">
        <v>7117.0</v>
      </c>
      <c r="B791" s="4">
        <v>45304.2452662037</v>
      </c>
      <c r="C791" s="3" t="s">
        <v>5</v>
      </c>
    </row>
    <row r="792">
      <c r="A792" s="3">
        <v>5326.0</v>
      </c>
      <c r="B792" s="4">
        <v>45304.25069444445</v>
      </c>
      <c r="C792" s="3" t="s">
        <v>6</v>
      </c>
    </row>
    <row r="793">
      <c r="A793" s="3">
        <v>707.0</v>
      </c>
      <c r="B793" s="4">
        <v>45304.256527777776</v>
      </c>
      <c r="C793" s="3" t="s">
        <v>7</v>
      </c>
    </row>
    <row r="794">
      <c r="A794" s="3">
        <v>3361.0</v>
      </c>
      <c r="B794" s="4">
        <v>45304.27587962963</v>
      </c>
      <c r="C794" s="3" t="s">
        <v>3</v>
      </c>
    </row>
    <row r="795">
      <c r="A795" s="3">
        <v>665.0</v>
      </c>
      <c r="B795" s="4">
        <v>45304.29802083333</v>
      </c>
      <c r="C795" s="3" t="s">
        <v>6</v>
      </c>
    </row>
    <row r="796">
      <c r="A796" s="3">
        <v>545.0</v>
      </c>
      <c r="B796" s="4">
        <v>45304.31842592593</v>
      </c>
      <c r="C796" s="3" t="s">
        <v>6</v>
      </c>
    </row>
    <row r="797">
      <c r="A797" s="3">
        <v>2796.0</v>
      </c>
      <c r="B797" s="4">
        <v>45304.32986111111</v>
      </c>
      <c r="C797" s="3" t="s">
        <v>6</v>
      </c>
    </row>
    <row r="798">
      <c r="A798" s="3">
        <v>3772.0</v>
      </c>
      <c r="B798" s="4">
        <v>45304.3590625</v>
      </c>
      <c r="C798" s="3" t="s">
        <v>6</v>
      </c>
    </row>
    <row r="799">
      <c r="A799" s="3">
        <v>5485.0</v>
      </c>
      <c r="B799" s="4">
        <v>45304.367638888885</v>
      </c>
      <c r="C799" s="3" t="s">
        <v>7</v>
      </c>
    </row>
    <row r="800">
      <c r="A800" s="3">
        <v>4289.0</v>
      </c>
      <c r="B800" s="4">
        <v>45304.37803240741</v>
      </c>
      <c r="C800" s="3" t="s">
        <v>3</v>
      </c>
    </row>
    <row r="801">
      <c r="A801" s="3">
        <v>2938.0</v>
      </c>
      <c r="B801" s="4">
        <v>45304.384884259256</v>
      </c>
      <c r="C801" s="3" t="s">
        <v>3</v>
      </c>
    </row>
    <row r="802">
      <c r="A802" s="3">
        <v>5124.0</v>
      </c>
      <c r="B802" s="4">
        <v>45304.40081018519</v>
      </c>
      <c r="C802" s="3" t="s">
        <v>4</v>
      </c>
    </row>
    <row r="803">
      <c r="A803" s="3">
        <v>1128.0</v>
      </c>
      <c r="B803" s="4">
        <v>45304.43114583333</v>
      </c>
      <c r="C803" s="3" t="s">
        <v>5</v>
      </c>
    </row>
    <row r="804">
      <c r="A804" s="3">
        <v>2125.0</v>
      </c>
      <c r="B804" s="4">
        <v>45304.461122685185</v>
      </c>
      <c r="C804" s="3" t="s">
        <v>3</v>
      </c>
    </row>
    <row r="805">
      <c r="A805" s="3">
        <v>244.0</v>
      </c>
      <c r="B805" s="4">
        <v>45304.48065972222</v>
      </c>
      <c r="C805" s="3" t="s">
        <v>3</v>
      </c>
    </row>
    <row r="806">
      <c r="A806" s="3">
        <v>1722.0</v>
      </c>
      <c r="B806" s="4">
        <v>45304.49774305556</v>
      </c>
      <c r="C806" s="3" t="s">
        <v>4</v>
      </c>
    </row>
    <row r="807">
      <c r="A807" s="3">
        <v>248.0</v>
      </c>
      <c r="B807" s="4">
        <v>45304.508518518516</v>
      </c>
      <c r="C807" s="3" t="s">
        <v>6</v>
      </c>
    </row>
    <row r="808">
      <c r="A808" s="3">
        <v>1722.0</v>
      </c>
      <c r="B808" s="4">
        <v>45304.51671296296</v>
      </c>
      <c r="C808" s="3" t="s">
        <v>3</v>
      </c>
    </row>
    <row r="809">
      <c r="A809" s="3">
        <v>2292.0</v>
      </c>
      <c r="B809" s="4">
        <v>45304.519155092596</v>
      </c>
      <c r="C809" s="3" t="s">
        <v>4</v>
      </c>
    </row>
    <row r="810">
      <c r="A810" s="3">
        <v>324.0</v>
      </c>
      <c r="B810" s="4">
        <v>45304.528333333335</v>
      </c>
      <c r="C810" s="3" t="s">
        <v>3</v>
      </c>
    </row>
    <row r="811">
      <c r="A811" s="3">
        <v>6790.0</v>
      </c>
      <c r="B811" s="4">
        <v>45304.53471064815</v>
      </c>
      <c r="C811" s="3" t="s">
        <v>5</v>
      </c>
    </row>
    <row r="812">
      <c r="A812" s="3">
        <v>2599.0</v>
      </c>
      <c r="B812" s="4">
        <v>45304.53556712963</v>
      </c>
      <c r="C812" s="3" t="s">
        <v>7</v>
      </c>
    </row>
    <row r="813">
      <c r="A813" s="3">
        <v>3906.0</v>
      </c>
      <c r="B813" s="4">
        <v>45304.53695601852</v>
      </c>
      <c r="C813" s="3" t="s">
        <v>6</v>
      </c>
    </row>
    <row r="814">
      <c r="A814" s="3">
        <v>702.0</v>
      </c>
      <c r="B814" s="4">
        <v>45304.546793981484</v>
      </c>
      <c r="C814" s="3" t="s">
        <v>6</v>
      </c>
    </row>
    <row r="815">
      <c r="A815" s="3">
        <v>3165.0</v>
      </c>
      <c r="B815" s="4">
        <v>45304.58918981482</v>
      </c>
      <c r="C815" s="3" t="s">
        <v>3</v>
      </c>
    </row>
    <row r="816">
      <c r="A816" s="3">
        <v>307.0</v>
      </c>
      <c r="B816" s="4">
        <v>45304.60120370371</v>
      </c>
      <c r="C816" s="3" t="s">
        <v>4</v>
      </c>
    </row>
    <row r="817">
      <c r="A817" s="3">
        <v>586.0</v>
      </c>
      <c r="B817" s="4">
        <v>45304.603055555555</v>
      </c>
      <c r="C817" s="3" t="s">
        <v>4</v>
      </c>
    </row>
    <row r="818">
      <c r="A818" s="3">
        <v>1346.0</v>
      </c>
      <c r="B818" s="4">
        <v>45304.63056712963</v>
      </c>
      <c r="C818" s="3" t="s">
        <v>5</v>
      </c>
    </row>
    <row r="819">
      <c r="A819" s="3">
        <v>4882.0</v>
      </c>
      <c r="B819" s="4">
        <v>45304.64548611111</v>
      </c>
      <c r="C819" s="3" t="s">
        <v>3</v>
      </c>
    </row>
    <row r="820">
      <c r="A820" s="3">
        <v>394.0</v>
      </c>
      <c r="B820" s="4">
        <v>45304.6596875</v>
      </c>
      <c r="C820" s="3" t="s">
        <v>6</v>
      </c>
    </row>
    <row r="821">
      <c r="A821" s="3">
        <v>586.0</v>
      </c>
      <c r="B821" s="4">
        <v>45304.6765625</v>
      </c>
      <c r="C821" s="3" t="s">
        <v>5</v>
      </c>
    </row>
    <row r="822">
      <c r="A822" s="3">
        <v>2307.0</v>
      </c>
      <c r="B822" s="4">
        <v>45304.67679398148</v>
      </c>
      <c r="C822" s="3" t="s">
        <v>3</v>
      </c>
    </row>
    <row r="823">
      <c r="A823" s="3">
        <v>5715.0</v>
      </c>
      <c r="B823" s="4">
        <v>45304.69053240741</v>
      </c>
      <c r="C823" s="3" t="s">
        <v>3</v>
      </c>
    </row>
    <row r="824">
      <c r="A824" s="3">
        <v>686.0</v>
      </c>
      <c r="B824" s="4">
        <v>45304.70197916667</v>
      </c>
      <c r="C824" s="3" t="s">
        <v>3</v>
      </c>
    </row>
    <row r="825">
      <c r="A825" s="3">
        <v>4415.0</v>
      </c>
      <c r="B825" s="4">
        <v>45304.71505787037</v>
      </c>
      <c r="C825" s="3" t="s">
        <v>7</v>
      </c>
    </row>
    <row r="826">
      <c r="A826" s="3">
        <v>1348.0</v>
      </c>
      <c r="B826" s="4">
        <v>45304.71658564815</v>
      </c>
      <c r="C826" s="3" t="s">
        <v>3</v>
      </c>
    </row>
    <row r="827">
      <c r="A827" s="3">
        <v>2868.0</v>
      </c>
      <c r="B827" s="4">
        <v>45304.72638888889</v>
      </c>
      <c r="C827" s="3" t="s">
        <v>3</v>
      </c>
    </row>
    <row r="828">
      <c r="A828" s="3">
        <v>6809.0</v>
      </c>
      <c r="B828" s="4">
        <v>45304.72662037037</v>
      </c>
      <c r="C828" s="3" t="s">
        <v>5</v>
      </c>
    </row>
    <row r="829">
      <c r="A829" s="3">
        <v>6370.0</v>
      </c>
      <c r="B829" s="4">
        <v>45304.73196759259</v>
      </c>
      <c r="C829" s="3" t="s">
        <v>5</v>
      </c>
    </row>
    <row r="830">
      <c r="A830" s="3">
        <v>4716.0</v>
      </c>
      <c r="B830" s="4">
        <v>45304.73738425926</v>
      </c>
      <c r="C830" s="3" t="s">
        <v>3</v>
      </c>
    </row>
    <row r="831">
      <c r="A831" s="3">
        <v>5321.0</v>
      </c>
      <c r="B831" s="4">
        <v>45304.75082175926</v>
      </c>
      <c r="C831" s="3" t="s">
        <v>3</v>
      </c>
    </row>
    <row r="832">
      <c r="A832" s="3">
        <v>3253.0</v>
      </c>
      <c r="B832" s="4">
        <v>45304.77290509259</v>
      </c>
      <c r="C832" s="3" t="s">
        <v>3</v>
      </c>
    </row>
    <row r="833">
      <c r="A833" s="3">
        <v>6341.0</v>
      </c>
      <c r="B833" s="4">
        <v>45304.78697916667</v>
      </c>
      <c r="C833" s="3" t="s">
        <v>4</v>
      </c>
    </row>
    <row r="834">
      <c r="A834" s="3">
        <v>2389.0</v>
      </c>
      <c r="B834" s="4">
        <v>45304.80446759259</v>
      </c>
      <c r="C834" s="3" t="s">
        <v>3</v>
      </c>
    </row>
    <row r="835">
      <c r="A835" s="3">
        <v>5485.0</v>
      </c>
      <c r="B835" s="4">
        <v>45304.81375</v>
      </c>
      <c r="C835" s="3" t="s">
        <v>6</v>
      </c>
    </row>
    <row r="836">
      <c r="A836" s="3">
        <v>7274.0</v>
      </c>
      <c r="B836" s="4">
        <v>45304.83326388889</v>
      </c>
      <c r="C836" s="3" t="s">
        <v>7</v>
      </c>
    </row>
    <row r="837">
      <c r="A837" s="3">
        <v>4842.0</v>
      </c>
      <c r="B837" s="4">
        <v>45304.84421296296</v>
      </c>
      <c r="C837" s="3" t="s">
        <v>3</v>
      </c>
    </row>
    <row r="838">
      <c r="A838" s="3">
        <v>1898.0</v>
      </c>
      <c r="B838" s="4">
        <v>45304.85255787037</v>
      </c>
      <c r="C838" s="3" t="s">
        <v>4</v>
      </c>
    </row>
    <row r="839">
      <c r="A839" s="3">
        <v>4019.0</v>
      </c>
      <c r="B839" s="4">
        <v>45304.85623842593</v>
      </c>
      <c r="C839" s="3" t="s">
        <v>3</v>
      </c>
    </row>
    <row r="840">
      <c r="A840" s="3">
        <v>2524.0</v>
      </c>
      <c r="B840" s="4">
        <v>45304.87908564815</v>
      </c>
      <c r="C840" s="3" t="s">
        <v>7</v>
      </c>
    </row>
    <row r="841">
      <c r="A841" s="3">
        <v>2313.0</v>
      </c>
      <c r="B841" s="4">
        <v>45304.88392361111</v>
      </c>
      <c r="C841" s="3" t="s">
        <v>3</v>
      </c>
    </row>
    <row r="842">
      <c r="A842" s="3">
        <v>7235.0</v>
      </c>
      <c r="B842" s="4">
        <v>45304.88681712963</v>
      </c>
      <c r="C842" s="3" t="s">
        <v>4</v>
      </c>
    </row>
    <row r="843">
      <c r="A843" s="3">
        <v>1566.0</v>
      </c>
      <c r="B843" s="4">
        <v>45304.897210648145</v>
      </c>
      <c r="C843" s="3" t="s">
        <v>3</v>
      </c>
    </row>
    <row r="844">
      <c r="A844" s="3">
        <v>436.0</v>
      </c>
      <c r="B844" s="4">
        <v>45304.92689814815</v>
      </c>
      <c r="C844" s="3" t="s">
        <v>5</v>
      </c>
    </row>
    <row r="845">
      <c r="A845" s="3">
        <v>600.0</v>
      </c>
      <c r="B845" s="4">
        <v>45304.94393518518</v>
      </c>
      <c r="C845" s="3" t="s">
        <v>3</v>
      </c>
    </row>
    <row r="846">
      <c r="A846" s="3">
        <v>5956.0</v>
      </c>
      <c r="B846" s="4">
        <v>45304.945972222224</v>
      </c>
      <c r="C846" s="3" t="s">
        <v>4</v>
      </c>
    </row>
    <row r="847">
      <c r="A847" s="3">
        <v>6799.0</v>
      </c>
      <c r="B847" s="4">
        <v>45304.951365740744</v>
      </c>
      <c r="C847" s="3" t="s">
        <v>7</v>
      </c>
    </row>
    <row r="848">
      <c r="A848" s="3">
        <v>5710.0</v>
      </c>
      <c r="B848" s="4">
        <v>45304.96611111111</v>
      </c>
      <c r="C848" s="3" t="s">
        <v>3</v>
      </c>
    </row>
    <row r="849">
      <c r="A849" s="3">
        <v>707.0</v>
      </c>
      <c r="B849" s="4">
        <v>45304.96655092593</v>
      </c>
      <c r="C849" s="3" t="s">
        <v>6</v>
      </c>
    </row>
    <row r="850">
      <c r="A850" s="3">
        <v>5850.0</v>
      </c>
      <c r="B850" s="4">
        <v>45304.997777777775</v>
      </c>
      <c r="C850" s="3" t="s">
        <v>5</v>
      </c>
    </row>
    <row r="851">
      <c r="A851" s="3">
        <v>2479.0</v>
      </c>
      <c r="B851" s="4">
        <v>45305.01138888889</v>
      </c>
      <c r="C851" s="3" t="s">
        <v>3</v>
      </c>
    </row>
    <row r="852">
      <c r="A852" s="3">
        <v>1564.0</v>
      </c>
      <c r="B852" s="4">
        <v>45305.032372685186</v>
      </c>
      <c r="C852" s="3" t="s">
        <v>3</v>
      </c>
    </row>
    <row r="853">
      <c r="A853" s="3">
        <v>3165.0</v>
      </c>
      <c r="B853" s="4">
        <v>45305.08322916667</v>
      </c>
      <c r="C853" s="3" t="s">
        <v>6</v>
      </c>
    </row>
    <row r="854">
      <c r="A854" s="3">
        <v>5648.0</v>
      </c>
      <c r="B854" s="4">
        <v>45305.155636574076</v>
      </c>
      <c r="C854" s="3" t="s">
        <v>3</v>
      </c>
    </row>
    <row r="855">
      <c r="A855" s="3">
        <v>4716.0</v>
      </c>
      <c r="B855" s="4">
        <v>45305.16033564815</v>
      </c>
      <c r="C855" s="3" t="s">
        <v>6</v>
      </c>
    </row>
    <row r="856">
      <c r="A856" s="3">
        <v>1346.0</v>
      </c>
      <c r="B856" s="4">
        <v>45305.162465277775</v>
      </c>
      <c r="C856" s="3" t="s">
        <v>7</v>
      </c>
    </row>
    <row r="857">
      <c r="A857" s="3">
        <v>7274.0</v>
      </c>
      <c r="B857" s="4">
        <v>45305.162627314814</v>
      </c>
      <c r="C857" s="3" t="s">
        <v>6</v>
      </c>
    </row>
    <row r="858">
      <c r="A858" s="3">
        <v>7730.0</v>
      </c>
      <c r="B858" s="4">
        <v>45305.16740740741</v>
      </c>
      <c r="C858" s="3" t="s">
        <v>3</v>
      </c>
    </row>
    <row r="859">
      <c r="A859" s="3">
        <v>5956.0</v>
      </c>
      <c r="B859" s="4">
        <v>45305.179560185185</v>
      </c>
      <c r="C859" s="3" t="s">
        <v>7</v>
      </c>
    </row>
    <row r="860">
      <c r="A860" s="3">
        <v>2479.0</v>
      </c>
      <c r="B860" s="4">
        <v>45305.19483796296</v>
      </c>
      <c r="C860" s="3" t="s">
        <v>4</v>
      </c>
    </row>
    <row r="861">
      <c r="A861" s="3">
        <v>4433.0</v>
      </c>
      <c r="B861" s="4">
        <v>45305.205</v>
      </c>
      <c r="C861" s="3" t="s">
        <v>4</v>
      </c>
    </row>
    <row r="862">
      <c r="A862" s="3">
        <v>3718.0</v>
      </c>
      <c r="B862" s="4">
        <v>45305.22280092593</v>
      </c>
      <c r="C862" s="3" t="s">
        <v>5</v>
      </c>
    </row>
    <row r="863">
      <c r="A863" s="3">
        <v>7039.0</v>
      </c>
      <c r="B863" s="4">
        <v>45305.3116087963</v>
      </c>
      <c r="C863" s="3" t="s">
        <v>3</v>
      </c>
    </row>
    <row r="864">
      <c r="A864" s="3">
        <v>2868.0</v>
      </c>
      <c r="B864" s="4">
        <v>45305.31590277778</v>
      </c>
      <c r="C864" s="3" t="s">
        <v>4</v>
      </c>
    </row>
    <row r="865">
      <c r="A865" s="3">
        <v>617.0</v>
      </c>
      <c r="B865" s="4">
        <v>45305.33872685185</v>
      </c>
      <c r="C865" s="3" t="s">
        <v>3</v>
      </c>
    </row>
    <row r="866">
      <c r="A866" s="3">
        <v>1722.0</v>
      </c>
      <c r="B866" s="4">
        <v>45305.34002314815</v>
      </c>
      <c r="C866" s="3" t="s">
        <v>5</v>
      </c>
    </row>
    <row r="867">
      <c r="A867" s="3">
        <v>5200.0</v>
      </c>
      <c r="B867" s="4">
        <v>45305.371712962966</v>
      </c>
      <c r="C867" s="3" t="s">
        <v>6</v>
      </c>
    </row>
    <row r="868">
      <c r="A868" s="3">
        <v>6798.0</v>
      </c>
      <c r="B868" s="4">
        <v>45305.37814814815</v>
      </c>
      <c r="C868" s="3" t="s">
        <v>5</v>
      </c>
    </row>
    <row r="869">
      <c r="A869" s="3">
        <v>6580.0</v>
      </c>
      <c r="B869" s="4">
        <v>45305.38625</v>
      </c>
      <c r="C869" s="3" t="s">
        <v>3</v>
      </c>
    </row>
    <row r="870">
      <c r="A870" s="3">
        <v>4459.0</v>
      </c>
      <c r="B870" s="4">
        <v>45305.410891203705</v>
      </c>
      <c r="C870" s="3" t="s">
        <v>3</v>
      </c>
    </row>
    <row r="871">
      <c r="A871" s="3">
        <v>2292.0</v>
      </c>
      <c r="B871" s="4">
        <v>45305.430625</v>
      </c>
      <c r="C871" s="3" t="s">
        <v>6</v>
      </c>
    </row>
    <row r="872">
      <c r="A872" s="3">
        <v>6689.0</v>
      </c>
      <c r="B872" s="4">
        <v>45305.434212962966</v>
      </c>
      <c r="C872" s="3" t="s">
        <v>7</v>
      </c>
    </row>
    <row r="873">
      <c r="A873" s="3">
        <v>1766.0</v>
      </c>
      <c r="B873" s="4">
        <v>45305.43572916667</v>
      </c>
      <c r="C873" s="3" t="s">
        <v>5</v>
      </c>
    </row>
    <row r="874">
      <c r="A874" s="3">
        <v>3718.0</v>
      </c>
      <c r="B874" s="4">
        <v>45305.44667824074</v>
      </c>
      <c r="C874" s="3" t="s">
        <v>7</v>
      </c>
    </row>
    <row r="875">
      <c r="A875" s="3">
        <v>6162.0</v>
      </c>
      <c r="B875" s="4">
        <v>45305.46585648148</v>
      </c>
      <c r="C875" s="3" t="s">
        <v>5</v>
      </c>
    </row>
    <row r="876">
      <c r="A876" s="3">
        <v>492.0</v>
      </c>
      <c r="B876" s="4">
        <v>45305.47010416666</v>
      </c>
      <c r="C876" s="3" t="s">
        <v>6</v>
      </c>
    </row>
    <row r="877">
      <c r="A877" s="3">
        <v>247.0</v>
      </c>
      <c r="B877" s="4">
        <v>45305.49116898148</v>
      </c>
      <c r="C877" s="3" t="s">
        <v>3</v>
      </c>
    </row>
    <row r="878">
      <c r="A878" s="3">
        <v>2688.0</v>
      </c>
      <c r="B878" s="4">
        <v>45305.4940162037</v>
      </c>
      <c r="C878" s="3" t="s">
        <v>3</v>
      </c>
    </row>
    <row r="879">
      <c r="A879" s="3">
        <v>4716.0</v>
      </c>
      <c r="B879" s="4">
        <v>45305.51503472222</v>
      </c>
      <c r="C879" s="3" t="s">
        <v>5</v>
      </c>
    </row>
    <row r="880">
      <c r="A880" s="3">
        <v>3143.0</v>
      </c>
      <c r="B880" s="4">
        <v>45305.516747685186</v>
      </c>
      <c r="C880" s="3" t="s">
        <v>6</v>
      </c>
    </row>
    <row r="881">
      <c r="A881" s="3">
        <v>5850.0</v>
      </c>
      <c r="B881" s="4">
        <v>45305.521585648145</v>
      </c>
      <c r="C881" s="3" t="s">
        <v>7</v>
      </c>
    </row>
    <row r="882">
      <c r="A882" s="3">
        <v>5514.0</v>
      </c>
      <c r="B882" s="4">
        <v>45305.531377314815</v>
      </c>
      <c r="C882" s="3" t="s">
        <v>3</v>
      </c>
    </row>
    <row r="883">
      <c r="A883" s="3">
        <v>6162.0</v>
      </c>
      <c r="B883" s="4">
        <v>45305.54393518518</v>
      </c>
      <c r="C883" s="3" t="s">
        <v>3</v>
      </c>
    </row>
    <row r="884">
      <c r="A884" s="3">
        <v>4272.0</v>
      </c>
      <c r="B884" s="4">
        <v>45305.57152777778</v>
      </c>
      <c r="C884" s="3" t="s">
        <v>4</v>
      </c>
    </row>
    <row r="885">
      <c r="A885" s="3">
        <v>4640.0</v>
      </c>
      <c r="B885" s="4">
        <v>45305.572592592594</v>
      </c>
      <c r="C885" s="3" t="s">
        <v>3</v>
      </c>
    </row>
    <row r="886">
      <c r="A886" s="3">
        <v>3868.0</v>
      </c>
      <c r="B886" s="4">
        <v>45305.57282407407</v>
      </c>
      <c r="C886" s="3" t="s">
        <v>3</v>
      </c>
    </row>
    <row r="887">
      <c r="A887" s="3">
        <v>3969.0</v>
      </c>
      <c r="B887" s="4">
        <v>45305.58472222222</v>
      </c>
      <c r="C887" s="3" t="s">
        <v>4</v>
      </c>
    </row>
    <row r="888">
      <c r="A888" s="3">
        <v>2125.0</v>
      </c>
      <c r="B888" s="4">
        <v>45305.59174768518</v>
      </c>
      <c r="C888" s="3" t="s">
        <v>7</v>
      </c>
    </row>
    <row r="889">
      <c r="A889" s="3">
        <v>2313.0</v>
      </c>
      <c r="B889" s="4">
        <v>45305.59203703704</v>
      </c>
      <c r="C889" s="3" t="s">
        <v>7</v>
      </c>
    </row>
    <row r="890">
      <c r="A890" s="3">
        <v>3244.0</v>
      </c>
      <c r="B890" s="4">
        <v>45305.59667824074</v>
      </c>
      <c r="C890" s="3" t="s">
        <v>4</v>
      </c>
    </row>
    <row r="891">
      <c r="A891" s="3">
        <v>2814.0</v>
      </c>
      <c r="B891" s="4">
        <v>45305.59783564815</v>
      </c>
      <c r="C891" s="3" t="s">
        <v>3</v>
      </c>
    </row>
    <row r="892">
      <c r="A892" s="3">
        <v>2125.0</v>
      </c>
      <c r="B892" s="4">
        <v>45305.61523148148</v>
      </c>
      <c r="C892" s="3" t="s">
        <v>5</v>
      </c>
    </row>
    <row r="893">
      <c r="A893" s="3">
        <v>4795.0</v>
      </c>
      <c r="B893" s="4">
        <v>45305.61703703704</v>
      </c>
      <c r="C893" s="3" t="s">
        <v>3</v>
      </c>
    </row>
    <row r="894">
      <c r="A894" s="3">
        <v>4771.0</v>
      </c>
      <c r="B894" s="4">
        <v>45305.62081018519</v>
      </c>
      <c r="C894" s="3" t="s">
        <v>3</v>
      </c>
    </row>
    <row r="895">
      <c r="A895" s="3">
        <v>76.0</v>
      </c>
      <c r="B895" s="4">
        <v>45305.62814814815</v>
      </c>
      <c r="C895" s="3" t="s">
        <v>3</v>
      </c>
    </row>
    <row r="896">
      <c r="A896" s="3">
        <v>7530.0</v>
      </c>
      <c r="B896" s="4">
        <v>45305.629745370374</v>
      </c>
      <c r="C896" s="3" t="s">
        <v>6</v>
      </c>
    </row>
    <row r="897">
      <c r="A897" s="3">
        <v>6355.0</v>
      </c>
      <c r="B897" s="4">
        <v>45305.629953703705</v>
      </c>
      <c r="C897" s="3" t="s">
        <v>3</v>
      </c>
    </row>
    <row r="898">
      <c r="A898" s="3">
        <v>7109.0</v>
      </c>
      <c r="B898" s="4">
        <v>45305.63072916667</v>
      </c>
      <c r="C898" s="3" t="s">
        <v>4</v>
      </c>
    </row>
    <row r="899">
      <c r="A899" s="3">
        <v>2389.0</v>
      </c>
      <c r="B899" s="4">
        <v>45305.63736111111</v>
      </c>
      <c r="C899" s="3" t="s">
        <v>7</v>
      </c>
    </row>
    <row r="900">
      <c r="A900" s="3">
        <v>7730.0</v>
      </c>
      <c r="B900" s="4">
        <v>45305.6400462963</v>
      </c>
      <c r="C900" s="3" t="s">
        <v>4</v>
      </c>
    </row>
    <row r="901">
      <c r="A901" s="3">
        <v>1587.0</v>
      </c>
      <c r="B901" s="4">
        <v>45305.652141203704</v>
      </c>
      <c r="C901" s="3" t="s">
        <v>5</v>
      </c>
    </row>
    <row r="902">
      <c r="A902" s="3">
        <v>600.0</v>
      </c>
      <c r="B902" s="4">
        <v>45305.669027777774</v>
      </c>
      <c r="C902" s="3" t="s">
        <v>4</v>
      </c>
    </row>
    <row r="903">
      <c r="A903" s="3">
        <v>3231.0</v>
      </c>
      <c r="B903" s="4">
        <v>45305.70642361111</v>
      </c>
      <c r="C903" s="3" t="s">
        <v>3</v>
      </c>
    </row>
    <row r="904">
      <c r="A904" s="3">
        <v>4289.0</v>
      </c>
      <c r="B904" s="4">
        <v>45305.727002314816</v>
      </c>
      <c r="C904" s="3" t="s">
        <v>4</v>
      </c>
    </row>
    <row r="905">
      <c r="A905" s="3">
        <v>4693.0</v>
      </c>
      <c r="B905" s="4">
        <v>45305.73412037037</v>
      </c>
      <c r="C905" s="3" t="s">
        <v>7</v>
      </c>
    </row>
    <row r="906">
      <c r="A906" s="3">
        <v>2313.0</v>
      </c>
      <c r="B906" s="4">
        <v>45305.74989583333</v>
      </c>
      <c r="C906" s="3" t="s">
        <v>4</v>
      </c>
    </row>
    <row r="907">
      <c r="A907" s="3">
        <v>5485.0</v>
      </c>
      <c r="B907" s="4">
        <v>45305.80846064815</v>
      </c>
      <c r="C907" s="3" t="s">
        <v>5</v>
      </c>
    </row>
    <row r="908">
      <c r="A908" s="3">
        <v>7665.0</v>
      </c>
      <c r="B908" s="4">
        <v>45305.82071759259</v>
      </c>
      <c r="C908" s="3" t="s">
        <v>3</v>
      </c>
    </row>
    <row r="909">
      <c r="A909" s="3">
        <v>2307.0</v>
      </c>
      <c r="B909" s="4">
        <v>45305.84091435185</v>
      </c>
      <c r="C909" s="3" t="s">
        <v>4</v>
      </c>
    </row>
    <row r="910">
      <c r="A910" s="3">
        <v>5068.0</v>
      </c>
      <c r="B910" s="4">
        <v>45305.84248842593</v>
      </c>
      <c r="C910" s="3" t="s">
        <v>3</v>
      </c>
    </row>
    <row r="911">
      <c r="A911" s="3">
        <v>1766.0</v>
      </c>
      <c r="B911" s="4">
        <v>45305.856203703705</v>
      </c>
      <c r="C911" s="3" t="s">
        <v>3</v>
      </c>
    </row>
    <row r="912">
      <c r="A912" s="3">
        <v>2707.0</v>
      </c>
      <c r="B912" s="4">
        <v>45305.86804398148</v>
      </c>
      <c r="C912" s="3" t="s">
        <v>6</v>
      </c>
    </row>
    <row r="913">
      <c r="A913" s="3">
        <v>4695.0</v>
      </c>
      <c r="B913" s="4">
        <v>45305.89028935185</v>
      </c>
      <c r="C913" s="3" t="s">
        <v>3</v>
      </c>
    </row>
    <row r="914">
      <c r="A914" s="3">
        <v>2479.0</v>
      </c>
      <c r="B914" s="4">
        <v>45305.89570601852</v>
      </c>
      <c r="C914" s="3" t="s">
        <v>5</v>
      </c>
    </row>
    <row r="915">
      <c r="A915" s="3">
        <v>7039.0</v>
      </c>
      <c r="B915" s="4">
        <v>45305.9050462963</v>
      </c>
      <c r="C915" s="3" t="s">
        <v>4</v>
      </c>
    </row>
    <row r="916">
      <c r="A916" s="3">
        <v>2938.0</v>
      </c>
      <c r="B916" s="4">
        <v>45305.945972222224</v>
      </c>
      <c r="C916" s="3" t="s">
        <v>4</v>
      </c>
    </row>
    <row r="917">
      <c r="A917" s="3">
        <v>7109.0</v>
      </c>
      <c r="B917" s="4">
        <v>45305.94861111111</v>
      </c>
      <c r="C917" s="3" t="s">
        <v>3</v>
      </c>
    </row>
    <row r="918">
      <c r="A918" s="3">
        <v>2475.0</v>
      </c>
      <c r="B918" s="4">
        <v>45305.957083333335</v>
      </c>
      <c r="C918" s="3" t="s">
        <v>3</v>
      </c>
    </row>
    <row r="919">
      <c r="A919" s="3">
        <v>324.0</v>
      </c>
      <c r="B919" s="4">
        <v>45305.95824074074</v>
      </c>
      <c r="C919" s="3" t="s">
        <v>4</v>
      </c>
    </row>
    <row r="920">
      <c r="A920" s="3">
        <v>3165.0</v>
      </c>
      <c r="B920" s="4">
        <v>45305.960011574076</v>
      </c>
      <c r="C920" s="3" t="s">
        <v>4</v>
      </c>
    </row>
    <row r="921">
      <c r="A921" s="3">
        <v>6162.0</v>
      </c>
      <c r="B921" s="4">
        <v>45305.99229166667</v>
      </c>
      <c r="C921" s="3" t="s">
        <v>4</v>
      </c>
    </row>
    <row r="922">
      <c r="A922" s="3">
        <v>6412.0</v>
      </c>
      <c r="B922" s="4">
        <v>45306.0044212963</v>
      </c>
      <c r="C922" s="3" t="s">
        <v>3</v>
      </c>
    </row>
    <row r="923">
      <c r="A923" s="3">
        <v>1648.0</v>
      </c>
      <c r="B923" s="4">
        <v>45306.02113425926</v>
      </c>
      <c r="C923" s="3" t="s">
        <v>3</v>
      </c>
    </row>
    <row r="924">
      <c r="A924" s="3">
        <v>7974.0</v>
      </c>
      <c r="B924" s="4">
        <v>45306.02125</v>
      </c>
      <c r="C924" s="3" t="s">
        <v>3</v>
      </c>
    </row>
    <row r="925">
      <c r="A925" s="3">
        <v>6798.0</v>
      </c>
      <c r="B925" s="4">
        <v>45306.02479166666</v>
      </c>
      <c r="C925" s="3" t="s">
        <v>4</v>
      </c>
    </row>
    <row r="926">
      <c r="A926" s="3">
        <v>1197.0</v>
      </c>
      <c r="B926" s="4">
        <v>45306.03923611111</v>
      </c>
      <c r="C926" s="3" t="s">
        <v>3</v>
      </c>
    </row>
    <row r="927">
      <c r="A927" s="3">
        <v>6691.0</v>
      </c>
      <c r="B927" s="4">
        <v>45306.04413194444</v>
      </c>
      <c r="C927" s="3" t="s">
        <v>3</v>
      </c>
    </row>
    <row r="928">
      <c r="A928" s="3">
        <v>2313.0</v>
      </c>
      <c r="B928" s="4">
        <v>45306.066145833334</v>
      </c>
      <c r="C928" s="3" t="s">
        <v>5</v>
      </c>
    </row>
    <row r="929">
      <c r="A929" s="3">
        <v>2307.0</v>
      </c>
      <c r="B929" s="4">
        <v>45306.07738425926</v>
      </c>
      <c r="C929" s="3" t="s">
        <v>5</v>
      </c>
    </row>
    <row r="930">
      <c r="A930" s="3">
        <v>7665.0</v>
      </c>
      <c r="B930" s="4">
        <v>45306.0853587963</v>
      </c>
      <c r="C930" s="3" t="s">
        <v>5</v>
      </c>
    </row>
    <row r="931">
      <c r="A931" s="3">
        <v>2922.0</v>
      </c>
      <c r="B931" s="4">
        <v>45306.09868055556</v>
      </c>
      <c r="C931" s="3" t="s">
        <v>6</v>
      </c>
    </row>
    <row r="932">
      <c r="A932" s="3">
        <v>4640.0</v>
      </c>
      <c r="B932" s="4">
        <v>45306.10018518518</v>
      </c>
      <c r="C932" s="3" t="s">
        <v>5</v>
      </c>
    </row>
    <row r="933">
      <c r="A933" s="3">
        <v>7497.0</v>
      </c>
      <c r="B933" s="4">
        <v>45306.11620370371</v>
      </c>
      <c r="C933" s="3" t="s">
        <v>3</v>
      </c>
    </row>
    <row r="934">
      <c r="A934" s="3">
        <v>4374.0</v>
      </c>
      <c r="B934" s="4">
        <v>45306.134618055556</v>
      </c>
      <c r="C934" s="3" t="s">
        <v>3</v>
      </c>
    </row>
    <row r="935">
      <c r="A935" s="3">
        <v>7310.0</v>
      </c>
      <c r="B935" s="4">
        <v>45306.17638888889</v>
      </c>
      <c r="C935" s="3" t="s">
        <v>3</v>
      </c>
    </row>
    <row r="936">
      <c r="A936" s="3">
        <v>7959.0</v>
      </c>
      <c r="B936" s="4">
        <v>45306.19017361111</v>
      </c>
      <c r="C936" s="3" t="s">
        <v>3</v>
      </c>
    </row>
    <row r="937">
      <c r="A937" s="3">
        <v>5215.0</v>
      </c>
      <c r="B937" s="4">
        <v>45306.20407407408</v>
      </c>
      <c r="C937" s="3" t="s">
        <v>4</v>
      </c>
    </row>
    <row r="938">
      <c r="A938" s="3">
        <v>6691.0</v>
      </c>
      <c r="B938" s="4">
        <v>45306.223333333335</v>
      </c>
      <c r="C938" s="3" t="s">
        <v>4</v>
      </c>
    </row>
    <row r="939">
      <c r="A939" s="3">
        <v>2746.0</v>
      </c>
      <c r="B939" s="4">
        <v>45306.24354166666</v>
      </c>
      <c r="C939" s="3" t="s">
        <v>4</v>
      </c>
    </row>
    <row r="940">
      <c r="A940" s="3">
        <v>4272.0</v>
      </c>
      <c r="B940" s="4">
        <v>45306.263506944444</v>
      </c>
      <c r="C940" s="3" t="s">
        <v>6</v>
      </c>
    </row>
    <row r="941">
      <c r="A941" s="3">
        <v>3008.0</v>
      </c>
      <c r="B941" s="4">
        <v>45306.28873842592</v>
      </c>
      <c r="C941" s="3" t="s">
        <v>6</v>
      </c>
    </row>
    <row r="942">
      <c r="A942" s="3">
        <v>1347.0</v>
      </c>
      <c r="B942" s="4">
        <v>45306.289768518516</v>
      </c>
      <c r="C942" s="3" t="s">
        <v>3</v>
      </c>
    </row>
    <row r="943">
      <c r="A943" s="3">
        <v>7149.0</v>
      </c>
      <c r="B943" s="4">
        <v>45306.29423611111</v>
      </c>
      <c r="C943" s="3" t="s">
        <v>3</v>
      </c>
    </row>
    <row r="944">
      <c r="A944" s="3">
        <v>5850.0</v>
      </c>
      <c r="B944" s="4">
        <v>45306.30840277778</v>
      </c>
      <c r="C944" s="3" t="s">
        <v>6</v>
      </c>
    </row>
    <row r="945">
      <c r="A945" s="3">
        <v>83.0</v>
      </c>
      <c r="B945" s="4">
        <v>45306.310752314814</v>
      </c>
      <c r="C945" s="3" t="s">
        <v>3</v>
      </c>
    </row>
    <row r="946">
      <c r="A946" s="3">
        <v>5971.0</v>
      </c>
      <c r="B946" s="4">
        <v>45306.341631944444</v>
      </c>
      <c r="C946" s="3" t="s">
        <v>3</v>
      </c>
    </row>
    <row r="947">
      <c r="A947" s="3">
        <v>4882.0</v>
      </c>
      <c r="B947" s="4">
        <v>45306.348541666666</v>
      </c>
      <c r="C947" s="3" t="s">
        <v>4</v>
      </c>
    </row>
    <row r="948">
      <c r="A948" s="3">
        <v>1898.0</v>
      </c>
      <c r="B948" s="4">
        <v>45306.35346064815</v>
      </c>
      <c r="C948" s="3" t="s">
        <v>5</v>
      </c>
    </row>
    <row r="949">
      <c r="A949" s="3">
        <v>3535.0</v>
      </c>
      <c r="B949" s="4">
        <v>45306.37087962963</v>
      </c>
      <c r="C949" s="3" t="s">
        <v>6</v>
      </c>
    </row>
    <row r="950">
      <c r="A950" s="3">
        <v>7098.0</v>
      </c>
      <c r="B950" s="4">
        <v>45306.377384259256</v>
      </c>
      <c r="C950" s="3" t="s">
        <v>3</v>
      </c>
    </row>
    <row r="951">
      <c r="A951" s="3">
        <v>3368.0</v>
      </c>
      <c r="B951" s="4">
        <v>45306.378020833334</v>
      </c>
      <c r="C951" s="3" t="s">
        <v>4</v>
      </c>
    </row>
    <row r="952">
      <c r="A952" s="3">
        <v>4516.0</v>
      </c>
      <c r="B952" s="4">
        <v>45306.3884375</v>
      </c>
      <c r="C952" s="3" t="s">
        <v>3</v>
      </c>
    </row>
    <row r="953">
      <c r="A953" s="3">
        <v>6665.0</v>
      </c>
      <c r="B953" s="4">
        <v>45306.39818287037</v>
      </c>
      <c r="C953" s="3" t="s">
        <v>6</v>
      </c>
    </row>
    <row r="954">
      <c r="A954" s="3">
        <v>4272.0</v>
      </c>
      <c r="B954" s="4">
        <v>45306.417291666665</v>
      </c>
      <c r="C954" s="3" t="s">
        <v>5</v>
      </c>
    </row>
    <row r="955">
      <c r="A955" s="3">
        <v>7665.0</v>
      </c>
      <c r="B955" s="4">
        <v>45306.422430555554</v>
      </c>
      <c r="C955" s="3" t="s">
        <v>4</v>
      </c>
    </row>
    <row r="956">
      <c r="A956" s="3">
        <v>3657.0</v>
      </c>
      <c r="B956" s="4">
        <v>45306.46554398148</v>
      </c>
      <c r="C956" s="3" t="s">
        <v>6</v>
      </c>
    </row>
    <row r="957">
      <c r="A957" s="3">
        <v>4757.0</v>
      </c>
      <c r="B957" s="4">
        <v>45306.474282407406</v>
      </c>
      <c r="C957" s="3" t="s">
        <v>6</v>
      </c>
    </row>
    <row r="958">
      <c r="A958" s="3">
        <v>5715.0</v>
      </c>
      <c r="B958" s="4">
        <v>45306.50071759259</v>
      </c>
      <c r="C958" s="3" t="s">
        <v>4</v>
      </c>
    </row>
    <row r="959">
      <c r="A959" s="3">
        <v>5195.0</v>
      </c>
      <c r="B959" s="4">
        <v>45306.50686342592</v>
      </c>
      <c r="C959" s="3" t="s">
        <v>6</v>
      </c>
    </row>
    <row r="960">
      <c r="A960" s="3">
        <v>4198.0</v>
      </c>
      <c r="B960" s="4">
        <v>45306.54630787037</v>
      </c>
      <c r="C960" s="3" t="s">
        <v>3</v>
      </c>
    </row>
    <row r="961">
      <c r="A961" s="3">
        <v>2572.0</v>
      </c>
      <c r="B961" s="4">
        <v>45306.557905092595</v>
      </c>
      <c r="C961" s="3" t="s">
        <v>3</v>
      </c>
    </row>
    <row r="962">
      <c r="A962" s="3">
        <v>4795.0</v>
      </c>
      <c r="B962" s="4">
        <v>45306.56133101852</v>
      </c>
      <c r="C962" s="3" t="s">
        <v>7</v>
      </c>
    </row>
    <row r="963">
      <c r="A963" s="3">
        <v>1564.0</v>
      </c>
      <c r="B963" s="4">
        <v>45306.572488425925</v>
      </c>
      <c r="C963" s="3" t="s">
        <v>4</v>
      </c>
    </row>
    <row r="964">
      <c r="A964" s="3">
        <v>3721.0</v>
      </c>
      <c r="B964" s="4">
        <v>45306.583182870374</v>
      </c>
      <c r="C964" s="3" t="s">
        <v>4</v>
      </c>
    </row>
    <row r="965">
      <c r="A965" s="3">
        <v>2604.0</v>
      </c>
      <c r="B965" s="4">
        <v>45306.59774305556</v>
      </c>
      <c r="C965" s="3" t="s">
        <v>3</v>
      </c>
    </row>
    <row r="966">
      <c r="A966" s="3">
        <v>882.0</v>
      </c>
      <c r="B966" s="4">
        <v>45306.600069444445</v>
      </c>
      <c r="C966" s="3" t="s">
        <v>7</v>
      </c>
    </row>
    <row r="967">
      <c r="A967" s="3">
        <v>2389.0</v>
      </c>
      <c r="B967" s="4">
        <v>45306.61025462963</v>
      </c>
      <c r="C967" s="3" t="s">
        <v>5</v>
      </c>
    </row>
    <row r="968">
      <c r="A968" s="3">
        <v>3512.0</v>
      </c>
      <c r="B968" s="4">
        <v>45306.6619212963</v>
      </c>
      <c r="C968" s="3" t="s">
        <v>3</v>
      </c>
    </row>
    <row r="969">
      <c r="A969" s="3">
        <v>3019.0</v>
      </c>
      <c r="B969" s="4">
        <v>45306.665289351855</v>
      </c>
      <c r="C969" s="3" t="s">
        <v>3</v>
      </c>
    </row>
    <row r="970">
      <c r="A970" s="3">
        <v>4415.0</v>
      </c>
      <c r="B970" s="4">
        <v>45306.70877314815</v>
      </c>
      <c r="C970" s="3" t="s">
        <v>6</v>
      </c>
    </row>
    <row r="971">
      <c r="A971" s="3">
        <v>3769.0</v>
      </c>
      <c r="B971" s="4">
        <v>45306.7371412037</v>
      </c>
      <c r="C971" s="3" t="s">
        <v>4</v>
      </c>
    </row>
    <row r="972">
      <c r="A972" s="3">
        <v>7109.0</v>
      </c>
      <c r="B972" s="4">
        <v>45306.739270833335</v>
      </c>
      <c r="C972" s="3" t="s">
        <v>5</v>
      </c>
    </row>
    <row r="973">
      <c r="A973" s="3">
        <v>4263.0</v>
      </c>
      <c r="B973" s="4">
        <v>45306.742638888885</v>
      </c>
      <c r="C973" s="3" t="s">
        <v>3</v>
      </c>
    </row>
    <row r="974">
      <c r="A974" s="3">
        <v>2125.0</v>
      </c>
      <c r="B974" s="4">
        <v>45306.74454861111</v>
      </c>
      <c r="C974" s="3" t="s">
        <v>4</v>
      </c>
    </row>
    <row r="975">
      <c r="A975" s="3">
        <v>5920.0</v>
      </c>
      <c r="B975" s="4">
        <v>45306.752291666664</v>
      </c>
      <c r="C975" s="3" t="s">
        <v>3</v>
      </c>
    </row>
    <row r="976">
      <c r="A976" s="3">
        <v>5710.0</v>
      </c>
      <c r="B976" s="4">
        <v>45306.754016203704</v>
      </c>
      <c r="C976" s="3" t="s">
        <v>4</v>
      </c>
    </row>
    <row r="977">
      <c r="A977" s="3">
        <v>5166.0</v>
      </c>
      <c r="B977" s="4">
        <v>45306.77402777778</v>
      </c>
      <c r="C977" s="3" t="s">
        <v>5</v>
      </c>
    </row>
    <row r="978">
      <c r="A978" s="3">
        <v>586.0</v>
      </c>
      <c r="B978" s="4">
        <v>45306.77626157407</v>
      </c>
      <c r="C978" s="3" t="s">
        <v>7</v>
      </c>
    </row>
    <row r="979">
      <c r="A979" s="3">
        <v>5166.0</v>
      </c>
      <c r="B979" s="4">
        <v>45306.78288194445</v>
      </c>
      <c r="C979" s="3" t="s">
        <v>3</v>
      </c>
    </row>
    <row r="980">
      <c r="A980" s="3">
        <v>2741.0</v>
      </c>
      <c r="B980" s="4">
        <v>45306.784363425926</v>
      </c>
      <c r="C980" s="3" t="s">
        <v>3</v>
      </c>
    </row>
    <row r="981">
      <c r="A981" s="3">
        <v>3393.0</v>
      </c>
      <c r="B981" s="4">
        <v>45306.82065972222</v>
      </c>
      <c r="C981" s="3" t="s">
        <v>3</v>
      </c>
    </row>
    <row r="982">
      <c r="A982" s="3">
        <v>4842.0</v>
      </c>
      <c r="B982" s="4">
        <v>45306.830555555556</v>
      </c>
      <c r="C982" s="3" t="s">
        <v>4</v>
      </c>
    </row>
    <row r="983">
      <c r="A983" s="3">
        <v>7869.0</v>
      </c>
      <c r="B983" s="4">
        <v>45306.85769675926</v>
      </c>
      <c r="C983" s="3" t="s">
        <v>3</v>
      </c>
    </row>
    <row r="984">
      <c r="A984" s="3">
        <v>5935.0</v>
      </c>
      <c r="B984" s="4">
        <v>45306.862708333334</v>
      </c>
      <c r="C984" s="3" t="s">
        <v>3</v>
      </c>
    </row>
    <row r="985">
      <c r="A985" s="3">
        <v>7098.0</v>
      </c>
      <c r="B985" s="4">
        <v>45306.868842592594</v>
      </c>
      <c r="C985" s="3" t="s">
        <v>4</v>
      </c>
    </row>
    <row r="986">
      <c r="A986" s="3">
        <v>6370.0</v>
      </c>
      <c r="B986" s="4">
        <v>45306.8747337963</v>
      </c>
      <c r="C986" s="3" t="s">
        <v>6</v>
      </c>
    </row>
    <row r="987">
      <c r="A987" s="3">
        <v>1407.0</v>
      </c>
      <c r="B987" s="4">
        <v>45306.88350694445</v>
      </c>
      <c r="C987" s="3" t="s">
        <v>7</v>
      </c>
    </row>
    <row r="988">
      <c r="A988" s="3">
        <v>5956.0</v>
      </c>
      <c r="B988" s="4">
        <v>45306.90630787037</v>
      </c>
      <c r="C988" s="3" t="s">
        <v>6</v>
      </c>
    </row>
    <row r="989">
      <c r="A989" s="3">
        <v>3721.0</v>
      </c>
      <c r="B989" s="4">
        <v>45306.944502314815</v>
      </c>
      <c r="C989" s="3" t="s">
        <v>3</v>
      </c>
    </row>
    <row r="990">
      <c r="A990" s="3">
        <v>4516.0</v>
      </c>
      <c r="B990" s="4">
        <v>45306.993414351855</v>
      </c>
      <c r="C990" s="3" t="s">
        <v>5</v>
      </c>
    </row>
    <row r="991">
      <c r="A991" s="3">
        <v>2814.0</v>
      </c>
      <c r="B991" s="4">
        <v>45307.027280092596</v>
      </c>
      <c r="C991" s="3" t="s">
        <v>4</v>
      </c>
    </row>
    <row r="992">
      <c r="A992" s="3">
        <v>4704.0</v>
      </c>
      <c r="B992" s="4">
        <v>45307.02809027778</v>
      </c>
      <c r="C992" s="3" t="s">
        <v>3</v>
      </c>
    </row>
    <row r="993">
      <c r="A993" s="3">
        <v>5529.0</v>
      </c>
      <c r="B993" s="4">
        <v>45307.03055555555</v>
      </c>
      <c r="C993" s="3" t="s">
        <v>3</v>
      </c>
    </row>
    <row r="994">
      <c r="A994" s="3">
        <v>4289.0</v>
      </c>
      <c r="B994" s="4">
        <v>45307.07534722222</v>
      </c>
      <c r="C994" s="3" t="s">
        <v>6</v>
      </c>
    </row>
    <row r="995">
      <c r="A995" s="3">
        <v>455.0</v>
      </c>
      <c r="B995" s="4">
        <v>45307.09753472222</v>
      </c>
      <c r="C995" s="3" t="s">
        <v>4</v>
      </c>
    </row>
    <row r="996">
      <c r="A996" s="3">
        <v>3480.0</v>
      </c>
      <c r="B996" s="4">
        <v>45307.10333333333</v>
      </c>
      <c r="C996" s="3" t="s">
        <v>3</v>
      </c>
    </row>
    <row r="997">
      <c r="A997" s="3">
        <v>6689.0</v>
      </c>
      <c r="B997" s="4">
        <v>45307.10430555556</v>
      </c>
      <c r="C997" s="3" t="s">
        <v>6</v>
      </c>
    </row>
    <row r="998">
      <c r="A998" s="3">
        <v>612.0</v>
      </c>
      <c r="B998" s="4">
        <v>45307.12260416667</v>
      </c>
      <c r="C998" s="3" t="s">
        <v>5</v>
      </c>
    </row>
    <row r="999">
      <c r="A999" s="3">
        <v>754.0</v>
      </c>
      <c r="B999" s="4">
        <v>45307.13182870371</v>
      </c>
      <c r="C999" s="3" t="s">
        <v>3</v>
      </c>
    </row>
    <row r="1000">
      <c r="A1000" s="3">
        <v>1730.0</v>
      </c>
      <c r="B1000" s="4">
        <v>45307.13621527778</v>
      </c>
      <c r="C1000" s="3" t="s">
        <v>6</v>
      </c>
    </row>
    <row r="1001">
      <c r="A1001" s="3">
        <v>5831.0</v>
      </c>
      <c r="B1001" s="4">
        <v>45307.1508912037</v>
      </c>
      <c r="C1001" s="3" t="s">
        <v>3</v>
      </c>
    </row>
    <row r="1002">
      <c r="A1002" s="3">
        <v>3648.0</v>
      </c>
      <c r="B1002" s="4">
        <v>45307.17550925926</v>
      </c>
      <c r="C1002" s="3" t="s">
        <v>4</v>
      </c>
    </row>
    <row r="1003">
      <c r="A1003" s="3">
        <v>4464.0</v>
      </c>
      <c r="B1003" s="4">
        <v>45307.20166666667</v>
      </c>
      <c r="C1003" s="3" t="s">
        <v>3</v>
      </c>
    </row>
    <row r="1004">
      <c r="A1004" s="3">
        <v>2572.0</v>
      </c>
      <c r="B1004" s="4">
        <v>45307.2052662037</v>
      </c>
      <c r="C1004" s="3" t="s">
        <v>4</v>
      </c>
    </row>
    <row r="1005">
      <c r="A1005" s="3">
        <v>1566.0</v>
      </c>
      <c r="B1005" s="4">
        <v>45307.239699074074</v>
      </c>
      <c r="C1005" s="3" t="s">
        <v>5</v>
      </c>
    </row>
    <row r="1006">
      <c r="A1006" s="3">
        <v>7039.0</v>
      </c>
      <c r="B1006" s="4">
        <v>45307.24966435185</v>
      </c>
      <c r="C1006" s="3" t="s">
        <v>5</v>
      </c>
    </row>
    <row r="1007">
      <c r="A1007" s="3">
        <v>3065.0</v>
      </c>
      <c r="B1007" s="4">
        <v>45307.26347222222</v>
      </c>
      <c r="C1007" s="3" t="s">
        <v>3</v>
      </c>
    </row>
    <row r="1008">
      <c r="A1008" s="3">
        <v>3353.0</v>
      </c>
      <c r="B1008" s="4">
        <v>45307.28192129629</v>
      </c>
      <c r="C1008" s="3" t="s">
        <v>3</v>
      </c>
    </row>
    <row r="1009">
      <c r="A1009" s="3">
        <v>7679.0</v>
      </c>
      <c r="B1009" s="4">
        <v>45307.29199074074</v>
      </c>
      <c r="C1009" s="3" t="s">
        <v>6</v>
      </c>
    </row>
    <row r="1010">
      <c r="A1010" s="3">
        <v>612.0</v>
      </c>
      <c r="B1010" s="4">
        <v>45307.31961805555</v>
      </c>
      <c r="C1010" s="3" t="s">
        <v>4</v>
      </c>
    </row>
    <row r="1011">
      <c r="A1011" s="3">
        <v>3165.0</v>
      </c>
      <c r="B1011" s="4">
        <v>45307.33107638889</v>
      </c>
      <c r="C1011" s="3" t="s">
        <v>7</v>
      </c>
    </row>
    <row r="1012">
      <c r="A1012" s="3">
        <v>612.0</v>
      </c>
      <c r="B1012" s="4">
        <v>45307.377488425926</v>
      </c>
      <c r="C1012" s="3" t="s">
        <v>3</v>
      </c>
    </row>
    <row r="1013">
      <c r="A1013" s="3">
        <v>4609.0</v>
      </c>
      <c r="B1013" s="4">
        <v>45307.41347222222</v>
      </c>
      <c r="C1013" s="3" t="s">
        <v>6</v>
      </c>
    </row>
    <row r="1014">
      <c r="A1014" s="3">
        <v>4640.0</v>
      </c>
      <c r="B1014" s="4">
        <v>45307.424259259256</v>
      </c>
      <c r="C1014" s="3" t="s">
        <v>4</v>
      </c>
    </row>
    <row r="1015">
      <c r="A1015" s="3">
        <v>3756.0</v>
      </c>
      <c r="B1015" s="4">
        <v>45307.42759259259</v>
      </c>
      <c r="C1015" s="3" t="s">
        <v>6</v>
      </c>
    </row>
    <row r="1016">
      <c r="A1016" s="3">
        <v>5200.0</v>
      </c>
      <c r="B1016" s="4">
        <v>45307.43667824074</v>
      </c>
      <c r="C1016" s="3" t="s">
        <v>7</v>
      </c>
    </row>
    <row r="1017">
      <c r="A1017" s="3">
        <v>6189.0</v>
      </c>
      <c r="B1017" s="4">
        <v>45307.43986111111</v>
      </c>
      <c r="C1017" s="3" t="s">
        <v>3</v>
      </c>
    </row>
    <row r="1018">
      <c r="A1018" s="3">
        <v>586.0</v>
      </c>
      <c r="B1018" s="4">
        <v>45307.44446759259</v>
      </c>
      <c r="C1018" s="3" t="s">
        <v>6</v>
      </c>
    </row>
    <row r="1019">
      <c r="A1019" s="3">
        <v>4464.0</v>
      </c>
      <c r="B1019" s="4">
        <v>45307.47043981482</v>
      </c>
      <c r="C1019" s="3" t="s">
        <v>4</v>
      </c>
    </row>
    <row r="1020">
      <c r="A1020" s="3">
        <v>2663.0</v>
      </c>
      <c r="B1020" s="4">
        <v>45307.474444444444</v>
      </c>
      <c r="C1020" s="3" t="s">
        <v>4</v>
      </c>
    </row>
    <row r="1021">
      <c r="A1021" s="3">
        <v>6504.0</v>
      </c>
      <c r="B1021" s="4">
        <v>45307.49594907407</v>
      </c>
      <c r="C1021" s="3" t="s">
        <v>3</v>
      </c>
    </row>
    <row r="1022">
      <c r="A1022" s="3">
        <v>5068.0</v>
      </c>
      <c r="B1022" s="4">
        <v>45307.502650462964</v>
      </c>
      <c r="C1022" s="3" t="s">
        <v>4</v>
      </c>
    </row>
    <row r="1023">
      <c r="A1023" s="3">
        <v>2134.0</v>
      </c>
      <c r="B1023" s="4">
        <v>45307.51542824074</v>
      </c>
      <c r="C1023" s="3" t="s">
        <v>3</v>
      </c>
    </row>
    <row r="1024">
      <c r="A1024" s="3">
        <v>2153.0</v>
      </c>
      <c r="B1024" s="4">
        <v>45307.52247685185</v>
      </c>
      <c r="C1024" s="3" t="s">
        <v>4</v>
      </c>
    </row>
    <row r="1025">
      <c r="A1025" s="3">
        <v>3969.0</v>
      </c>
      <c r="B1025" s="4">
        <v>45307.53251157407</v>
      </c>
      <c r="C1025" s="3" t="s">
        <v>6</v>
      </c>
    </row>
    <row r="1026">
      <c r="A1026" s="3">
        <v>1722.0</v>
      </c>
      <c r="B1026" s="4">
        <v>45307.536678240744</v>
      </c>
      <c r="C1026" s="3" t="s">
        <v>6</v>
      </c>
    </row>
    <row r="1027">
      <c r="A1027" s="3">
        <v>541.0</v>
      </c>
      <c r="B1027" s="4">
        <v>45307.53807870371</v>
      </c>
      <c r="C1027" s="3" t="s">
        <v>6</v>
      </c>
    </row>
    <row r="1028">
      <c r="A1028" s="3">
        <v>4459.0</v>
      </c>
      <c r="B1028" s="4">
        <v>45307.56826388889</v>
      </c>
      <c r="C1028" s="3" t="s">
        <v>5</v>
      </c>
    </row>
    <row r="1029">
      <c r="A1029" s="3">
        <v>2479.0</v>
      </c>
      <c r="B1029" s="4">
        <v>45307.572916666664</v>
      </c>
      <c r="C1029" s="3" t="s">
        <v>6</v>
      </c>
    </row>
    <row r="1030">
      <c r="A1030" s="3">
        <v>5648.0</v>
      </c>
      <c r="B1030" s="4">
        <v>45307.57695601852</v>
      </c>
      <c r="C1030" s="3" t="s">
        <v>4</v>
      </c>
    </row>
    <row r="1031">
      <c r="A1031" s="3">
        <v>6123.0</v>
      </c>
      <c r="B1031" s="4">
        <v>45307.59427083333</v>
      </c>
      <c r="C1031" s="3" t="s">
        <v>3</v>
      </c>
    </row>
    <row r="1032">
      <c r="A1032" s="3">
        <v>3353.0</v>
      </c>
      <c r="B1032" s="4">
        <v>45307.615578703706</v>
      </c>
      <c r="C1032" s="3" t="s">
        <v>5</v>
      </c>
    </row>
    <row r="1033">
      <c r="A1033" s="3">
        <v>5950.0</v>
      </c>
      <c r="B1033" s="4">
        <v>45307.6222337963</v>
      </c>
      <c r="C1033" s="3" t="s">
        <v>3</v>
      </c>
    </row>
    <row r="1034">
      <c r="A1034" s="3">
        <v>4704.0</v>
      </c>
      <c r="B1034" s="4">
        <v>45307.63087962963</v>
      </c>
      <c r="C1034" s="3" t="s">
        <v>4</v>
      </c>
    </row>
    <row r="1035">
      <c r="A1035" s="3">
        <v>2663.0</v>
      </c>
      <c r="B1035" s="4">
        <v>45307.63380787037</v>
      </c>
      <c r="C1035" s="3" t="s">
        <v>3</v>
      </c>
    </row>
    <row r="1036">
      <c r="A1036" s="3">
        <v>2407.0</v>
      </c>
      <c r="B1036" s="4">
        <v>45307.637083333335</v>
      </c>
      <c r="C1036" s="3" t="s">
        <v>6</v>
      </c>
    </row>
    <row r="1037">
      <c r="A1037" s="3">
        <v>4459.0</v>
      </c>
      <c r="B1037" s="4">
        <v>45307.664606481485</v>
      </c>
      <c r="C1037" s="3" t="s">
        <v>4</v>
      </c>
    </row>
    <row r="1038">
      <c r="A1038" s="3">
        <v>6830.0</v>
      </c>
      <c r="B1038" s="4">
        <v>45307.66853009259</v>
      </c>
      <c r="C1038" s="3" t="s">
        <v>3</v>
      </c>
    </row>
    <row r="1039">
      <c r="A1039" s="3">
        <v>5935.0</v>
      </c>
      <c r="B1039" s="4">
        <v>45307.67905092592</v>
      </c>
      <c r="C1039" s="3" t="s">
        <v>5</v>
      </c>
    </row>
    <row r="1040">
      <c r="A1040" s="3">
        <v>6790.0</v>
      </c>
      <c r="B1040" s="4">
        <v>45307.70940972222</v>
      </c>
      <c r="C1040" s="3" t="s">
        <v>7</v>
      </c>
    </row>
    <row r="1041">
      <c r="A1041" s="3">
        <v>4019.0</v>
      </c>
      <c r="B1041" s="4">
        <v>45307.72550925926</v>
      </c>
      <c r="C1041" s="3" t="s">
        <v>4</v>
      </c>
    </row>
    <row r="1042">
      <c r="A1042" s="3">
        <v>853.0</v>
      </c>
      <c r="B1042" s="4">
        <v>45307.74091435185</v>
      </c>
      <c r="C1042" s="3" t="s">
        <v>3</v>
      </c>
    </row>
    <row r="1043">
      <c r="A1043" s="3">
        <v>1043.0</v>
      </c>
      <c r="B1043" s="4">
        <v>45307.74387731482</v>
      </c>
      <c r="C1043" s="3" t="s">
        <v>3</v>
      </c>
    </row>
    <row r="1044">
      <c r="A1044" s="3">
        <v>3648.0</v>
      </c>
      <c r="B1044" s="4">
        <v>45307.75679398148</v>
      </c>
      <c r="C1044" s="3" t="s">
        <v>3</v>
      </c>
    </row>
    <row r="1045">
      <c r="A1045" s="3">
        <v>2610.0</v>
      </c>
      <c r="B1045" s="4">
        <v>45307.762094907404</v>
      </c>
      <c r="C1045" s="3" t="s">
        <v>6</v>
      </c>
    </row>
    <row r="1046">
      <c r="A1046" s="3">
        <v>7861.0</v>
      </c>
      <c r="B1046" s="4">
        <v>45307.772141203706</v>
      </c>
      <c r="C1046" s="3" t="s">
        <v>3</v>
      </c>
    </row>
    <row r="1047">
      <c r="A1047" s="3">
        <v>6189.0</v>
      </c>
      <c r="B1047" s="4">
        <v>45307.836226851854</v>
      </c>
      <c r="C1047" s="3" t="s">
        <v>4</v>
      </c>
    </row>
    <row r="1048">
      <c r="A1048" s="3">
        <v>5956.0</v>
      </c>
      <c r="B1048" s="4">
        <v>45307.85768518518</v>
      </c>
      <c r="C1048" s="3" t="s">
        <v>5</v>
      </c>
    </row>
    <row r="1049">
      <c r="A1049" s="3">
        <v>2639.0</v>
      </c>
      <c r="B1049" s="4">
        <v>45307.881574074076</v>
      </c>
      <c r="C1049" s="3" t="s">
        <v>6</v>
      </c>
    </row>
    <row r="1050">
      <c r="A1050" s="3">
        <v>5166.0</v>
      </c>
      <c r="B1050" s="4">
        <v>45307.925046296295</v>
      </c>
      <c r="C1050" s="3" t="s">
        <v>4</v>
      </c>
    </row>
    <row r="1051">
      <c r="A1051" s="3">
        <v>5710.0</v>
      </c>
      <c r="B1051" s="4">
        <v>45307.935625</v>
      </c>
      <c r="C1051" s="3" t="s">
        <v>5</v>
      </c>
    </row>
    <row r="1052">
      <c r="A1052" s="3">
        <v>4439.0</v>
      </c>
      <c r="B1052" s="4">
        <v>45307.93763888889</v>
      </c>
      <c r="C1052" s="3" t="s">
        <v>6</v>
      </c>
    </row>
    <row r="1053">
      <c r="A1053" s="3">
        <v>1173.0</v>
      </c>
      <c r="B1053" s="4">
        <v>45307.94274305556</v>
      </c>
      <c r="C1053" s="3" t="s">
        <v>3</v>
      </c>
    </row>
    <row r="1054">
      <c r="A1054" s="3">
        <v>792.0</v>
      </c>
      <c r="B1054" s="4">
        <v>45307.94708333333</v>
      </c>
      <c r="C1054" s="3" t="s">
        <v>3</v>
      </c>
    </row>
    <row r="1055">
      <c r="A1055" s="3">
        <v>5390.0</v>
      </c>
      <c r="B1055" s="4">
        <v>45307.9519212963</v>
      </c>
      <c r="C1055" s="3" t="s">
        <v>7</v>
      </c>
    </row>
    <row r="1056">
      <c r="A1056" s="3">
        <v>1056.0</v>
      </c>
      <c r="B1056" s="4">
        <v>45307.95712962963</v>
      </c>
      <c r="C1056" s="3" t="s">
        <v>6</v>
      </c>
    </row>
    <row r="1057">
      <c r="A1057" s="3">
        <v>4757.0</v>
      </c>
      <c r="B1057" s="4">
        <v>45307.964791666665</v>
      </c>
      <c r="C1057" s="3" t="s">
        <v>7</v>
      </c>
    </row>
    <row r="1058">
      <c r="A1058" s="3">
        <v>1766.0</v>
      </c>
      <c r="B1058" s="4">
        <v>45307.96695601852</v>
      </c>
      <c r="C1058" s="3" t="s">
        <v>4</v>
      </c>
    </row>
    <row r="1059">
      <c r="A1059" s="3">
        <v>3006.0</v>
      </c>
      <c r="B1059" s="4">
        <v>45307.993414351855</v>
      </c>
      <c r="C1059" s="3" t="s">
        <v>3</v>
      </c>
    </row>
    <row r="1060">
      <c r="A1060" s="3">
        <v>3393.0</v>
      </c>
      <c r="B1060" s="4">
        <v>45307.99783564815</v>
      </c>
      <c r="C1060" s="3" t="s">
        <v>4</v>
      </c>
    </row>
    <row r="1061">
      <c r="A1061" s="3">
        <v>5166.0</v>
      </c>
      <c r="B1061" s="4">
        <v>45308.00543981481</v>
      </c>
      <c r="C1061" s="3" t="s">
        <v>6</v>
      </c>
    </row>
    <row r="1062">
      <c r="A1062" s="3">
        <v>1398.0</v>
      </c>
      <c r="B1062" s="4">
        <v>45308.01820601852</v>
      </c>
      <c r="C1062" s="3" t="s">
        <v>4</v>
      </c>
    </row>
    <row r="1063">
      <c r="A1063" s="3">
        <v>4856.0</v>
      </c>
      <c r="B1063" s="4">
        <v>45308.0334375</v>
      </c>
      <c r="C1063" s="3" t="s">
        <v>4</v>
      </c>
    </row>
    <row r="1064">
      <c r="A1064" s="3">
        <v>5857.0</v>
      </c>
      <c r="B1064" s="4">
        <v>45308.04023148148</v>
      </c>
      <c r="C1064" s="3" t="s">
        <v>5</v>
      </c>
    </row>
    <row r="1065">
      <c r="A1065" s="3">
        <v>1502.0</v>
      </c>
      <c r="B1065" s="4">
        <v>45308.05079861111</v>
      </c>
      <c r="C1065" s="3" t="s">
        <v>6</v>
      </c>
    </row>
    <row r="1066">
      <c r="A1066" s="3">
        <v>436.0</v>
      </c>
      <c r="B1066" s="4">
        <v>45308.05259259259</v>
      </c>
      <c r="C1066" s="3" t="s">
        <v>6</v>
      </c>
    </row>
    <row r="1067">
      <c r="A1067" s="3">
        <v>5108.0</v>
      </c>
      <c r="B1067" s="4">
        <v>45308.07025462963</v>
      </c>
      <c r="C1067" s="3" t="s">
        <v>3</v>
      </c>
    </row>
    <row r="1068">
      <c r="A1068" s="3">
        <v>2389.0</v>
      </c>
      <c r="B1068" s="4">
        <v>45308.07555555556</v>
      </c>
      <c r="C1068" s="3" t="s">
        <v>6</v>
      </c>
    </row>
    <row r="1069">
      <c r="A1069" s="3">
        <v>1173.0</v>
      </c>
      <c r="B1069" s="4">
        <v>45308.07623842593</v>
      </c>
      <c r="C1069" s="3" t="s">
        <v>6</v>
      </c>
    </row>
    <row r="1070">
      <c r="A1070" s="3">
        <v>3353.0</v>
      </c>
      <c r="B1070" s="4">
        <v>45308.09165509259</v>
      </c>
      <c r="C1070" s="3" t="s">
        <v>7</v>
      </c>
    </row>
    <row r="1071">
      <c r="A1071" s="3">
        <v>2292.0</v>
      </c>
      <c r="B1071" s="4">
        <v>45308.10209490741</v>
      </c>
      <c r="C1071" s="3" t="s">
        <v>7</v>
      </c>
    </row>
    <row r="1072">
      <c r="A1072" s="3">
        <v>2304.0</v>
      </c>
      <c r="B1072" s="4">
        <v>45308.107939814814</v>
      </c>
      <c r="C1072" s="3" t="s">
        <v>3</v>
      </c>
    </row>
    <row r="1073">
      <c r="A1073" s="3">
        <v>2604.0</v>
      </c>
      <c r="B1073" s="4">
        <v>45308.123564814814</v>
      </c>
      <c r="C1073" s="3" t="s">
        <v>5</v>
      </c>
    </row>
    <row r="1074">
      <c r="A1074" s="3">
        <v>507.0</v>
      </c>
      <c r="B1074" s="4">
        <v>45308.12900462963</v>
      </c>
      <c r="C1074" s="3" t="s">
        <v>3</v>
      </c>
    </row>
    <row r="1075">
      <c r="A1075" s="3">
        <v>3769.0</v>
      </c>
      <c r="B1075" s="4">
        <v>45308.137766203705</v>
      </c>
      <c r="C1075" s="3" t="s">
        <v>7</v>
      </c>
    </row>
    <row r="1076">
      <c r="A1076" s="3">
        <v>4374.0</v>
      </c>
      <c r="B1076" s="4">
        <v>45308.14324074074</v>
      </c>
      <c r="C1076" s="3" t="s">
        <v>4</v>
      </c>
    </row>
    <row r="1077">
      <c r="A1077" s="3">
        <v>2320.0</v>
      </c>
      <c r="B1077" s="4">
        <v>45308.151030092595</v>
      </c>
      <c r="C1077" s="3" t="s">
        <v>3</v>
      </c>
    </row>
    <row r="1078">
      <c r="A1078" s="3">
        <v>6341.0</v>
      </c>
      <c r="B1078" s="4">
        <v>45308.15311342593</v>
      </c>
      <c r="C1078" s="3" t="s">
        <v>5</v>
      </c>
    </row>
    <row r="1079">
      <c r="A1079" s="3">
        <v>4263.0</v>
      </c>
      <c r="B1079" s="4">
        <v>45308.209328703706</v>
      </c>
      <c r="C1079" s="3" t="s">
        <v>4</v>
      </c>
    </row>
    <row r="1080">
      <c r="A1080" s="3">
        <v>6412.0</v>
      </c>
      <c r="B1080" s="4">
        <v>45308.2221875</v>
      </c>
      <c r="C1080" s="3" t="s">
        <v>4</v>
      </c>
    </row>
    <row r="1081">
      <c r="A1081" s="3">
        <v>756.0</v>
      </c>
      <c r="B1081" s="4">
        <v>45308.24369212963</v>
      </c>
      <c r="C1081" s="3" t="s">
        <v>4</v>
      </c>
    </row>
    <row r="1082">
      <c r="A1082" s="3">
        <v>1043.0</v>
      </c>
      <c r="B1082" s="4">
        <v>45308.2671875</v>
      </c>
      <c r="C1082" s="3" t="s">
        <v>4</v>
      </c>
    </row>
    <row r="1083">
      <c r="A1083" s="3">
        <v>1173.0</v>
      </c>
      <c r="B1083" s="4">
        <v>45308.29620370371</v>
      </c>
      <c r="C1083" s="3" t="s">
        <v>4</v>
      </c>
    </row>
    <row r="1084">
      <c r="A1084" s="3">
        <v>2209.0</v>
      </c>
      <c r="B1084" s="4">
        <v>45308.313414351855</v>
      </c>
      <c r="C1084" s="3" t="s">
        <v>3</v>
      </c>
    </row>
    <row r="1085">
      <c r="A1085" s="3">
        <v>4803.0</v>
      </c>
      <c r="B1085" s="4">
        <v>45308.37039351852</v>
      </c>
      <c r="C1085" s="3" t="s">
        <v>3</v>
      </c>
    </row>
    <row r="1086">
      <c r="A1086" s="3">
        <v>4675.0</v>
      </c>
      <c r="B1086" s="4">
        <v>45308.37116898148</v>
      </c>
      <c r="C1086" s="3" t="s">
        <v>3</v>
      </c>
    </row>
    <row r="1087">
      <c r="A1087" s="3">
        <v>5971.0</v>
      </c>
      <c r="B1087" s="4">
        <v>45308.39037037037</v>
      </c>
      <c r="C1087" s="3" t="s">
        <v>6</v>
      </c>
    </row>
    <row r="1088">
      <c r="A1088" s="3">
        <v>2663.0</v>
      </c>
      <c r="B1088" s="4">
        <v>45308.40342592593</v>
      </c>
      <c r="C1088" s="3" t="s">
        <v>5</v>
      </c>
    </row>
    <row r="1089">
      <c r="A1089" s="3">
        <v>4464.0</v>
      </c>
      <c r="B1089" s="4">
        <v>45308.414768518516</v>
      </c>
      <c r="C1089" s="3" t="s">
        <v>5</v>
      </c>
    </row>
    <row r="1090">
      <c r="A1090" s="3">
        <v>1372.0</v>
      </c>
      <c r="B1090" s="4">
        <v>45308.44332175926</v>
      </c>
      <c r="C1090" s="3" t="s">
        <v>3</v>
      </c>
    </row>
    <row r="1091">
      <c r="A1091" s="3">
        <v>4882.0</v>
      </c>
      <c r="B1091" s="4">
        <v>45308.46869212963</v>
      </c>
      <c r="C1091" s="3" t="s">
        <v>6</v>
      </c>
    </row>
    <row r="1092">
      <c r="A1092" s="3">
        <v>6809.0</v>
      </c>
      <c r="B1092" s="4">
        <v>45308.48144675926</v>
      </c>
      <c r="C1092" s="3" t="s">
        <v>6</v>
      </c>
    </row>
    <row r="1093">
      <c r="A1093" s="3">
        <v>1722.0</v>
      </c>
      <c r="B1093" s="4">
        <v>45308.488854166666</v>
      </c>
      <c r="C1093" s="3" t="s">
        <v>7</v>
      </c>
    </row>
    <row r="1094">
      <c r="A1094" s="3">
        <v>3353.0</v>
      </c>
      <c r="B1094" s="4">
        <v>45308.49543981482</v>
      </c>
      <c r="C1094" s="3" t="s">
        <v>4</v>
      </c>
    </row>
    <row r="1095">
      <c r="A1095" s="3">
        <v>5715.0</v>
      </c>
      <c r="B1095" s="4">
        <v>45308.49731481481</v>
      </c>
      <c r="C1095" s="3" t="s">
        <v>5</v>
      </c>
    </row>
    <row r="1096">
      <c r="A1096" s="3">
        <v>3442.0</v>
      </c>
      <c r="B1096" s="4">
        <v>45308.51775462963</v>
      </c>
      <c r="C1096" s="3" t="s">
        <v>3</v>
      </c>
    </row>
    <row r="1097">
      <c r="A1097" s="3">
        <v>4856.0</v>
      </c>
      <c r="B1097" s="4">
        <v>45308.530381944445</v>
      </c>
      <c r="C1097" s="3" t="s">
        <v>3</v>
      </c>
    </row>
    <row r="1098">
      <c r="A1098" s="3">
        <v>4263.0</v>
      </c>
      <c r="B1098" s="4">
        <v>45308.5516087963</v>
      </c>
      <c r="C1098" s="3" t="s">
        <v>6</v>
      </c>
    </row>
    <row r="1099">
      <c r="A1099" s="3">
        <v>5124.0</v>
      </c>
      <c r="B1099" s="4">
        <v>45308.60277777778</v>
      </c>
      <c r="C1099" s="3" t="s">
        <v>6</v>
      </c>
    </row>
    <row r="1100">
      <c r="A1100" s="3">
        <v>5935.0</v>
      </c>
      <c r="B1100" s="4">
        <v>45308.616122685184</v>
      </c>
      <c r="C1100" s="3" t="s">
        <v>4</v>
      </c>
    </row>
    <row r="1101">
      <c r="A1101" s="3">
        <v>6323.0</v>
      </c>
      <c r="B1101" s="4">
        <v>45308.65513888889</v>
      </c>
      <c r="C1101" s="3" t="s">
        <v>3</v>
      </c>
    </row>
    <row r="1102">
      <c r="A1102" s="3">
        <v>4009.0</v>
      </c>
      <c r="B1102" s="4">
        <v>45308.66390046296</v>
      </c>
      <c r="C1102" s="3" t="s">
        <v>3</v>
      </c>
    </row>
    <row r="1103">
      <c r="A1103" s="3">
        <v>324.0</v>
      </c>
      <c r="B1103" s="4">
        <v>45308.66436342592</v>
      </c>
      <c r="C1103" s="3" t="s">
        <v>5</v>
      </c>
    </row>
    <row r="1104">
      <c r="A1104" s="3">
        <v>1784.0</v>
      </c>
      <c r="B1104" s="4">
        <v>45308.66872685185</v>
      </c>
      <c r="C1104" s="3" t="s">
        <v>3</v>
      </c>
    </row>
    <row r="1105">
      <c r="A1105" s="3">
        <v>2604.0</v>
      </c>
      <c r="B1105" s="4">
        <v>45308.70506944445</v>
      </c>
      <c r="C1105" s="3" t="s">
        <v>4</v>
      </c>
    </row>
    <row r="1106">
      <c r="A1106" s="3">
        <v>2304.0</v>
      </c>
      <c r="B1106" s="4">
        <v>45308.71550925926</v>
      </c>
      <c r="C1106" s="3" t="s">
        <v>4</v>
      </c>
    </row>
    <row r="1107">
      <c r="A1107" s="3">
        <v>5313.0</v>
      </c>
      <c r="B1107" s="4">
        <v>45308.74005787037</v>
      </c>
      <c r="C1107" s="3" t="s">
        <v>3</v>
      </c>
    </row>
    <row r="1108">
      <c r="A1108" s="3">
        <v>5831.0</v>
      </c>
      <c r="B1108" s="4">
        <v>45308.74134259259</v>
      </c>
      <c r="C1108" s="3" t="s">
        <v>6</v>
      </c>
    </row>
    <row r="1109">
      <c r="A1109" s="3">
        <v>1398.0</v>
      </c>
      <c r="B1109" s="4">
        <v>45308.74324074074</v>
      </c>
      <c r="C1109" s="3" t="s">
        <v>3</v>
      </c>
    </row>
    <row r="1110">
      <c r="A1110" s="3">
        <v>5857.0</v>
      </c>
      <c r="B1110" s="4">
        <v>45308.765023148146</v>
      </c>
      <c r="C1110" s="3" t="s">
        <v>3</v>
      </c>
    </row>
    <row r="1111">
      <c r="A1111" s="3">
        <v>1729.0</v>
      </c>
      <c r="B1111" s="4">
        <v>45308.79451388889</v>
      </c>
      <c r="C1111" s="3" t="s">
        <v>6</v>
      </c>
    </row>
    <row r="1112">
      <c r="A1112" s="3">
        <v>7525.0</v>
      </c>
      <c r="B1112" s="4">
        <v>45308.82065972222</v>
      </c>
      <c r="C1112" s="3" t="s">
        <v>3</v>
      </c>
    </row>
    <row r="1113">
      <c r="A1113" s="3">
        <v>7354.0</v>
      </c>
      <c r="B1113" s="4">
        <v>45308.83493055555</v>
      </c>
      <c r="C1113" s="3" t="s">
        <v>3</v>
      </c>
    </row>
    <row r="1114">
      <c r="A1114" s="3">
        <v>4247.0</v>
      </c>
      <c r="B1114" s="4">
        <v>45308.843935185185</v>
      </c>
      <c r="C1114" s="3" t="s">
        <v>5</v>
      </c>
    </row>
    <row r="1115">
      <c r="A1115" s="3">
        <v>6953.0</v>
      </c>
      <c r="B1115" s="4">
        <v>45308.846724537034</v>
      </c>
      <c r="C1115" s="3" t="s">
        <v>3</v>
      </c>
    </row>
    <row r="1116">
      <c r="A1116" s="3">
        <v>4795.0</v>
      </c>
      <c r="B1116" s="4">
        <v>45308.86035879629</v>
      </c>
      <c r="C1116" s="3" t="s">
        <v>6</v>
      </c>
    </row>
    <row r="1117">
      <c r="A1117" s="3">
        <v>3393.0</v>
      </c>
      <c r="B1117" s="4">
        <v>45308.88856481481</v>
      </c>
      <c r="C1117" s="3" t="s">
        <v>7</v>
      </c>
    </row>
    <row r="1118">
      <c r="A1118" s="3">
        <v>7176.0</v>
      </c>
      <c r="B1118" s="4">
        <v>45308.90460648148</v>
      </c>
      <c r="C1118" s="3" t="s">
        <v>3</v>
      </c>
    </row>
    <row r="1119">
      <c r="A1119" s="3">
        <v>7284.0</v>
      </c>
      <c r="B1119" s="4">
        <v>45308.90924768519</v>
      </c>
      <c r="C1119" s="3" t="s">
        <v>3</v>
      </c>
    </row>
    <row r="1120">
      <c r="A1120" s="3">
        <v>600.0</v>
      </c>
      <c r="B1120" s="4">
        <v>45308.91211805555</v>
      </c>
      <c r="C1120" s="3" t="s">
        <v>5</v>
      </c>
    </row>
    <row r="1121">
      <c r="A1121" s="3">
        <v>882.0</v>
      </c>
      <c r="B1121" s="4">
        <v>45308.93341435185</v>
      </c>
      <c r="C1121" s="3" t="s">
        <v>6</v>
      </c>
    </row>
    <row r="1122">
      <c r="A1122" s="3">
        <v>2898.0</v>
      </c>
      <c r="B1122" s="4">
        <v>45308.945335648146</v>
      </c>
      <c r="C1122" s="3" t="s">
        <v>6</v>
      </c>
    </row>
    <row r="1123">
      <c r="A1123" s="3">
        <v>7334.0</v>
      </c>
      <c r="B1123" s="4">
        <v>45308.95837962963</v>
      </c>
      <c r="C1123" s="3" t="s">
        <v>3</v>
      </c>
    </row>
    <row r="1124">
      <c r="A1124" s="3">
        <v>756.0</v>
      </c>
      <c r="B1124" s="4">
        <v>45308.960069444445</v>
      </c>
      <c r="C1124" s="3" t="s">
        <v>3</v>
      </c>
    </row>
    <row r="1125">
      <c r="A1125" s="3">
        <v>5971.0</v>
      </c>
      <c r="B1125" s="4">
        <v>45308.96797453704</v>
      </c>
      <c r="C1125" s="3" t="s">
        <v>4</v>
      </c>
    </row>
    <row r="1126">
      <c r="A1126" s="3">
        <v>4247.0</v>
      </c>
      <c r="B1126" s="4">
        <v>45308.97077546296</v>
      </c>
      <c r="C1126" s="3" t="s">
        <v>3</v>
      </c>
    </row>
    <row r="1127">
      <c r="A1127" s="3">
        <v>5831.0</v>
      </c>
      <c r="B1127" s="4">
        <v>45308.979837962965</v>
      </c>
      <c r="C1127" s="3" t="s">
        <v>4</v>
      </c>
    </row>
    <row r="1128">
      <c r="A1128" s="3">
        <v>1681.0</v>
      </c>
      <c r="B1128" s="4">
        <v>45308.98892361111</v>
      </c>
      <c r="C1128" s="3" t="s">
        <v>3</v>
      </c>
    </row>
    <row r="1129">
      <c r="A1129" s="3">
        <v>853.0</v>
      </c>
      <c r="B1129" s="4">
        <v>45308.99138888889</v>
      </c>
      <c r="C1129" s="3" t="s">
        <v>4</v>
      </c>
    </row>
    <row r="1130">
      <c r="A1130" s="3">
        <v>2134.0</v>
      </c>
      <c r="B1130" s="4">
        <v>45308.99193287037</v>
      </c>
      <c r="C1130" s="3" t="s">
        <v>4</v>
      </c>
    </row>
    <row r="1131">
      <c r="A1131" s="3">
        <v>6479.0</v>
      </c>
      <c r="B1131" s="4">
        <v>45309.03724537037</v>
      </c>
      <c r="C1131" s="3" t="s">
        <v>3</v>
      </c>
    </row>
    <row r="1132">
      <c r="A1132" s="3">
        <v>2134.0</v>
      </c>
      <c r="B1132" s="4">
        <v>45309.08225694444</v>
      </c>
      <c r="C1132" s="3" t="s">
        <v>7</v>
      </c>
    </row>
    <row r="1133">
      <c r="A1133" s="3">
        <v>4374.0</v>
      </c>
      <c r="B1133" s="4">
        <v>45309.096296296295</v>
      </c>
      <c r="C1133" s="3" t="s">
        <v>5</v>
      </c>
    </row>
    <row r="1134">
      <c r="A1134" s="3">
        <v>2209.0</v>
      </c>
      <c r="B1134" s="4">
        <v>45309.10737268518</v>
      </c>
      <c r="C1134" s="3" t="s">
        <v>4</v>
      </c>
    </row>
    <row r="1135">
      <c r="A1135" s="3">
        <v>5108.0</v>
      </c>
      <c r="B1135" s="4">
        <v>45309.13006944444</v>
      </c>
      <c r="C1135" s="3" t="s">
        <v>4</v>
      </c>
    </row>
    <row r="1136">
      <c r="A1136" s="3">
        <v>1524.0</v>
      </c>
      <c r="B1136" s="4">
        <v>45309.155439814815</v>
      </c>
      <c r="C1136" s="3" t="s">
        <v>3</v>
      </c>
    </row>
    <row r="1137">
      <c r="A1137" s="3">
        <v>4785.0</v>
      </c>
      <c r="B1137" s="4">
        <v>45309.162939814814</v>
      </c>
      <c r="C1137" s="3" t="s">
        <v>4</v>
      </c>
    </row>
    <row r="1138">
      <c r="A1138" s="3">
        <v>3648.0</v>
      </c>
      <c r="B1138" s="4">
        <v>45309.16997685185</v>
      </c>
      <c r="C1138" s="3" t="s">
        <v>5</v>
      </c>
    </row>
    <row r="1139">
      <c r="A1139" s="3">
        <v>507.0</v>
      </c>
      <c r="B1139" s="4">
        <v>45309.179236111115</v>
      </c>
      <c r="C1139" s="3" t="s">
        <v>4</v>
      </c>
    </row>
    <row r="1140">
      <c r="A1140" s="3">
        <v>7117.0</v>
      </c>
      <c r="B1140" s="4">
        <v>45309.18482638889</v>
      </c>
      <c r="C1140" s="3" t="s">
        <v>6</v>
      </c>
    </row>
    <row r="1141">
      <c r="A1141" s="3">
        <v>6189.0</v>
      </c>
      <c r="B1141" s="4">
        <v>45309.194444444445</v>
      </c>
      <c r="C1141" s="3" t="s">
        <v>5</v>
      </c>
    </row>
    <row r="1142">
      <c r="A1142" s="3">
        <v>1282.0</v>
      </c>
      <c r="B1142" s="4">
        <v>45309.26032407407</v>
      </c>
      <c r="C1142" s="3" t="s">
        <v>3</v>
      </c>
    </row>
    <row r="1143">
      <c r="A1143" s="3">
        <v>4516.0</v>
      </c>
      <c r="B1143" s="4">
        <v>45309.31030092593</v>
      </c>
      <c r="C1143" s="3" t="s">
        <v>6</v>
      </c>
    </row>
    <row r="1144">
      <c r="A1144" s="3">
        <v>1327.0</v>
      </c>
      <c r="B1144" s="4">
        <v>45309.311747685184</v>
      </c>
      <c r="C1144" s="3" t="s">
        <v>3</v>
      </c>
    </row>
    <row r="1145">
      <c r="A1145" s="3">
        <v>1492.0</v>
      </c>
      <c r="B1145" s="4">
        <v>45309.31244212963</v>
      </c>
      <c r="C1145" s="3" t="s">
        <v>3</v>
      </c>
    </row>
    <row r="1146">
      <c r="A1146" s="3">
        <v>1784.0</v>
      </c>
      <c r="B1146" s="4">
        <v>45309.32540509259</v>
      </c>
      <c r="C1146" s="3" t="s">
        <v>5</v>
      </c>
    </row>
    <row r="1147">
      <c r="A1147" s="3">
        <v>6479.0</v>
      </c>
      <c r="B1147" s="4">
        <v>45309.337858796294</v>
      </c>
      <c r="C1147" s="3" t="s">
        <v>5</v>
      </c>
    </row>
    <row r="1148">
      <c r="A1148" s="3">
        <v>5749.0</v>
      </c>
      <c r="B1148" s="4">
        <v>45309.368784722225</v>
      </c>
      <c r="C1148" s="3" t="s">
        <v>3</v>
      </c>
    </row>
    <row r="1149">
      <c r="A1149" s="3">
        <v>1282.0</v>
      </c>
      <c r="B1149" s="4">
        <v>45309.372615740744</v>
      </c>
      <c r="C1149" s="3" t="s">
        <v>5</v>
      </c>
    </row>
    <row r="1150">
      <c r="A1150" s="3">
        <v>7098.0</v>
      </c>
      <c r="B1150" s="4">
        <v>45309.44590277778</v>
      </c>
      <c r="C1150" s="3" t="s">
        <v>5</v>
      </c>
    </row>
    <row r="1151">
      <c r="A1151" s="3">
        <v>7475.0</v>
      </c>
      <c r="B1151" s="4">
        <v>45309.46789351852</v>
      </c>
      <c r="C1151" s="3" t="s">
        <v>3</v>
      </c>
    </row>
    <row r="1152">
      <c r="A1152" s="3">
        <v>3721.0</v>
      </c>
      <c r="B1152" s="4">
        <v>45309.4878125</v>
      </c>
      <c r="C1152" s="3" t="s">
        <v>7</v>
      </c>
    </row>
    <row r="1153">
      <c r="A1153" s="3">
        <v>7500.0</v>
      </c>
      <c r="B1153" s="4">
        <v>45309.50949074074</v>
      </c>
      <c r="C1153" s="3" t="s">
        <v>3</v>
      </c>
    </row>
    <row r="1154">
      <c r="A1154" s="3">
        <v>1564.0</v>
      </c>
      <c r="B1154" s="4">
        <v>45309.54991898148</v>
      </c>
      <c r="C1154" s="3" t="s">
        <v>6</v>
      </c>
    </row>
    <row r="1155">
      <c r="A1155" s="3">
        <v>730.0</v>
      </c>
      <c r="B1155" s="4">
        <v>45309.554143518515</v>
      </c>
      <c r="C1155" s="3" t="s">
        <v>3</v>
      </c>
    </row>
    <row r="1156">
      <c r="A1156" s="3">
        <v>4350.0</v>
      </c>
      <c r="B1156" s="4">
        <v>45309.5547337963</v>
      </c>
      <c r="C1156" s="3" t="s">
        <v>3</v>
      </c>
    </row>
    <row r="1157">
      <c r="A1157" s="3">
        <v>5831.0</v>
      </c>
      <c r="B1157" s="4">
        <v>45309.59556712963</v>
      </c>
      <c r="C1157" s="3" t="s">
        <v>5</v>
      </c>
    </row>
    <row r="1158">
      <c r="A1158" s="3">
        <v>6192.0</v>
      </c>
      <c r="B1158" s="4">
        <v>45309.60061342592</v>
      </c>
      <c r="C1158" s="3" t="s">
        <v>3</v>
      </c>
    </row>
    <row r="1159">
      <c r="A1159" s="3">
        <v>7988.0</v>
      </c>
      <c r="B1159" s="4">
        <v>45309.60519675926</v>
      </c>
      <c r="C1159" s="3" t="s">
        <v>3</v>
      </c>
    </row>
    <row r="1160">
      <c r="A1160" s="3">
        <v>7499.0</v>
      </c>
      <c r="B1160" s="4">
        <v>45309.60984953704</v>
      </c>
      <c r="C1160" s="3" t="s">
        <v>3</v>
      </c>
    </row>
    <row r="1161">
      <c r="A1161" s="3">
        <v>6978.0</v>
      </c>
      <c r="B1161" s="4">
        <v>45309.611134259256</v>
      </c>
      <c r="C1161" s="3" t="s">
        <v>3</v>
      </c>
    </row>
    <row r="1162">
      <c r="A1162" s="3">
        <v>684.0</v>
      </c>
      <c r="B1162" s="4">
        <v>45309.63618055556</v>
      </c>
      <c r="C1162" s="3" t="s">
        <v>3</v>
      </c>
    </row>
    <row r="1163">
      <c r="A1163" s="3">
        <v>1197.0</v>
      </c>
      <c r="B1163" s="4">
        <v>45309.63921296296</v>
      </c>
      <c r="C1163" s="3" t="s">
        <v>4</v>
      </c>
    </row>
    <row r="1164">
      <c r="A1164" s="3">
        <v>7988.0</v>
      </c>
      <c r="B1164" s="4">
        <v>45309.64398148148</v>
      </c>
      <c r="C1164" s="3" t="s">
        <v>4</v>
      </c>
    </row>
    <row r="1165">
      <c r="A1165" s="3">
        <v>7310.0</v>
      </c>
      <c r="B1165" s="4">
        <v>45309.66224537037</v>
      </c>
      <c r="C1165" s="3" t="s">
        <v>4</v>
      </c>
    </row>
    <row r="1166">
      <c r="A1166" s="3">
        <v>1282.0</v>
      </c>
      <c r="B1166" s="4">
        <v>45309.66658564815</v>
      </c>
      <c r="C1166" s="3" t="s">
        <v>4</v>
      </c>
    </row>
    <row r="1167">
      <c r="A1167" s="3">
        <v>6412.0</v>
      </c>
      <c r="B1167" s="4">
        <v>45309.67501157407</v>
      </c>
      <c r="C1167" s="3" t="s">
        <v>6</v>
      </c>
    </row>
    <row r="1168">
      <c r="A1168" s="3">
        <v>6937.0</v>
      </c>
      <c r="B1168" s="4">
        <v>45309.67868055555</v>
      </c>
      <c r="C1168" s="3" t="s">
        <v>3</v>
      </c>
    </row>
    <row r="1169">
      <c r="A1169" s="3">
        <v>4247.0</v>
      </c>
      <c r="B1169" s="4">
        <v>45309.704305555555</v>
      </c>
      <c r="C1169" s="3" t="s">
        <v>4</v>
      </c>
    </row>
    <row r="1170">
      <c r="A1170" s="3">
        <v>2209.0</v>
      </c>
      <c r="B1170" s="4">
        <v>45309.74012731481</v>
      </c>
      <c r="C1170" s="3" t="s">
        <v>5</v>
      </c>
    </row>
    <row r="1171">
      <c r="A1171" s="3">
        <v>6914.0</v>
      </c>
      <c r="B1171" s="4">
        <v>45309.745208333334</v>
      </c>
      <c r="C1171" s="3" t="s">
        <v>3</v>
      </c>
    </row>
    <row r="1172">
      <c r="A1172" s="3">
        <v>1347.0</v>
      </c>
      <c r="B1172" s="4">
        <v>45309.74704861111</v>
      </c>
      <c r="C1172" s="3" t="s">
        <v>5</v>
      </c>
    </row>
    <row r="1173">
      <c r="A1173" s="3">
        <v>6528.0</v>
      </c>
      <c r="B1173" s="4">
        <v>45309.75230324074</v>
      </c>
      <c r="C1173" s="3" t="s">
        <v>3</v>
      </c>
    </row>
    <row r="1174">
      <c r="A1174" s="3">
        <v>937.0</v>
      </c>
      <c r="B1174" s="4">
        <v>45309.786215277774</v>
      </c>
      <c r="C1174" s="3" t="s">
        <v>3</v>
      </c>
    </row>
    <row r="1175">
      <c r="A1175" s="3">
        <v>5068.0</v>
      </c>
      <c r="B1175" s="4">
        <v>45309.80336805555</v>
      </c>
      <c r="C1175" s="3" t="s">
        <v>7</v>
      </c>
    </row>
    <row r="1176">
      <c r="A1176" s="3">
        <v>2307.0</v>
      </c>
      <c r="B1176" s="4">
        <v>45309.81177083333</v>
      </c>
      <c r="C1176" s="3" t="s">
        <v>7</v>
      </c>
    </row>
    <row r="1177">
      <c r="A1177" s="3">
        <v>324.0</v>
      </c>
      <c r="B1177" s="4">
        <v>45309.825474537036</v>
      </c>
      <c r="C1177" s="3" t="s">
        <v>6</v>
      </c>
    </row>
    <row r="1178">
      <c r="A1178" s="3">
        <v>4785.0</v>
      </c>
      <c r="B1178" s="4">
        <v>45309.83369212963</v>
      </c>
      <c r="C1178" s="3" t="s">
        <v>3</v>
      </c>
    </row>
    <row r="1179">
      <c r="A1179" s="3">
        <v>4693.0</v>
      </c>
      <c r="B1179" s="4">
        <v>45309.84515046296</v>
      </c>
      <c r="C1179" s="3" t="s">
        <v>6</v>
      </c>
    </row>
    <row r="1180">
      <c r="A1180" s="3">
        <v>2125.0</v>
      </c>
      <c r="B1180" s="4">
        <v>45309.8484375</v>
      </c>
      <c r="C1180" s="3" t="s">
        <v>6</v>
      </c>
    </row>
    <row r="1181">
      <c r="A1181" s="3">
        <v>5857.0</v>
      </c>
      <c r="B1181" s="4">
        <v>45309.859398148146</v>
      </c>
      <c r="C1181" s="3" t="s">
        <v>4</v>
      </c>
    </row>
    <row r="1182">
      <c r="A1182" s="3">
        <v>7567.0</v>
      </c>
      <c r="B1182" s="4">
        <v>45309.86881944445</v>
      </c>
      <c r="C1182" s="3" t="s">
        <v>3</v>
      </c>
    </row>
    <row r="1183">
      <c r="A1183" s="3">
        <v>2209.0</v>
      </c>
      <c r="B1183" s="4">
        <v>45309.87416666667</v>
      </c>
      <c r="C1183" s="3" t="s">
        <v>6</v>
      </c>
    </row>
    <row r="1184">
      <c r="A1184" s="3">
        <v>4459.0</v>
      </c>
      <c r="B1184" s="4">
        <v>45309.87980324074</v>
      </c>
      <c r="C1184" s="3" t="s">
        <v>7</v>
      </c>
    </row>
    <row r="1185">
      <c r="A1185" s="3">
        <v>2472.0</v>
      </c>
      <c r="B1185" s="4">
        <v>45309.908009259256</v>
      </c>
      <c r="C1185" s="3" t="s">
        <v>3</v>
      </c>
    </row>
    <row r="1186">
      <c r="A1186" s="3">
        <v>753.0</v>
      </c>
      <c r="B1186" s="4">
        <v>45309.929236111115</v>
      </c>
      <c r="C1186" s="3" t="s">
        <v>3</v>
      </c>
    </row>
    <row r="1187">
      <c r="A1187" s="3">
        <v>3617.0</v>
      </c>
      <c r="B1187" s="4">
        <v>45309.931539351855</v>
      </c>
      <c r="C1187" s="3" t="s">
        <v>6</v>
      </c>
    </row>
    <row r="1188">
      <c r="A1188" s="3">
        <v>2209.0</v>
      </c>
      <c r="B1188" s="4">
        <v>45309.93375</v>
      </c>
      <c r="C1188" s="3" t="s">
        <v>7</v>
      </c>
    </row>
    <row r="1189">
      <c r="A1189" s="3">
        <v>1564.0</v>
      </c>
      <c r="B1189" s="4">
        <v>45309.93690972222</v>
      </c>
      <c r="C1189" s="3" t="s">
        <v>5</v>
      </c>
    </row>
    <row r="1190">
      <c r="A1190" s="3">
        <v>2307.0</v>
      </c>
      <c r="B1190" s="4">
        <v>45309.95612268519</v>
      </c>
      <c r="C1190" s="3" t="s">
        <v>6</v>
      </c>
    </row>
    <row r="1191">
      <c r="A1191" s="3">
        <v>5924.0</v>
      </c>
      <c r="B1191" s="4">
        <v>45309.965636574074</v>
      </c>
      <c r="C1191" s="3" t="s">
        <v>3</v>
      </c>
    </row>
    <row r="1192">
      <c r="A1192" s="3">
        <v>1430.0</v>
      </c>
      <c r="B1192" s="4">
        <v>45309.97256944444</v>
      </c>
      <c r="C1192" s="3" t="s">
        <v>3</v>
      </c>
    </row>
    <row r="1193">
      <c r="A1193" s="3">
        <v>1260.0</v>
      </c>
      <c r="B1193" s="4">
        <v>45309.97789351852</v>
      </c>
      <c r="C1193" s="3" t="s">
        <v>3</v>
      </c>
    </row>
    <row r="1194">
      <c r="A1194" s="3">
        <v>672.0</v>
      </c>
      <c r="B1194" s="4">
        <v>45309.97902777778</v>
      </c>
      <c r="C1194" s="3" t="s">
        <v>3</v>
      </c>
    </row>
    <row r="1195">
      <c r="A1195" s="3">
        <v>7370.0</v>
      </c>
      <c r="B1195" s="4">
        <v>45310.020844907405</v>
      </c>
      <c r="C1195" s="3" t="s">
        <v>3</v>
      </c>
    </row>
    <row r="1196">
      <c r="A1196" s="3">
        <v>3648.0</v>
      </c>
      <c r="B1196" s="4">
        <v>45310.03773148148</v>
      </c>
      <c r="C1196" s="3" t="s">
        <v>7</v>
      </c>
    </row>
    <row r="1197">
      <c r="A1197" s="3">
        <v>7959.0</v>
      </c>
      <c r="B1197" s="4">
        <v>45310.047488425924</v>
      </c>
      <c r="C1197" s="3" t="s">
        <v>4</v>
      </c>
    </row>
    <row r="1198">
      <c r="A1198" s="3">
        <v>695.0</v>
      </c>
      <c r="B1198" s="4">
        <v>45310.06023148148</v>
      </c>
      <c r="C1198" s="3" t="s">
        <v>4</v>
      </c>
    </row>
    <row r="1199">
      <c r="A1199" s="3">
        <v>1346.0</v>
      </c>
      <c r="B1199" s="4">
        <v>45310.08913194444</v>
      </c>
      <c r="C1199" s="3" t="s">
        <v>6</v>
      </c>
    </row>
    <row r="1200">
      <c r="A1200" s="3">
        <v>337.0</v>
      </c>
      <c r="B1200" s="4">
        <v>45310.09048611111</v>
      </c>
      <c r="C1200" s="3" t="s">
        <v>3</v>
      </c>
    </row>
    <row r="1201">
      <c r="A1201" s="3">
        <v>2168.0</v>
      </c>
      <c r="B1201" s="4">
        <v>45310.10054398148</v>
      </c>
      <c r="C1201" s="3" t="s">
        <v>3</v>
      </c>
    </row>
    <row r="1202">
      <c r="A1202" s="3">
        <v>2270.0</v>
      </c>
      <c r="B1202" s="4">
        <v>45310.110659722224</v>
      </c>
      <c r="C1202" s="3" t="s">
        <v>3</v>
      </c>
    </row>
    <row r="1203">
      <c r="A1203" s="3">
        <v>4263.0</v>
      </c>
      <c r="B1203" s="4">
        <v>45310.155069444445</v>
      </c>
      <c r="C1203" s="3" t="s">
        <v>5</v>
      </c>
    </row>
    <row r="1204">
      <c r="A1204" s="3">
        <v>7749.0</v>
      </c>
      <c r="B1204" s="4">
        <v>45310.158055555556</v>
      </c>
      <c r="C1204" s="3" t="s">
        <v>3</v>
      </c>
    </row>
    <row r="1205">
      <c r="A1205" s="3">
        <v>3648.0</v>
      </c>
      <c r="B1205" s="4">
        <v>45310.16008101852</v>
      </c>
      <c r="C1205" s="3" t="s">
        <v>6</v>
      </c>
    </row>
    <row r="1206">
      <c r="A1206" s="3">
        <v>7098.0</v>
      </c>
      <c r="B1206" s="4">
        <v>45310.16956018518</v>
      </c>
      <c r="C1206" s="3" t="s">
        <v>7</v>
      </c>
    </row>
    <row r="1207">
      <c r="A1207" s="3">
        <v>3442.0</v>
      </c>
      <c r="B1207" s="4">
        <v>45310.172476851854</v>
      </c>
      <c r="C1207" s="3" t="s">
        <v>4</v>
      </c>
    </row>
    <row r="1208">
      <c r="A1208" s="3">
        <v>684.0</v>
      </c>
      <c r="B1208" s="4">
        <v>45310.1805787037</v>
      </c>
      <c r="C1208" s="3" t="s">
        <v>4</v>
      </c>
    </row>
    <row r="1209">
      <c r="A1209" s="3">
        <v>2313.0</v>
      </c>
      <c r="B1209" s="4">
        <v>45310.1853125</v>
      </c>
      <c r="C1209" s="3" t="s">
        <v>6</v>
      </c>
    </row>
    <row r="1210">
      <c r="A1210" s="3">
        <v>5529.0</v>
      </c>
      <c r="B1210" s="4">
        <v>45310.1947337963</v>
      </c>
      <c r="C1210" s="3" t="s">
        <v>5</v>
      </c>
    </row>
    <row r="1211">
      <c r="A1211" s="3">
        <v>696.0</v>
      </c>
      <c r="B1211" s="4">
        <v>45310.19666666666</v>
      </c>
      <c r="C1211" s="3" t="s">
        <v>3</v>
      </c>
    </row>
    <row r="1212">
      <c r="A1212" s="3">
        <v>5924.0</v>
      </c>
      <c r="B1212" s="4">
        <v>45310.197534722225</v>
      </c>
      <c r="C1212" s="3" t="s">
        <v>4</v>
      </c>
    </row>
    <row r="1213">
      <c r="A1213" s="3">
        <v>6528.0</v>
      </c>
      <c r="B1213" s="4">
        <v>45310.22503472222</v>
      </c>
      <c r="C1213" s="3" t="s">
        <v>4</v>
      </c>
    </row>
    <row r="1214">
      <c r="A1214" s="3">
        <v>1173.0</v>
      </c>
      <c r="B1214" s="4">
        <v>45310.26184027778</v>
      </c>
      <c r="C1214" s="3" t="s">
        <v>5</v>
      </c>
    </row>
    <row r="1215">
      <c r="A1215" s="3">
        <v>6479.0</v>
      </c>
      <c r="B1215" s="4">
        <v>45310.275775462964</v>
      </c>
      <c r="C1215" s="3" t="s">
        <v>4</v>
      </c>
    </row>
    <row r="1216">
      <c r="A1216" s="3">
        <v>3680.0</v>
      </c>
      <c r="B1216" s="4">
        <v>45310.29335648148</v>
      </c>
      <c r="C1216" s="3" t="s">
        <v>3</v>
      </c>
    </row>
    <row r="1217">
      <c r="A1217" s="3">
        <v>3384.0</v>
      </c>
      <c r="B1217" s="4">
        <v>45310.29670138889</v>
      </c>
      <c r="C1217" s="3" t="s">
        <v>3</v>
      </c>
    </row>
    <row r="1218">
      <c r="A1218" s="3">
        <v>325.0</v>
      </c>
      <c r="B1218" s="4">
        <v>45310.29943287037</v>
      </c>
      <c r="C1218" s="3" t="s">
        <v>3</v>
      </c>
    </row>
    <row r="1219">
      <c r="A1219" s="3">
        <v>695.0</v>
      </c>
      <c r="B1219" s="4">
        <v>45310.314618055556</v>
      </c>
      <c r="C1219" s="3" t="s">
        <v>3</v>
      </c>
    </row>
    <row r="1220">
      <c r="A1220" s="3">
        <v>7250.0</v>
      </c>
      <c r="B1220" s="4">
        <v>45310.334340277775</v>
      </c>
      <c r="C1220" s="3" t="s">
        <v>3</v>
      </c>
    </row>
    <row r="1221">
      <c r="A1221" s="3">
        <v>2599.0</v>
      </c>
      <c r="B1221" s="4">
        <v>45310.34347222222</v>
      </c>
      <c r="C1221" s="3" t="s">
        <v>6</v>
      </c>
    </row>
    <row r="1222">
      <c r="A1222" s="3">
        <v>3922.0</v>
      </c>
      <c r="B1222" s="4">
        <v>45310.37634259259</v>
      </c>
      <c r="C1222" s="3" t="s">
        <v>3</v>
      </c>
    </row>
    <row r="1223">
      <c r="A1223" s="3">
        <v>1766.0</v>
      </c>
      <c r="B1223" s="4">
        <v>45310.379641203705</v>
      </c>
      <c r="C1223" s="3" t="s">
        <v>6</v>
      </c>
    </row>
    <row r="1224">
      <c r="A1224" s="3">
        <v>2134.0</v>
      </c>
      <c r="B1224" s="4">
        <v>45310.386828703704</v>
      </c>
      <c r="C1224" s="3" t="s">
        <v>5</v>
      </c>
    </row>
    <row r="1225">
      <c r="A1225" s="3">
        <v>507.0</v>
      </c>
      <c r="B1225" s="4">
        <v>45310.38761574074</v>
      </c>
      <c r="C1225" s="3" t="s">
        <v>5</v>
      </c>
    </row>
    <row r="1226">
      <c r="A1226" s="3">
        <v>4624.0</v>
      </c>
      <c r="B1226" s="4">
        <v>45310.405625</v>
      </c>
      <c r="C1226" s="3" t="s">
        <v>3</v>
      </c>
    </row>
    <row r="1227">
      <c r="A1227" s="3">
        <v>600.0</v>
      </c>
      <c r="B1227" s="4">
        <v>45310.40966435185</v>
      </c>
      <c r="C1227" s="3" t="s">
        <v>6</v>
      </c>
    </row>
    <row r="1228">
      <c r="A1228" s="3">
        <v>3324.0</v>
      </c>
      <c r="B1228" s="4">
        <v>45310.42041666667</v>
      </c>
      <c r="C1228" s="3" t="s">
        <v>3</v>
      </c>
    </row>
    <row r="1229">
      <c r="A1229" s="3">
        <v>3442.0</v>
      </c>
      <c r="B1229" s="4">
        <v>45310.44938657407</v>
      </c>
      <c r="C1229" s="3" t="s">
        <v>5</v>
      </c>
    </row>
    <row r="1230">
      <c r="A1230" s="3">
        <v>2074.0</v>
      </c>
      <c r="B1230" s="4">
        <v>45310.4587962963</v>
      </c>
      <c r="C1230" s="3" t="s">
        <v>3</v>
      </c>
    </row>
    <row r="1231">
      <c r="A1231" s="3">
        <v>6018.0</v>
      </c>
      <c r="B1231" s="4">
        <v>45310.50865740741</v>
      </c>
      <c r="C1231" s="3" t="s">
        <v>3</v>
      </c>
    </row>
    <row r="1232">
      <c r="A1232" s="3">
        <v>7250.0</v>
      </c>
      <c r="B1232" s="4">
        <v>45310.53681712963</v>
      </c>
      <c r="C1232" s="3" t="s">
        <v>5</v>
      </c>
    </row>
    <row r="1233">
      <c r="A1233" s="3">
        <v>7475.0</v>
      </c>
      <c r="B1233" s="4">
        <v>45310.53697916667</v>
      </c>
      <c r="C1233" s="3" t="s">
        <v>7</v>
      </c>
    </row>
    <row r="1234">
      <c r="A1234" s="3">
        <v>4640.0</v>
      </c>
      <c r="B1234" s="4">
        <v>45310.55940972222</v>
      </c>
      <c r="C1234" s="3" t="s">
        <v>7</v>
      </c>
    </row>
    <row r="1235">
      <c r="A1235" s="3">
        <v>7988.0</v>
      </c>
      <c r="B1235" s="4">
        <v>45310.5658912037</v>
      </c>
      <c r="C1235" s="3" t="s">
        <v>5</v>
      </c>
    </row>
    <row r="1236">
      <c r="A1236" s="3">
        <v>5483.0</v>
      </c>
      <c r="B1236" s="4">
        <v>45310.60204861111</v>
      </c>
      <c r="C1236" s="3" t="s">
        <v>3</v>
      </c>
    </row>
    <row r="1237">
      <c r="A1237" s="3">
        <v>3947.0</v>
      </c>
      <c r="B1237" s="4">
        <v>45310.61394675926</v>
      </c>
      <c r="C1237" s="3" t="s">
        <v>6</v>
      </c>
    </row>
    <row r="1238">
      <c r="A1238" s="3">
        <v>3369.0</v>
      </c>
      <c r="B1238" s="4">
        <v>45310.62569444445</v>
      </c>
      <c r="C1238" s="3" t="s">
        <v>3</v>
      </c>
    </row>
    <row r="1239">
      <c r="A1239" s="3">
        <v>63.0</v>
      </c>
      <c r="B1239" s="4">
        <v>45310.64251157407</v>
      </c>
      <c r="C1239" s="3" t="s">
        <v>3</v>
      </c>
    </row>
    <row r="1240">
      <c r="A1240" s="3">
        <v>7473.0</v>
      </c>
      <c r="B1240" s="4">
        <v>45310.64641203704</v>
      </c>
      <c r="C1240" s="3" t="s">
        <v>3</v>
      </c>
    </row>
    <row r="1241">
      <c r="A1241" s="3">
        <v>25.0</v>
      </c>
      <c r="B1241" s="4">
        <v>45310.673159722224</v>
      </c>
      <c r="C1241" s="3" t="s">
        <v>3</v>
      </c>
    </row>
    <row r="1242">
      <c r="A1242" s="3">
        <v>5971.0</v>
      </c>
      <c r="B1242" s="4">
        <v>45310.67508101852</v>
      </c>
      <c r="C1242" s="3" t="s">
        <v>5</v>
      </c>
    </row>
    <row r="1243">
      <c r="A1243" s="3">
        <v>590.0</v>
      </c>
      <c r="B1243" s="4">
        <v>45310.67726851852</v>
      </c>
      <c r="C1243" s="3" t="s">
        <v>3</v>
      </c>
    </row>
    <row r="1244">
      <c r="A1244" s="3">
        <v>4064.0</v>
      </c>
      <c r="B1244" s="4">
        <v>45310.69167824074</v>
      </c>
      <c r="C1244" s="3" t="s">
        <v>3</v>
      </c>
    </row>
    <row r="1245">
      <c r="A1245" s="3">
        <v>3324.0</v>
      </c>
      <c r="B1245" s="4">
        <v>45310.71376157407</v>
      </c>
      <c r="C1245" s="3" t="s">
        <v>4</v>
      </c>
    </row>
    <row r="1246">
      <c r="A1246" s="3">
        <v>2074.0</v>
      </c>
      <c r="B1246" s="4">
        <v>45310.7175462963</v>
      </c>
      <c r="C1246" s="3" t="s">
        <v>4</v>
      </c>
    </row>
    <row r="1247">
      <c r="A1247" s="3">
        <v>6162.0</v>
      </c>
      <c r="B1247" s="4">
        <v>45310.72837962963</v>
      </c>
      <c r="C1247" s="3" t="s">
        <v>6</v>
      </c>
    </row>
    <row r="1248">
      <c r="A1248" s="3">
        <v>4374.0</v>
      </c>
      <c r="B1248" s="4">
        <v>45310.7578587963</v>
      </c>
      <c r="C1248" s="3" t="s">
        <v>7</v>
      </c>
    </row>
    <row r="1249">
      <c r="A1249" s="3">
        <v>5710.0</v>
      </c>
      <c r="B1249" s="4">
        <v>45310.78296296296</v>
      </c>
      <c r="C1249" s="3" t="s">
        <v>6</v>
      </c>
    </row>
    <row r="1250">
      <c r="A1250" s="3">
        <v>6914.0</v>
      </c>
      <c r="B1250" s="4">
        <v>45310.80421296296</v>
      </c>
      <c r="C1250" s="3" t="s">
        <v>4</v>
      </c>
    </row>
    <row r="1251">
      <c r="A1251" s="3">
        <v>2572.0</v>
      </c>
      <c r="B1251" s="4">
        <v>45310.80667824074</v>
      </c>
      <c r="C1251" s="3" t="s">
        <v>6</v>
      </c>
    </row>
    <row r="1252">
      <c r="A1252" s="3">
        <v>754.0</v>
      </c>
      <c r="B1252" s="4">
        <v>45310.813206018516</v>
      </c>
      <c r="C1252" s="3" t="s">
        <v>4</v>
      </c>
    </row>
    <row r="1253">
      <c r="A1253" s="3">
        <v>3393.0</v>
      </c>
      <c r="B1253" s="4">
        <v>45310.828738425924</v>
      </c>
      <c r="C1253" s="3" t="s">
        <v>5</v>
      </c>
    </row>
    <row r="1254">
      <c r="A1254" s="3">
        <v>6479.0</v>
      </c>
      <c r="B1254" s="4">
        <v>45310.84483796296</v>
      </c>
      <c r="C1254" s="3" t="s">
        <v>6</v>
      </c>
    </row>
    <row r="1255">
      <c r="A1255" s="3">
        <v>5465.0</v>
      </c>
      <c r="B1255" s="4">
        <v>45310.861342592594</v>
      </c>
      <c r="C1255" s="3" t="s">
        <v>3</v>
      </c>
    </row>
    <row r="1256">
      <c r="A1256" s="3">
        <v>5051.0</v>
      </c>
      <c r="B1256" s="4">
        <v>45310.8693287037</v>
      </c>
      <c r="C1256" s="3" t="s">
        <v>3</v>
      </c>
    </row>
    <row r="1257">
      <c r="A1257" s="3">
        <v>2045.0</v>
      </c>
      <c r="B1257" s="4">
        <v>45310.87861111111</v>
      </c>
      <c r="C1257" s="3" t="s">
        <v>3</v>
      </c>
    </row>
    <row r="1258">
      <c r="A1258" s="3">
        <v>2604.0</v>
      </c>
      <c r="B1258" s="4">
        <v>45310.884421296294</v>
      </c>
      <c r="C1258" s="3" t="s">
        <v>6</v>
      </c>
    </row>
    <row r="1259">
      <c r="A1259" s="3">
        <v>641.0</v>
      </c>
      <c r="B1259" s="4">
        <v>45310.93386574074</v>
      </c>
      <c r="C1259" s="3" t="s">
        <v>3</v>
      </c>
    </row>
    <row r="1260">
      <c r="A1260" s="3">
        <v>6192.0</v>
      </c>
      <c r="B1260" s="4">
        <v>45310.940416666665</v>
      </c>
      <c r="C1260" s="3" t="s">
        <v>5</v>
      </c>
    </row>
    <row r="1261">
      <c r="A1261" s="3">
        <v>1784.0</v>
      </c>
      <c r="B1261" s="4">
        <v>45310.944085648145</v>
      </c>
      <c r="C1261" s="3" t="s">
        <v>7</v>
      </c>
    </row>
    <row r="1262">
      <c r="A1262" s="3">
        <v>672.0</v>
      </c>
      <c r="B1262" s="4">
        <v>45310.95306712963</v>
      </c>
      <c r="C1262" s="3" t="s">
        <v>4</v>
      </c>
    </row>
    <row r="1263">
      <c r="A1263" s="3">
        <v>756.0</v>
      </c>
      <c r="B1263" s="4">
        <v>45310.98532407408</v>
      </c>
      <c r="C1263" s="3" t="s">
        <v>7</v>
      </c>
    </row>
    <row r="1264">
      <c r="A1264" s="3">
        <v>7574.0</v>
      </c>
      <c r="B1264" s="4">
        <v>45311.00885416667</v>
      </c>
      <c r="C1264" s="3" t="s">
        <v>5</v>
      </c>
    </row>
    <row r="1265">
      <c r="A1265" s="3">
        <v>6830.0</v>
      </c>
      <c r="B1265" s="4">
        <v>45311.071284722224</v>
      </c>
      <c r="C1265" s="3" t="s">
        <v>4</v>
      </c>
    </row>
    <row r="1266">
      <c r="A1266" s="3">
        <v>7039.0</v>
      </c>
      <c r="B1266" s="4">
        <v>45311.08871527778</v>
      </c>
      <c r="C1266" s="3" t="s">
        <v>7</v>
      </c>
    </row>
    <row r="1267">
      <c r="A1267" s="3">
        <v>5051.0</v>
      </c>
      <c r="B1267" s="4">
        <v>45311.109351851854</v>
      </c>
      <c r="C1267" s="3" t="s">
        <v>4</v>
      </c>
    </row>
    <row r="1268">
      <c r="A1268" s="3">
        <v>4459.0</v>
      </c>
      <c r="B1268" s="4">
        <v>45311.13099537037</v>
      </c>
      <c r="C1268" s="3" t="s">
        <v>6</v>
      </c>
    </row>
    <row r="1269">
      <c r="A1269" s="3">
        <v>3384.0</v>
      </c>
      <c r="B1269" s="4">
        <v>45311.14097222222</v>
      </c>
      <c r="C1269" s="3" t="s">
        <v>4</v>
      </c>
    </row>
    <row r="1270">
      <c r="A1270" s="3">
        <v>4586.0</v>
      </c>
      <c r="B1270" s="4">
        <v>45311.210694444446</v>
      </c>
      <c r="C1270" s="3" t="s">
        <v>3</v>
      </c>
    </row>
    <row r="1271">
      <c r="A1271" s="3">
        <v>507.0</v>
      </c>
      <c r="B1271" s="4">
        <v>45311.21233796296</v>
      </c>
      <c r="C1271" s="3" t="s">
        <v>7</v>
      </c>
    </row>
    <row r="1272">
      <c r="A1272" s="3">
        <v>1524.0</v>
      </c>
      <c r="B1272" s="4">
        <v>45311.21581018518</v>
      </c>
      <c r="C1272" s="3" t="s">
        <v>4</v>
      </c>
    </row>
    <row r="1273">
      <c r="A1273" s="3">
        <v>5071.0</v>
      </c>
      <c r="B1273" s="4">
        <v>45311.22456018518</v>
      </c>
      <c r="C1273" s="3" t="s">
        <v>3</v>
      </c>
    </row>
    <row r="1274">
      <c r="A1274" s="3">
        <v>7497.0</v>
      </c>
      <c r="B1274" s="4">
        <v>45311.256157407406</v>
      </c>
      <c r="C1274" s="3" t="s">
        <v>6</v>
      </c>
    </row>
    <row r="1275">
      <c r="A1275" s="3">
        <v>1566.0</v>
      </c>
      <c r="B1275" s="4">
        <v>45311.26832175926</v>
      </c>
      <c r="C1275" s="3" t="s">
        <v>6</v>
      </c>
    </row>
    <row r="1276">
      <c r="A1276" s="3">
        <v>7861.0</v>
      </c>
      <c r="B1276" s="4">
        <v>45311.37063657407</v>
      </c>
      <c r="C1276" s="3" t="s">
        <v>4</v>
      </c>
    </row>
    <row r="1277">
      <c r="A1277" s="3">
        <v>7574.0</v>
      </c>
      <c r="B1277" s="4">
        <v>45311.37365740741</v>
      </c>
      <c r="C1277" s="3" t="s">
        <v>3</v>
      </c>
    </row>
    <row r="1278">
      <c r="A1278" s="3">
        <v>853.0</v>
      </c>
      <c r="B1278" s="4">
        <v>45311.423622685186</v>
      </c>
      <c r="C1278" s="3" t="s">
        <v>7</v>
      </c>
    </row>
    <row r="1279">
      <c r="A1279" s="3">
        <v>6218.0</v>
      </c>
      <c r="B1279" s="4">
        <v>45311.43445601852</v>
      </c>
      <c r="C1279" s="3" t="s">
        <v>3</v>
      </c>
    </row>
    <row r="1280">
      <c r="A1280" s="3">
        <v>1278.0</v>
      </c>
      <c r="B1280" s="4">
        <v>45311.447060185186</v>
      </c>
      <c r="C1280" s="3" t="s">
        <v>3</v>
      </c>
    </row>
    <row r="1281">
      <c r="A1281" s="3">
        <v>2938.0</v>
      </c>
      <c r="B1281" s="4">
        <v>45311.45123842593</v>
      </c>
      <c r="C1281" s="3" t="s">
        <v>6</v>
      </c>
    </row>
    <row r="1282">
      <c r="A1282" s="3">
        <v>4117.0</v>
      </c>
      <c r="B1282" s="4">
        <v>45311.45722222222</v>
      </c>
      <c r="C1282" s="3" t="s">
        <v>3</v>
      </c>
    </row>
    <row r="1283">
      <c r="A1283" s="3">
        <v>1284.0</v>
      </c>
      <c r="B1283" s="4">
        <v>45311.45724537037</v>
      </c>
      <c r="C1283" s="3" t="s">
        <v>3</v>
      </c>
    </row>
    <row r="1284">
      <c r="A1284" s="3">
        <v>1282.0</v>
      </c>
      <c r="B1284" s="4">
        <v>45311.47137731482</v>
      </c>
      <c r="C1284" s="3" t="s">
        <v>7</v>
      </c>
    </row>
    <row r="1285">
      <c r="A1285" s="3">
        <v>7475.0</v>
      </c>
      <c r="B1285" s="4">
        <v>45311.47981481482</v>
      </c>
      <c r="C1285" s="3" t="s">
        <v>6</v>
      </c>
    </row>
    <row r="1286">
      <c r="A1286" s="3">
        <v>950.0</v>
      </c>
      <c r="B1286" s="4">
        <v>45311.484456018516</v>
      </c>
      <c r="C1286" s="3" t="s">
        <v>3</v>
      </c>
    </row>
    <row r="1287">
      <c r="A1287" s="3">
        <v>2914.0</v>
      </c>
      <c r="B1287" s="4">
        <v>45311.530335648145</v>
      </c>
      <c r="C1287" s="3" t="s">
        <v>3</v>
      </c>
    </row>
    <row r="1288">
      <c r="A1288" s="3">
        <v>5950.0</v>
      </c>
      <c r="B1288" s="4">
        <v>45311.53472222222</v>
      </c>
      <c r="C1288" s="3" t="s">
        <v>4</v>
      </c>
    </row>
    <row r="1289">
      <c r="A1289" s="3">
        <v>5051.0</v>
      </c>
      <c r="B1289" s="4">
        <v>45311.55447916667</v>
      </c>
      <c r="C1289" s="3" t="s">
        <v>5</v>
      </c>
    </row>
    <row r="1290">
      <c r="A1290" s="3">
        <v>3680.0</v>
      </c>
      <c r="B1290" s="4">
        <v>45311.57679398148</v>
      </c>
      <c r="C1290" s="3" t="s">
        <v>4</v>
      </c>
    </row>
    <row r="1291">
      <c r="A1291" s="3">
        <v>1420.0</v>
      </c>
      <c r="B1291" s="4">
        <v>45311.58763888889</v>
      </c>
      <c r="C1291" s="3" t="s">
        <v>3</v>
      </c>
    </row>
    <row r="1292">
      <c r="A1292" s="3">
        <v>7250.0</v>
      </c>
      <c r="B1292" s="4">
        <v>45311.61782407408</v>
      </c>
      <c r="C1292" s="3" t="s">
        <v>7</v>
      </c>
    </row>
    <row r="1293">
      <c r="A1293" s="3">
        <v>2037.0</v>
      </c>
      <c r="B1293" s="4">
        <v>45311.62383101852</v>
      </c>
      <c r="C1293" s="3" t="s">
        <v>4</v>
      </c>
    </row>
    <row r="1294">
      <c r="A1294" s="3">
        <v>6341.0</v>
      </c>
      <c r="B1294" s="4">
        <v>45311.624756944446</v>
      </c>
      <c r="C1294" s="3" t="s">
        <v>6</v>
      </c>
    </row>
    <row r="1295">
      <c r="A1295" s="3">
        <v>1347.0</v>
      </c>
      <c r="B1295" s="4">
        <v>45311.62778935185</v>
      </c>
      <c r="C1295" s="3" t="s">
        <v>6</v>
      </c>
    </row>
    <row r="1296">
      <c r="A1296" s="3">
        <v>6218.0</v>
      </c>
      <c r="B1296" s="4">
        <v>45311.630891203706</v>
      </c>
      <c r="C1296" s="3" t="s">
        <v>5</v>
      </c>
    </row>
    <row r="1297">
      <c r="A1297" s="3">
        <v>2472.0</v>
      </c>
      <c r="B1297" s="4">
        <v>45311.634305555555</v>
      </c>
      <c r="C1297" s="3" t="s">
        <v>4</v>
      </c>
    </row>
    <row r="1298">
      <c r="A1298" s="3">
        <v>6029.0</v>
      </c>
      <c r="B1298" s="4">
        <v>45311.649513888886</v>
      </c>
      <c r="C1298" s="3" t="s">
        <v>3</v>
      </c>
    </row>
    <row r="1299">
      <c r="A1299" s="3">
        <v>1260.0</v>
      </c>
      <c r="B1299" s="4">
        <v>45311.661145833335</v>
      </c>
      <c r="C1299" s="3" t="s">
        <v>4</v>
      </c>
    </row>
    <row r="1300">
      <c r="A1300" s="3">
        <v>6192.0</v>
      </c>
      <c r="B1300" s="4">
        <v>45311.678819444445</v>
      </c>
      <c r="C1300" s="3" t="s">
        <v>4</v>
      </c>
    </row>
    <row r="1301">
      <c r="A1301" s="3">
        <v>2037.0</v>
      </c>
      <c r="B1301" s="4">
        <v>45311.67984953704</v>
      </c>
      <c r="C1301" s="3" t="s">
        <v>3</v>
      </c>
    </row>
    <row r="1302">
      <c r="A1302" s="3">
        <v>2663.0</v>
      </c>
      <c r="B1302" s="4">
        <v>45311.68366898148</v>
      </c>
      <c r="C1302" s="3" t="s">
        <v>7</v>
      </c>
    </row>
    <row r="1303">
      <c r="A1303" s="3">
        <v>5323.0</v>
      </c>
      <c r="B1303" s="4">
        <v>45311.692094907405</v>
      </c>
      <c r="C1303" s="3" t="s">
        <v>3</v>
      </c>
    </row>
    <row r="1304">
      <c r="A1304" s="3">
        <v>4061.0</v>
      </c>
      <c r="B1304" s="4">
        <v>45311.71053240741</v>
      </c>
      <c r="C1304" s="3" t="s">
        <v>3</v>
      </c>
    </row>
    <row r="1305">
      <c r="A1305" s="3">
        <v>7890.0</v>
      </c>
      <c r="B1305" s="4">
        <v>45311.713541666664</v>
      </c>
      <c r="C1305" s="3" t="s">
        <v>3</v>
      </c>
    </row>
    <row r="1306">
      <c r="A1306" s="3">
        <v>7881.0</v>
      </c>
      <c r="B1306" s="4">
        <v>45311.715520833335</v>
      </c>
      <c r="C1306" s="3" t="s">
        <v>3</v>
      </c>
    </row>
    <row r="1307">
      <c r="A1307" s="3">
        <v>1.0</v>
      </c>
      <c r="B1307" s="4">
        <v>45311.720613425925</v>
      </c>
      <c r="C1307" s="3" t="s">
        <v>3</v>
      </c>
    </row>
    <row r="1308">
      <c r="A1308" s="3">
        <v>5068.0</v>
      </c>
      <c r="B1308" s="4">
        <v>45311.72219907407</v>
      </c>
      <c r="C1308" s="3" t="s">
        <v>6</v>
      </c>
    </row>
    <row r="1309">
      <c r="A1309" s="3">
        <v>7473.0</v>
      </c>
      <c r="B1309" s="4">
        <v>45311.72583333333</v>
      </c>
      <c r="C1309" s="3" t="s">
        <v>4</v>
      </c>
    </row>
    <row r="1310">
      <c r="A1310" s="3">
        <v>2550.0</v>
      </c>
      <c r="B1310" s="4">
        <v>45311.73339120371</v>
      </c>
      <c r="C1310" s="3" t="s">
        <v>3</v>
      </c>
    </row>
    <row r="1311">
      <c r="A1311" s="3">
        <v>5313.0</v>
      </c>
      <c r="B1311" s="4">
        <v>45311.741631944446</v>
      </c>
      <c r="C1311" s="3" t="s">
        <v>6</v>
      </c>
    </row>
    <row r="1312">
      <c r="A1312" s="3">
        <v>2134.0</v>
      </c>
      <c r="B1312" s="4">
        <v>45311.753217592595</v>
      </c>
      <c r="C1312" s="3" t="s">
        <v>6</v>
      </c>
    </row>
    <row r="1313">
      <c r="A1313" s="3">
        <v>256.0</v>
      </c>
      <c r="B1313" s="4">
        <v>45311.77210648148</v>
      </c>
      <c r="C1313" s="3" t="s">
        <v>3</v>
      </c>
    </row>
    <row r="1314">
      <c r="A1314" s="3">
        <v>5313.0</v>
      </c>
      <c r="B1314" s="4">
        <v>45311.775972222225</v>
      </c>
      <c r="C1314" s="3" t="s">
        <v>5</v>
      </c>
    </row>
    <row r="1315">
      <c r="A1315" s="3">
        <v>7665.0</v>
      </c>
      <c r="B1315" s="4">
        <v>45311.79225694444</v>
      </c>
      <c r="C1315" s="3" t="s">
        <v>6</v>
      </c>
    </row>
    <row r="1316">
      <c r="A1316" s="3">
        <v>1430.0</v>
      </c>
      <c r="B1316" s="4">
        <v>45311.83819444444</v>
      </c>
      <c r="C1316" s="3" t="s">
        <v>4</v>
      </c>
    </row>
    <row r="1317">
      <c r="A1317" s="3">
        <v>7843.0</v>
      </c>
      <c r="B1317" s="4">
        <v>45311.84753472222</v>
      </c>
      <c r="C1317" s="3" t="s">
        <v>3</v>
      </c>
    </row>
    <row r="1318">
      <c r="A1318" s="3">
        <v>6384.0</v>
      </c>
      <c r="B1318" s="4">
        <v>45311.847916666666</v>
      </c>
      <c r="C1318" s="3" t="s">
        <v>3</v>
      </c>
    </row>
    <row r="1319">
      <c r="A1319" s="3">
        <v>695.0</v>
      </c>
      <c r="B1319" s="4">
        <v>45311.87465277778</v>
      </c>
      <c r="C1319" s="3" t="s">
        <v>5</v>
      </c>
    </row>
    <row r="1320">
      <c r="A1320" s="3">
        <v>696.0</v>
      </c>
      <c r="B1320" s="4">
        <v>45311.884305555555</v>
      </c>
      <c r="C1320" s="3" t="s">
        <v>4</v>
      </c>
    </row>
    <row r="1321">
      <c r="A1321" s="3">
        <v>2572.0</v>
      </c>
      <c r="B1321" s="4">
        <v>45311.89196759259</v>
      </c>
      <c r="C1321" s="3" t="s">
        <v>7</v>
      </c>
    </row>
    <row r="1322">
      <c r="A1322" s="3">
        <v>6716.0</v>
      </c>
      <c r="B1322" s="4">
        <v>45311.8962962963</v>
      </c>
      <c r="C1322" s="3" t="s">
        <v>3</v>
      </c>
    </row>
    <row r="1323">
      <c r="A1323" s="3">
        <v>5749.0</v>
      </c>
      <c r="B1323" s="4">
        <v>45311.909849537034</v>
      </c>
      <c r="C1323" s="3" t="s">
        <v>7</v>
      </c>
    </row>
    <row r="1324">
      <c r="A1324" s="3">
        <v>507.0</v>
      </c>
      <c r="B1324" s="4">
        <v>45311.91400462963</v>
      </c>
      <c r="C1324" s="3" t="s">
        <v>6</v>
      </c>
    </row>
    <row r="1325">
      <c r="A1325" s="3">
        <v>1258.0</v>
      </c>
      <c r="B1325" s="4">
        <v>45311.92270833333</v>
      </c>
      <c r="C1325" s="3" t="s">
        <v>3</v>
      </c>
    </row>
    <row r="1326">
      <c r="A1326" s="3">
        <v>3761.0</v>
      </c>
      <c r="B1326" s="4">
        <v>45311.933125</v>
      </c>
      <c r="C1326" s="3" t="s">
        <v>3</v>
      </c>
    </row>
    <row r="1327">
      <c r="A1327" s="3">
        <v>2304.0</v>
      </c>
      <c r="B1327" s="4">
        <v>45311.93560185185</v>
      </c>
      <c r="C1327" s="3" t="s">
        <v>6</v>
      </c>
    </row>
    <row r="1328">
      <c r="A1328" s="3">
        <v>7749.0</v>
      </c>
      <c r="B1328" s="4">
        <v>45311.942662037036</v>
      </c>
      <c r="C1328" s="3" t="s">
        <v>4</v>
      </c>
    </row>
    <row r="1329">
      <c r="A1329" s="3">
        <v>1723.0</v>
      </c>
      <c r="B1329" s="4">
        <v>45311.964525462965</v>
      </c>
      <c r="C1329" s="3" t="s">
        <v>3</v>
      </c>
    </row>
    <row r="1330">
      <c r="A1330" s="3">
        <v>5023.0</v>
      </c>
      <c r="B1330" s="4">
        <v>45311.969618055555</v>
      </c>
      <c r="C1330" s="3" t="s">
        <v>3</v>
      </c>
    </row>
    <row r="1331">
      <c r="A1331" s="3">
        <v>6914.0</v>
      </c>
      <c r="B1331" s="4">
        <v>45311.97105324074</v>
      </c>
      <c r="C1331" s="3" t="s">
        <v>7</v>
      </c>
    </row>
    <row r="1332">
      <c r="A1332" s="3">
        <v>4728.0</v>
      </c>
      <c r="B1332" s="4">
        <v>45311.99568287037</v>
      </c>
      <c r="C1332" s="3" t="s">
        <v>3</v>
      </c>
    </row>
    <row r="1333">
      <c r="A1333" s="3">
        <v>23.0</v>
      </c>
      <c r="B1333" s="4">
        <v>45311.99633101852</v>
      </c>
      <c r="C1333" s="3" t="s">
        <v>3</v>
      </c>
    </row>
    <row r="1334">
      <c r="A1334" s="3">
        <v>519.0</v>
      </c>
      <c r="B1334" s="4">
        <v>45312.00975694445</v>
      </c>
      <c r="C1334" s="3" t="s">
        <v>3</v>
      </c>
    </row>
    <row r="1335">
      <c r="A1335" s="3">
        <v>4951.0</v>
      </c>
      <c r="B1335" s="4">
        <v>45312.00990740741</v>
      </c>
      <c r="C1335" s="3" t="s">
        <v>3</v>
      </c>
    </row>
    <row r="1336">
      <c r="A1336" s="3">
        <v>2493.0</v>
      </c>
      <c r="B1336" s="4">
        <v>45312.02804398148</v>
      </c>
      <c r="C1336" s="3" t="s">
        <v>3</v>
      </c>
    </row>
    <row r="1337">
      <c r="A1337" s="3">
        <v>5831.0</v>
      </c>
      <c r="B1337" s="4">
        <v>45312.03304398148</v>
      </c>
      <c r="C1337" s="3" t="s">
        <v>7</v>
      </c>
    </row>
    <row r="1338">
      <c r="A1338" s="3">
        <v>7881.0</v>
      </c>
      <c r="B1338" s="4">
        <v>45312.05694444444</v>
      </c>
      <c r="C1338" s="3" t="s">
        <v>4</v>
      </c>
    </row>
    <row r="1339">
      <c r="A1339" s="3">
        <v>684.0</v>
      </c>
      <c r="B1339" s="4">
        <v>45312.08695601852</v>
      </c>
      <c r="C1339" s="3" t="s">
        <v>5</v>
      </c>
    </row>
    <row r="1340">
      <c r="A1340" s="3">
        <v>2914.0</v>
      </c>
      <c r="B1340" s="4">
        <v>45312.089004629626</v>
      </c>
      <c r="C1340" s="3" t="s">
        <v>4</v>
      </c>
    </row>
    <row r="1341">
      <c r="A1341" s="3">
        <v>2989.0</v>
      </c>
      <c r="B1341" s="4">
        <v>45312.109293981484</v>
      </c>
      <c r="C1341" s="3" t="s">
        <v>4</v>
      </c>
    </row>
    <row r="1342">
      <c r="A1342" s="3">
        <v>7881.0</v>
      </c>
      <c r="B1342" s="4">
        <v>45312.11638888889</v>
      </c>
      <c r="C1342" s="3" t="s">
        <v>7</v>
      </c>
    </row>
    <row r="1343">
      <c r="A1343" s="3">
        <v>3325.0</v>
      </c>
      <c r="B1343" s="4">
        <v>45312.125243055554</v>
      </c>
      <c r="C1343" s="3" t="s">
        <v>3</v>
      </c>
    </row>
    <row r="1344">
      <c r="A1344" s="3">
        <v>3384.0</v>
      </c>
      <c r="B1344" s="4">
        <v>45312.14877314815</v>
      </c>
      <c r="C1344" s="3" t="s">
        <v>7</v>
      </c>
    </row>
    <row r="1345">
      <c r="A1345" s="3">
        <v>1420.0</v>
      </c>
      <c r="B1345" s="4">
        <v>45312.167349537034</v>
      </c>
      <c r="C1345" s="3" t="s">
        <v>4</v>
      </c>
    </row>
    <row r="1346">
      <c r="A1346" s="3">
        <v>5561.0</v>
      </c>
      <c r="B1346" s="4">
        <v>45312.16741898148</v>
      </c>
      <c r="C1346" s="3" t="s">
        <v>3</v>
      </c>
    </row>
    <row r="1347">
      <c r="A1347" s="3">
        <v>6185.0</v>
      </c>
      <c r="B1347" s="4">
        <v>45312.18702546296</v>
      </c>
      <c r="C1347" s="3" t="s">
        <v>3</v>
      </c>
    </row>
    <row r="1348">
      <c r="A1348" s="3">
        <v>2989.0</v>
      </c>
      <c r="B1348" s="4">
        <v>45312.196180555555</v>
      </c>
      <c r="C1348" s="3" t="s">
        <v>3</v>
      </c>
    </row>
    <row r="1349">
      <c r="A1349" s="3">
        <v>7626.0</v>
      </c>
      <c r="B1349" s="4">
        <v>45312.19710648148</v>
      </c>
      <c r="C1349" s="3" t="s">
        <v>3</v>
      </c>
    </row>
    <row r="1350">
      <c r="A1350" s="3">
        <v>1959.0</v>
      </c>
      <c r="B1350" s="4">
        <v>45312.23210648148</v>
      </c>
      <c r="C1350" s="3" t="s">
        <v>3</v>
      </c>
    </row>
    <row r="1351">
      <c r="A1351" s="3">
        <v>1802.0</v>
      </c>
      <c r="B1351" s="4">
        <v>45312.23289351852</v>
      </c>
      <c r="C1351" s="3" t="s">
        <v>3</v>
      </c>
    </row>
    <row r="1352">
      <c r="A1352" s="3">
        <v>3706.0</v>
      </c>
      <c r="B1352" s="4">
        <v>45312.23952546297</v>
      </c>
      <c r="C1352" s="3" t="s">
        <v>3</v>
      </c>
    </row>
    <row r="1353">
      <c r="A1353" s="3">
        <v>7475.0</v>
      </c>
      <c r="B1353" s="4">
        <v>45312.30978009259</v>
      </c>
      <c r="C1353" s="3" t="s">
        <v>5</v>
      </c>
    </row>
    <row r="1354">
      <c r="A1354" s="3">
        <v>1.0</v>
      </c>
      <c r="B1354" s="4">
        <v>45312.32369212963</v>
      </c>
      <c r="C1354" s="3" t="s">
        <v>5</v>
      </c>
    </row>
    <row r="1355">
      <c r="A1355" s="3">
        <v>7039.0</v>
      </c>
      <c r="B1355" s="4">
        <v>45312.33642361111</v>
      </c>
      <c r="C1355" s="3" t="s">
        <v>6</v>
      </c>
    </row>
    <row r="1356">
      <c r="A1356" s="3">
        <v>316.0</v>
      </c>
      <c r="B1356" s="4">
        <v>45312.33998842593</v>
      </c>
      <c r="C1356" s="3" t="s">
        <v>3</v>
      </c>
    </row>
    <row r="1357">
      <c r="A1357" s="3">
        <v>5529.0</v>
      </c>
      <c r="B1357" s="4">
        <v>45312.35170138889</v>
      </c>
      <c r="C1357" s="3" t="s">
        <v>6</v>
      </c>
    </row>
    <row r="1358">
      <c r="A1358" s="3">
        <v>5770.0</v>
      </c>
      <c r="B1358" s="4">
        <v>45312.4305787037</v>
      </c>
      <c r="C1358" s="3" t="s">
        <v>3</v>
      </c>
    </row>
    <row r="1359">
      <c r="A1359" s="3">
        <v>5465.0</v>
      </c>
      <c r="B1359" s="4">
        <v>45312.439108796294</v>
      </c>
      <c r="C1359" s="3" t="s">
        <v>4</v>
      </c>
    </row>
    <row r="1360">
      <c r="A1360" s="3">
        <v>1173.0</v>
      </c>
      <c r="B1360" s="4">
        <v>45312.44605324074</v>
      </c>
      <c r="C1360" s="3" t="s">
        <v>7</v>
      </c>
    </row>
    <row r="1361">
      <c r="A1361" s="3">
        <v>4571.0</v>
      </c>
      <c r="B1361" s="4">
        <v>45312.452835648146</v>
      </c>
      <c r="C1361" s="3" t="s">
        <v>3</v>
      </c>
    </row>
    <row r="1362">
      <c r="A1362" s="3">
        <v>7448.0</v>
      </c>
      <c r="B1362" s="4">
        <v>45312.460173611114</v>
      </c>
      <c r="C1362" s="3" t="s">
        <v>3</v>
      </c>
    </row>
    <row r="1363">
      <c r="A1363" s="3">
        <v>2550.0</v>
      </c>
      <c r="B1363" s="4">
        <v>45312.4778125</v>
      </c>
      <c r="C1363" s="3" t="s">
        <v>4</v>
      </c>
    </row>
    <row r="1364">
      <c r="A1364" s="3">
        <v>4374.0</v>
      </c>
      <c r="B1364" s="4">
        <v>45312.478113425925</v>
      </c>
      <c r="C1364" s="3" t="s">
        <v>6</v>
      </c>
    </row>
    <row r="1365">
      <c r="A1365" s="3">
        <v>756.0</v>
      </c>
      <c r="B1365" s="4">
        <v>45312.49755787037</v>
      </c>
      <c r="C1365" s="3" t="s">
        <v>5</v>
      </c>
    </row>
    <row r="1366">
      <c r="A1366" s="3">
        <v>2914.0</v>
      </c>
      <c r="B1366" s="4">
        <v>45312.54744212963</v>
      </c>
      <c r="C1366" s="3" t="s">
        <v>5</v>
      </c>
    </row>
    <row r="1367">
      <c r="A1367" s="3">
        <v>1681.0</v>
      </c>
      <c r="B1367" s="4">
        <v>45312.56340277778</v>
      </c>
      <c r="C1367" s="3" t="s">
        <v>4</v>
      </c>
    </row>
    <row r="1368">
      <c r="A1368" s="3">
        <v>2736.0</v>
      </c>
      <c r="B1368" s="4">
        <v>45312.589895833335</v>
      </c>
      <c r="C1368" s="3" t="s">
        <v>3</v>
      </c>
    </row>
    <row r="1369">
      <c r="A1369" s="3">
        <v>6658.0</v>
      </c>
      <c r="B1369" s="4">
        <v>45312.61273148148</v>
      </c>
      <c r="C1369" s="3" t="s">
        <v>3</v>
      </c>
    </row>
    <row r="1370">
      <c r="A1370" s="3">
        <v>2652.0</v>
      </c>
      <c r="B1370" s="4">
        <v>45312.61540509259</v>
      </c>
      <c r="C1370" s="3" t="s">
        <v>4</v>
      </c>
    </row>
    <row r="1371">
      <c r="A1371" s="3">
        <v>5192.0</v>
      </c>
      <c r="B1371" s="4">
        <v>45312.628854166665</v>
      </c>
      <c r="C1371" s="3" t="s">
        <v>3</v>
      </c>
    </row>
    <row r="1372">
      <c r="A1372" s="3">
        <v>6479.0</v>
      </c>
      <c r="B1372" s="4">
        <v>45312.63542824074</v>
      </c>
      <c r="C1372" s="3" t="s">
        <v>7</v>
      </c>
    </row>
    <row r="1373">
      <c r="A1373" s="3">
        <v>4728.0</v>
      </c>
      <c r="B1373" s="4">
        <v>45312.63862268518</v>
      </c>
      <c r="C1373" s="3" t="s">
        <v>4</v>
      </c>
    </row>
    <row r="1374">
      <c r="A1374" s="3">
        <v>7250.0</v>
      </c>
      <c r="B1374" s="4">
        <v>45312.64538194444</v>
      </c>
      <c r="C1374" s="3" t="s">
        <v>4</v>
      </c>
    </row>
    <row r="1375">
      <c r="A1375" s="3">
        <v>1375.0</v>
      </c>
      <c r="B1375" s="4">
        <v>45312.654270833336</v>
      </c>
      <c r="C1375" s="3" t="s">
        <v>3</v>
      </c>
    </row>
    <row r="1376">
      <c r="A1376" s="3">
        <v>1430.0</v>
      </c>
      <c r="B1376" s="4">
        <v>45312.67414351852</v>
      </c>
      <c r="C1376" s="3" t="s">
        <v>7</v>
      </c>
    </row>
    <row r="1377">
      <c r="A1377" s="3">
        <v>1.0</v>
      </c>
      <c r="B1377" s="4">
        <v>45312.71576388889</v>
      </c>
      <c r="C1377" s="3" t="s">
        <v>4</v>
      </c>
    </row>
    <row r="1378">
      <c r="A1378" s="3">
        <v>6798.0</v>
      </c>
      <c r="B1378" s="4">
        <v>45312.72678240741</v>
      </c>
      <c r="C1378" s="3" t="s">
        <v>6</v>
      </c>
    </row>
    <row r="1379">
      <c r="A1379" s="3">
        <v>684.0</v>
      </c>
      <c r="B1379" s="4">
        <v>45312.728171296294</v>
      </c>
      <c r="C1379" s="3" t="s">
        <v>6</v>
      </c>
    </row>
    <row r="1380">
      <c r="A1380" s="3">
        <v>1372.0</v>
      </c>
      <c r="B1380" s="4">
        <v>45312.76167824074</v>
      </c>
      <c r="C1380" s="3" t="s">
        <v>4</v>
      </c>
    </row>
    <row r="1381">
      <c r="A1381" s="3">
        <v>753.0</v>
      </c>
      <c r="B1381" s="4">
        <v>45312.80462962963</v>
      </c>
      <c r="C1381" s="3" t="s">
        <v>5</v>
      </c>
    </row>
    <row r="1382">
      <c r="A1382" s="3">
        <v>2484.0</v>
      </c>
      <c r="B1382" s="4">
        <v>45312.84502314815</v>
      </c>
      <c r="C1382" s="3" t="s">
        <v>3</v>
      </c>
    </row>
    <row r="1383">
      <c r="A1383" s="3">
        <v>2677.0</v>
      </c>
      <c r="B1383" s="4">
        <v>45312.84600694444</v>
      </c>
      <c r="C1383" s="3" t="s">
        <v>3</v>
      </c>
    </row>
    <row r="1384">
      <c r="A1384" s="3">
        <v>1980.0</v>
      </c>
      <c r="B1384" s="4">
        <v>45312.8524537037</v>
      </c>
      <c r="C1384" s="3" t="s">
        <v>3</v>
      </c>
    </row>
    <row r="1385">
      <c r="A1385" s="3">
        <v>7140.0</v>
      </c>
      <c r="B1385" s="4">
        <v>45312.8527662037</v>
      </c>
      <c r="C1385" s="3" t="s">
        <v>3</v>
      </c>
    </row>
    <row r="1386">
      <c r="A1386" s="3">
        <v>2652.0</v>
      </c>
      <c r="B1386" s="4">
        <v>45312.853101851855</v>
      </c>
      <c r="C1386" s="3" t="s">
        <v>3</v>
      </c>
    </row>
    <row r="1387">
      <c r="A1387" s="3">
        <v>7038.0</v>
      </c>
      <c r="B1387" s="4">
        <v>45312.94090277778</v>
      </c>
      <c r="C1387" s="3" t="s">
        <v>3</v>
      </c>
    </row>
    <row r="1388">
      <c r="A1388" s="3">
        <v>2823.0</v>
      </c>
      <c r="B1388" s="4">
        <v>45312.952581018515</v>
      </c>
      <c r="C1388" s="3" t="s">
        <v>3</v>
      </c>
    </row>
    <row r="1389">
      <c r="A1389" s="3">
        <v>7574.0</v>
      </c>
      <c r="B1389" s="4">
        <v>45312.9675462963</v>
      </c>
      <c r="C1389" s="3" t="s">
        <v>4</v>
      </c>
    </row>
    <row r="1390">
      <c r="A1390" s="3">
        <v>316.0</v>
      </c>
      <c r="B1390" s="4">
        <v>45312.97347222222</v>
      </c>
      <c r="C1390" s="3" t="s">
        <v>4</v>
      </c>
    </row>
    <row r="1391">
      <c r="A1391" s="3">
        <v>1260.0</v>
      </c>
      <c r="B1391" s="4">
        <v>45312.98716435185</v>
      </c>
      <c r="C1391" s="3" t="s">
        <v>5</v>
      </c>
    </row>
    <row r="1392">
      <c r="A1392" s="3">
        <v>2267.0</v>
      </c>
      <c r="B1392" s="4">
        <v>45312.990069444444</v>
      </c>
      <c r="C1392" s="3" t="s">
        <v>3</v>
      </c>
    </row>
    <row r="1393">
      <c r="A1393" s="3">
        <v>3384.0</v>
      </c>
      <c r="B1393" s="4">
        <v>45312.99340277778</v>
      </c>
      <c r="C1393" s="3" t="s">
        <v>6</v>
      </c>
    </row>
    <row r="1394">
      <c r="A1394" s="3">
        <v>4117.0</v>
      </c>
      <c r="B1394" s="4">
        <v>45313.000023148146</v>
      </c>
      <c r="C1394" s="3" t="s">
        <v>4</v>
      </c>
    </row>
    <row r="1395">
      <c r="A1395" s="3">
        <v>7988.0</v>
      </c>
      <c r="B1395" s="4">
        <v>45313.01596064815</v>
      </c>
      <c r="C1395" s="3" t="s">
        <v>6</v>
      </c>
    </row>
    <row r="1396">
      <c r="A1396" s="3">
        <v>4205.0</v>
      </c>
      <c r="B1396" s="4">
        <v>45313.01797453704</v>
      </c>
      <c r="C1396" s="3" t="s">
        <v>3</v>
      </c>
    </row>
    <row r="1397">
      <c r="A1397" s="3">
        <v>2152.0</v>
      </c>
      <c r="B1397" s="4">
        <v>45313.04615740741</v>
      </c>
      <c r="C1397" s="3" t="s">
        <v>4</v>
      </c>
    </row>
    <row r="1398">
      <c r="A1398" s="3">
        <v>1327.0</v>
      </c>
      <c r="B1398" s="4">
        <v>45313.057118055556</v>
      </c>
      <c r="C1398" s="3" t="s">
        <v>4</v>
      </c>
    </row>
    <row r="1399">
      <c r="A1399" s="3">
        <v>7109.0</v>
      </c>
      <c r="B1399" s="4">
        <v>45313.09307870371</v>
      </c>
      <c r="C1399" s="3" t="s">
        <v>6</v>
      </c>
    </row>
    <row r="1400">
      <c r="A1400" s="3">
        <v>4447.0</v>
      </c>
      <c r="B1400" s="4">
        <v>45313.095185185186</v>
      </c>
      <c r="C1400" s="3" t="s">
        <v>3</v>
      </c>
    </row>
    <row r="1401">
      <c r="A1401" s="3">
        <v>5135.0</v>
      </c>
      <c r="B1401" s="4">
        <v>45313.10658564815</v>
      </c>
      <c r="C1401" s="3" t="s">
        <v>3</v>
      </c>
    </row>
    <row r="1402">
      <c r="A1402" s="3">
        <v>7564.0</v>
      </c>
      <c r="B1402" s="4">
        <v>45313.11207175926</v>
      </c>
      <c r="C1402" s="3" t="s">
        <v>3</v>
      </c>
    </row>
    <row r="1403">
      <c r="A1403" s="3">
        <v>5857.0</v>
      </c>
      <c r="B1403" s="4">
        <v>45313.117789351854</v>
      </c>
      <c r="C1403" s="3" t="s">
        <v>7</v>
      </c>
    </row>
    <row r="1404">
      <c r="A1404" s="3">
        <v>612.0</v>
      </c>
      <c r="B1404" s="4">
        <v>45313.166493055556</v>
      </c>
      <c r="C1404" s="3" t="s">
        <v>6</v>
      </c>
    </row>
    <row r="1405">
      <c r="A1405" s="3">
        <v>7789.0</v>
      </c>
      <c r="B1405" s="4">
        <v>45313.17005787037</v>
      </c>
      <c r="C1405" s="3" t="s">
        <v>3</v>
      </c>
    </row>
    <row r="1406">
      <c r="A1406" s="3">
        <v>1910.0</v>
      </c>
      <c r="B1406" s="4">
        <v>45313.17140046296</v>
      </c>
      <c r="C1406" s="3" t="s">
        <v>3</v>
      </c>
    </row>
    <row r="1407">
      <c r="A1407" s="3">
        <v>1278.0</v>
      </c>
      <c r="B1407" s="4">
        <v>45313.17377314815</v>
      </c>
      <c r="C1407" s="3" t="s">
        <v>4</v>
      </c>
    </row>
    <row r="1408">
      <c r="A1408" s="3">
        <v>1980.0</v>
      </c>
      <c r="B1408" s="4">
        <v>45313.17601851852</v>
      </c>
      <c r="C1408" s="3" t="s">
        <v>5</v>
      </c>
    </row>
    <row r="1409">
      <c r="A1409" s="3">
        <v>6716.0</v>
      </c>
      <c r="B1409" s="4">
        <v>45313.18388888889</v>
      </c>
      <c r="C1409" s="3" t="s">
        <v>5</v>
      </c>
    </row>
    <row r="1410">
      <c r="A1410" s="3">
        <v>2152.0</v>
      </c>
      <c r="B1410" s="4">
        <v>45313.203368055554</v>
      </c>
      <c r="C1410" s="3" t="s">
        <v>3</v>
      </c>
    </row>
    <row r="1411">
      <c r="A1411" s="3">
        <v>325.0</v>
      </c>
      <c r="B1411" s="4">
        <v>45313.20515046296</v>
      </c>
      <c r="C1411" s="3" t="s">
        <v>6</v>
      </c>
    </row>
    <row r="1412">
      <c r="A1412" s="3">
        <v>6914.0</v>
      </c>
      <c r="B1412" s="4">
        <v>45313.20547453704</v>
      </c>
      <c r="C1412" s="3" t="s">
        <v>5</v>
      </c>
    </row>
    <row r="1413">
      <c r="A1413" s="3">
        <v>3369.0</v>
      </c>
      <c r="B1413" s="4">
        <v>45313.20966435185</v>
      </c>
      <c r="C1413" s="3" t="s">
        <v>4</v>
      </c>
    </row>
    <row r="1414">
      <c r="A1414" s="3">
        <v>4273.0</v>
      </c>
      <c r="B1414" s="4">
        <v>45313.22125</v>
      </c>
      <c r="C1414" s="3" t="s">
        <v>3</v>
      </c>
    </row>
    <row r="1415">
      <c r="A1415" s="3">
        <v>5465.0</v>
      </c>
      <c r="B1415" s="4">
        <v>45313.226435185185</v>
      </c>
      <c r="C1415" s="3" t="s">
        <v>6</v>
      </c>
    </row>
    <row r="1416">
      <c r="A1416" s="3">
        <v>7205.0</v>
      </c>
      <c r="B1416" s="4">
        <v>45313.23465277778</v>
      </c>
      <c r="C1416" s="3" t="s">
        <v>3</v>
      </c>
    </row>
    <row r="1417">
      <c r="A1417" s="3">
        <v>6126.0</v>
      </c>
      <c r="B1417" s="4">
        <v>45313.24037037037</v>
      </c>
      <c r="C1417" s="3" t="s">
        <v>3</v>
      </c>
    </row>
    <row r="1418">
      <c r="A1418" s="3">
        <v>6506.0</v>
      </c>
      <c r="B1418" s="4">
        <v>45313.26164351852</v>
      </c>
      <c r="C1418" s="3" t="s">
        <v>4</v>
      </c>
    </row>
    <row r="1419">
      <c r="A1419" s="3">
        <v>4996.0</v>
      </c>
      <c r="B1419" s="4">
        <v>45313.267384259256</v>
      </c>
      <c r="C1419" s="3" t="s">
        <v>3</v>
      </c>
    </row>
    <row r="1420">
      <c r="A1420" s="3">
        <v>3769.0</v>
      </c>
      <c r="B1420" s="4">
        <v>45313.2953125</v>
      </c>
      <c r="C1420" s="3" t="s">
        <v>6</v>
      </c>
    </row>
    <row r="1421">
      <c r="A1421" s="3">
        <v>2866.0</v>
      </c>
      <c r="B1421" s="4">
        <v>45313.29702546296</v>
      </c>
      <c r="C1421" s="3" t="s">
        <v>3</v>
      </c>
    </row>
    <row r="1422">
      <c r="A1422" s="3">
        <v>6218.0</v>
      </c>
      <c r="B1422" s="4">
        <v>45313.30703703704</v>
      </c>
      <c r="C1422" s="3" t="s">
        <v>6</v>
      </c>
    </row>
    <row r="1423">
      <c r="A1423" s="3">
        <v>284.0</v>
      </c>
      <c r="B1423" s="4">
        <v>45313.343726851854</v>
      </c>
      <c r="C1423" s="3" t="s">
        <v>3</v>
      </c>
    </row>
    <row r="1424">
      <c r="A1424" s="3">
        <v>6528.0</v>
      </c>
      <c r="B1424" s="4">
        <v>45313.35962962963</v>
      </c>
      <c r="C1424" s="3" t="s">
        <v>5</v>
      </c>
    </row>
    <row r="1425">
      <c r="A1425" s="3">
        <v>2734.0</v>
      </c>
      <c r="B1425" s="4">
        <v>45313.37837962963</v>
      </c>
      <c r="C1425" s="3" t="s">
        <v>3</v>
      </c>
    </row>
    <row r="1426">
      <c r="A1426" s="3">
        <v>5529.0</v>
      </c>
      <c r="B1426" s="4">
        <v>45313.3875462963</v>
      </c>
      <c r="C1426" s="3" t="s">
        <v>7</v>
      </c>
    </row>
    <row r="1427">
      <c r="A1427" s="3">
        <v>7756.0</v>
      </c>
      <c r="B1427" s="4">
        <v>45313.40592592592</v>
      </c>
      <c r="C1427" s="3" t="s">
        <v>3</v>
      </c>
    </row>
    <row r="1428">
      <c r="A1428" s="3">
        <v>1980.0</v>
      </c>
      <c r="B1428" s="4">
        <v>45313.42412037037</v>
      </c>
      <c r="C1428" s="3" t="s">
        <v>4</v>
      </c>
    </row>
    <row r="1429">
      <c r="A1429" s="3">
        <v>3384.0</v>
      </c>
      <c r="B1429" s="4">
        <v>45313.42864583333</v>
      </c>
      <c r="C1429" s="3" t="s">
        <v>5</v>
      </c>
    </row>
    <row r="1430">
      <c r="A1430" s="3">
        <v>1170.0</v>
      </c>
      <c r="B1430" s="4">
        <v>45313.4341087963</v>
      </c>
      <c r="C1430" s="3" t="s">
        <v>3</v>
      </c>
    </row>
    <row r="1431">
      <c r="A1431" s="3">
        <v>6937.0</v>
      </c>
      <c r="B1431" s="4">
        <v>45313.45145833334</v>
      </c>
      <c r="C1431" s="3" t="s">
        <v>4</v>
      </c>
    </row>
    <row r="1432">
      <c r="A1432" s="3">
        <v>4037.0</v>
      </c>
      <c r="B1432" s="4">
        <v>45313.46575231481</v>
      </c>
      <c r="C1432" s="3" t="s">
        <v>3</v>
      </c>
    </row>
    <row r="1433">
      <c r="A1433" s="3">
        <v>2037.0</v>
      </c>
      <c r="B1433" s="4">
        <v>45313.49866898148</v>
      </c>
      <c r="C1433" s="3" t="s">
        <v>5</v>
      </c>
    </row>
    <row r="1434">
      <c r="A1434" s="3">
        <v>5323.0</v>
      </c>
      <c r="B1434" s="4">
        <v>45313.51991898148</v>
      </c>
      <c r="C1434" s="3" t="s">
        <v>4</v>
      </c>
    </row>
    <row r="1435">
      <c r="A1435" s="3">
        <v>4571.0</v>
      </c>
      <c r="B1435" s="4">
        <v>45313.54513888889</v>
      </c>
      <c r="C1435" s="3" t="s">
        <v>4</v>
      </c>
    </row>
    <row r="1436">
      <c r="A1436" s="3">
        <v>4806.0</v>
      </c>
      <c r="B1436" s="4">
        <v>45313.59266203704</v>
      </c>
      <c r="C1436" s="3" t="s">
        <v>3</v>
      </c>
    </row>
    <row r="1437">
      <c r="A1437" s="3">
        <v>2804.0</v>
      </c>
      <c r="B1437" s="4">
        <v>45313.60333333333</v>
      </c>
      <c r="C1437" s="3" t="s">
        <v>3</v>
      </c>
    </row>
    <row r="1438">
      <c r="A1438" s="3">
        <v>1959.0</v>
      </c>
      <c r="B1438" s="4">
        <v>45313.63333333333</v>
      </c>
      <c r="C1438" s="3" t="s">
        <v>4</v>
      </c>
    </row>
    <row r="1439">
      <c r="A1439" s="3">
        <v>7955.0</v>
      </c>
      <c r="B1439" s="4">
        <v>45313.668125</v>
      </c>
      <c r="C1439" s="3" t="s">
        <v>4</v>
      </c>
    </row>
    <row r="1440">
      <c r="A1440" s="3">
        <v>4158.0</v>
      </c>
      <c r="B1440" s="4">
        <v>45313.67298611111</v>
      </c>
      <c r="C1440" s="3" t="s">
        <v>3</v>
      </c>
    </row>
    <row r="1441">
      <c r="A1441" s="3">
        <v>6506.0</v>
      </c>
      <c r="B1441" s="4">
        <v>45313.67870370371</v>
      </c>
      <c r="C1441" s="3" t="s">
        <v>3</v>
      </c>
    </row>
    <row r="1442">
      <c r="A1442" s="3">
        <v>6192.0</v>
      </c>
      <c r="B1442" s="4">
        <v>45313.71126157408</v>
      </c>
      <c r="C1442" s="3" t="s">
        <v>6</v>
      </c>
    </row>
    <row r="1443">
      <c r="A1443" s="3">
        <v>2516.0</v>
      </c>
      <c r="B1443" s="4">
        <v>45313.716215277775</v>
      </c>
      <c r="C1443" s="3" t="s">
        <v>3</v>
      </c>
    </row>
    <row r="1444">
      <c r="A1444" s="3">
        <v>4605.0</v>
      </c>
      <c r="B1444" s="4">
        <v>45313.75944444445</v>
      </c>
      <c r="C1444" s="3" t="s">
        <v>3</v>
      </c>
    </row>
    <row r="1445">
      <c r="A1445" s="3">
        <v>1823.0</v>
      </c>
      <c r="B1445" s="4">
        <v>45313.76758101852</v>
      </c>
      <c r="C1445" s="3" t="s">
        <v>3</v>
      </c>
    </row>
    <row r="1446">
      <c r="A1446" s="3">
        <v>1375.0</v>
      </c>
      <c r="B1446" s="4">
        <v>45313.77241898148</v>
      </c>
      <c r="C1446" s="3" t="s">
        <v>4</v>
      </c>
    </row>
    <row r="1447">
      <c r="A1447" s="3">
        <v>7955.0</v>
      </c>
      <c r="B1447" s="4">
        <v>45313.78444444444</v>
      </c>
      <c r="C1447" s="3" t="s">
        <v>3</v>
      </c>
    </row>
    <row r="1448">
      <c r="A1448" s="3">
        <v>4951.0</v>
      </c>
      <c r="B1448" s="4">
        <v>45313.78471064815</v>
      </c>
      <c r="C1448" s="3" t="s">
        <v>4</v>
      </c>
    </row>
    <row r="1449">
      <c r="A1449" s="3">
        <v>853.0</v>
      </c>
      <c r="B1449" s="4">
        <v>45313.78824074074</v>
      </c>
      <c r="C1449" s="3" t="s">
        <v>6</v>
      </c>
    </row>
    <row r="1450">
      <c r="A1450" s="3">
        <v>5857.0</v>
      </c>
      <c r="B1450" s="4">
        <v>45313.79383101852</v>
      </c>
      <c r="C1450" s="3" t="s">
        <v>6</v>
      </c>
    </row>
    <row r="1451">
      <c r="A1451" s="3">
        <v>1420.0</v>
      </c>
      <c r="B1451" s="4">
        <v>45313.80478009259</v>
      </c>
      <c r="C1451" s="3" t="s">
        <v>5</v>
      </c>
    </row>
    <row r="1452">
      <c r="A1452" s="3">
        <v>1260.0</v>
      </c>
      <c r="B1452" s="4">
        <v>45313.8055787037</v>
      </c>
      <c r="C1452" s="3" t="s">
        <v>6</v>
      </c>
    </row>
    <row r="1453">
      <c r="A1453" s="3">
        <v>2913.0</v>
      </c>
      <c r="B1453" s="4">
        <v>45313.81618055556</v>
      </c>
      <c r="C1453" s="3" t="s">
        <v>3</v>
      </c>
    </row>
    <row r="1454">
      <c r="A1454" s="3">
        <v>6646.0</v>
      </c>
      <c r="B1454" s="4">
        <v>45313.82381944444</v>
      </c>
      <c r="C1454" s="3" t="s">
        <v>3</v>
      </c>
    </row>
    <row r="1455">
      <c r="A1455" s="3">
        <v>5715.0</v>
      </c>
      <c r="B1455" s="4">
        <v>45313.82635416667</v>
      </c>
      <c r="C1455" s="3" t="s">
        <v>6</v>
      </c>
    </row>
    <row r="1456">
      <c r="A1456" s="3">
        <v>23.0</v>
      </c>
      <c r="B1456" s="4">
        <v>45313.85743055555</v>
      </c>
      <c r="C1456" s="3" t="s">
        <v>4</v>
      </c>
    </row>
    <row r="1457">
      <c r="A1457" s="3">
        <v>1427.0</v>
      </c>
      <c r="B1457" s="4">
        <v>45313.85815972222</v>
      </c>
      <c r="C1457" s="3" t="s">
        <v>3</v>
      </c>
    </row>
    <row r="1458">
      <c r="A1458" s="3">
        <v>1288.0</v>
      </c>
      <c r="B1458" s="4">
        <v>45313.889965277776</v>
      </c>
      <c r="C1458" s="3" t="s">
        <v>3</v>
      </c>
    </row>
    <row r="1459">
      <c r="A1459" s="3">
        <v>3706.0</v>
      </c>
      <c r="B1459" s="4">
        <v>45313.91842592593</v>
      </c>
      <c r="C1459" s="3" t="s">
        <v>4</v>
      </c>
    </row>
    <row r="1460">
      <c r="A1460" s="3">
        <v>3407.0</v>
      </c>
      <c r="B1460" s="4">
        <v>45313.91888888889</v>
      </c>
      <c r="C1460" s="3" t="s">
        <v>3</v>
      </c>
    </row>
    <row r="1461">
      <c r="A1461" s="3">
        <v>519.0</v>
      </c>
      <c r="B1461" s="4">
        <v>45313.94482638889</v>
      </c>
      <c r="C1461" s="3" t="s">
        <v>4</v>
      </c>
    </row>
    <row r="1462">
      <c r="A1462" s="3">
        <v>3361.0</v>
      </c>
      <c r="B1462" s="4">
        <v>45313.956412037034</v>
      </c>
      <c r="C1462" s="3" t="s">
        <v>6</v>
      </c>
    </row>
    <row r="1463">
      <c r="A1463" s="3">
        <v>4680.0</v>
      </c>
      <c r="B1463" s="4">
        <v>45313.99039351852</v>
      </c>
      <c r="C1463" s="3" t="s">
        <v>3</v>
      </c>
    </row>
    <row r="1464">
      <c r="A1464" s="3">
        <v>5465.0</v>
      </c>
      <c r="B1464" s="4">
        <v>45314.00628472222</v>
      </c>
      <c r="C1464" s="3" t="s">
        <v>7</v>
      </c>
    </row>
    <row r="1465">
      <c r="A1465" s="3">
        <v>4728.0</v>
      </c>
      <c r="B1465" s="4">
        <v>45314.027604166666</v>
      </c>
      <c r="C1465" s="3" t="s">
        <v>7</v>
      </c>
    </row>
    <row r="1466">
      <c r="A1466" s="3">
        <v>7370.0</v>
      </c>
      <c r="B1466" s="4">
        <v>45314.04405092593</v>
      </c>
      <c r="C1466" s="3" t="s">
        <v>4</v>
      </c>
    </row>
    <row r="1467">
      <c r="A1467" s="3">
        <v>6173.0</v>
      </c>
      <c r="B1467" s="4">
        <v>45314.047418981485</v>
      </c>
      <c r="C1467" s="3" t="s">
        <v>3</v>
      </c>
    </row>
    <row r="1468">
      <c r="A1468" s="3">
        <v>7653.0</v>
      </c>
      <c r="B1468" s="4">
        <v>45314.051875</v>
      </c>
      <c r="C1468" s="3" t="s">
        <v>4</v>
      </c>
    </row>
    <row r="1469">
      <c r="A1469" s="3">
        <v>2550.0</v>
      </c>
      <c r="B1469" s="4">
        <v>45314.066041666665</v>
      </c>
      <c r="C1469" s="3" t="s">
        <v>5</v>
      </c>
    </row>
    <row r="1470">
      <c r="A1470" s="3">
        <v>7803.0</v>
      </c>
      <c r="B1470" s="4">
        <v>45314.10512731481</v>
      </c>
      <c r="C1470" s="3" t="s">
        <v>3</v>
      </c>
    </row>
    <row r="1471">
      <c r="A1471" s="3">
        <v>3721.0</v>
      </c>
      <c r="B1471" s="4">
        <v>45314.11844907407</v>
      </c>
      <c r="C1471" s="3" t="s">
        <v>6</v>
      </c>
    </row>
    <row r="1472">
      <c r="A1472" s="3">
        <v>7205.0</v>
      </c>
      <c r="B1472" s="4">
        <v>45314.13414351852</v>
      </c>
      <c r="C1472" s="3" t="s">
        <v>4</v>
      </c>
    </row>
    <row r="1473">
      <c r="A1473" s="3">
        <v>2370.0</v>
      </c>
      <c r="B1473" s="4">
        <v>45314.16862268518</v>
      </c>
      <c r="C1473" s="3" t="s">
        <v>3</v>
      </c>
    </row>
    <row r="1474">
      <c r="A1474" s="3">
        <v>3353.0</v>
      </c>
      <c r="B1474" s="4">
        <v>45314.18818287037</v>
      </c>
      <c r="C1474" s="3" t="s">
        <v>6</v>
      </c>
    </row>
    <row r="1475">
      <c r="A1475" s="3">
        <v>7574.0</v>
      </c>
      <c r="B1475" s="4">
        <v>45314.230891203704</v>
      </c>
      <c r="C1475" s="3" t="s">
        <v>7</v>
      </c>
    </row>
    <row r="1476">
      <c r="A1476" s="3">
        <v>519.0</v>
      </c>
      <c r="B1476" s="4">
        <v>45314.25686342592</v>
      </c>
      <c r="C1476" s="3" t="s">
        <v>6</v>
      </c>
    </row>
    <row r="1477">
      <c r="A1477" s="3">
        <v>7993.0</v>
      </c>
      <c r="B1477" s="4">
        <v>45314.28859953704</v>
      </c>
      <c r="C1477" s="3" t="s">
        <v>3</v>
      </c>
    </row>
    <row r="1478">
      <c r="A1478" s="3">
        <v>4247.0</v>
      </c>
      <c r="B1478" s="4">
        <v>45314.29167824074</v>
      </c>
      <c r="C1478" s="3" t="s">
        <v>6</v>
      </c>
    </row>
    <row r="1479">
      <c r="A1479" s="3">
        <v>1864.0</v>
      </c>
      <c r="B1479" s="4">
        <v>45314.30086805556</v>
      </c>
      <c r="C1479" s="3" t="s">
        <v>3</v>
      </c>
    </row>
    <row r="1480">
      <c r="A1480" s="3">
        <v>2421.0</v>
      </c>
      <c r="B1480" s="4">
        <v>45314.304768518516</v>
      </c>
      <c r="C1480" s="3" t="s">
        <v>3</v>
      </c>
    </row>
    <row r="1481">
      <c r="A1481" s="3">
        <v>4021.0</v>
      </c>
      <c r="B1481" s="4">
        <v>45314.3158912037</v>
      </c>
      <c r="C1481" s="3" t="s">
        <v>3</v>
      </c>
    </row>
    <row r="1482">
      <c r="A1482" s="3">
        <v>3407.0</v>
      </c>
      <c r="B1482" s="4">
        <v>45314.319375</v>
      </c>
      <c r="C1482" s="3" t="s">
        <v>4</v>
      </c>
    </row>
    <row r="1483">
      <c r="A1483" s="3">
        <v>4205.0</v>
      </c>
      <c r="B1483" s="4">
        <v>45314.3215162037</v>
      </c>
      <c r="C1483" s="3" t="s">
        <v>4</v>
      </c>
    </row>
    <row r="1484">
      <c r="A1484" s="3">
        <v>7653.0</v>
      </c>
      <c r="B1484" s="4">
        <v>45314.354479166665</v>
      </c>
      <c r="C1484" s="3" t="s">
        <v>3</v>
      </c>
    </row>
    <row r="1485">
      <c r="A1485" s="3">
        <v>4640.0</v>
      </c>
      <c r="B1485" s="4">
        <v>45314.36053240741</v>
      </c>
      <c r="C1485" s="3" t="s">
        <v>6</v>
      </c>
    </row>
    <row r="1486">
      <c r="A1486" s="3">
        <v>5770.0</v>
      </c>
      <c r="B1486" s="4">
        <v>45314.37259259259</v>
      </c>
      <c r="C1486" s="3" t="s">
        <v>5</v>
      </c>
    </row>
    <row r="1487">
      <c r="A1487" s="3">
        <v>753.0</v>
      </c>
      <c r="B1487" s="4">
        <v>45314.4997337963</v>
      </c>
      <c r="C1487" s="3" t="s">
        <v>7</v>
      </c>
    </row>
    <row r="1488">
      <c r="A1488" s="3">
        <v>1288.0</v>
      </c>
      <c r="B1488" s="4">
        <v>45314.52127314815</v>
      </c>
      <c r="C1488" s="3" t="s">
        <v>7</v>
      </c>
    </row>
    <row r="1489">
      <c r="A1489" s="3">
        <v>3407.0</v>
      </c>
      <c r="B1489" s="4">
        <v>45314.53119212963</v>
      </c>
      <c r="C1489" s="3" t="s">
        <v>5</v>
      </c>
    </row>
    <row r="1490">
      <c r="A1490" s="3">
        <v>7993.0</v>
      </c>
      <c r="B1490" s="4">
        <v>45314.53512731481</v>
      </c>
      <c r="C1490" s="3" t="s">
        <v>4</v>
      </c>
    </row>
    <row r="1491">
      <c r="A1491" s="3">
        <v>3393.0</v>
      </c>
      <c r="B1491" s="4">
        <v>45314.54760416667</v>
      </c>
      <c r="C1491" s="3" t="s">
        <v>6</v>
      </c>
    </row>
    <row r="1492">
      <c r="A1492" s="3">
        <v>4525.0</v>
      </c>
      <c r="B1492" s="4">
        <v>45314.584502314814</v>
      </c>
      <c r="C1492" s="3" t="s">
        <v>3</v>
      </c>
    </row>
    <row r="1493">
      <c r="A1493" s="3">
        <v>6528.0</v>
      </c>
      <c r="B1493" s="4">
        <v>45314.58513888889</v>
      </c>
      <c r="C1493" s="3" t="s">
        <v>6</v>
      </c>
    </row>
    <row r="1494">
      <c r="A1494" s="3">
        <v>6646.0</v>
      </c>
      <c r="B1494" s="4">
        <v>45314.603796296295</v>
      </c>
      <c r="C1494" s="3" t="s">
        <v>4</v>
      </c>
    </row>
    <row r="1495">
      <c r="A1495" s="3">
        <v>7803.0</v>
      </c>
      <c r="B1495" s="4">
        <v>45314.62351851852</v>
      </c>
      <c r="C1495" s="3" t="s">
        <v>4</v>
      </c>
    </row>
    <row r="1496">
      <c r="A1496" s="3">
        <v>7691.0</v>
      </c>
      <c r="B1496" s="4">
        <v>45314.66747685185</v>
      </c>
      <c r="C1496" s="3" t="s">
        <v>3</v>
      </c>
    </row>
    <row r="1497">
      <c r="A1497" s="3">
        <v>5533.0</v>
      </c>
      <c r="B1497" s="4">
        <v>45314.678449074076</v>
      </c>
      <c r="C1497" s="3" t="s">
        <v>3</v>
      </c>
    </row>
    <row r="1498">
      <c r="A1498" s="3">
        <v>7731.0</v>
      </c>
      <c r="B1498" s="4">
        <v>45314.69546296296</v>
      </c>
      <c r="C1498" s="3" t="s">
        <v>5</v>
      </c>
    </row>
    <row r="1499">
      <c r="A1499" s="3">
        <v>4605.0</v>
      </c>
      <c r="B1499" s="4">
        <v>45314.713472222225</v>
      </c>
      <c r="C1499" s="3" t="s">
        <v>7</v>
      </c>
    </row>
    <row r="1500">
      <c r="A1500" s="3">
        <v>2601.0</v>
      </c>
      <c r="B1500" s="4">
        <v>45314.715682870374</v>
      </c>
      <c r="C1500" s="3" t="s">
        <v>3</v>
      </c>
    </row>
    <row r="1501">
      <c r="A1501" s="3">
        <v>4141.0</v>
      </c>
      <c r="B1501" s="4">
        <v>45314.77019675926</v>
      </c>
      <c r="C1501" s="3" t="s">
        <v>3</v>
      </c>
    </row>
    <row r="1502">
      <c r="A1502" s="3">
        <v>6161.0</v>
      </c>
      <c r="B1502" s="4">
        <v>45314.77481481482</v>
      </c>
      <c r="C1502" s="3" t="s">
        <v>3</v>
      </c>
    </row>
    <row r="1503">
      <c r="A1503" s="3">
        <v>4680.0</v>
      </c>
      <c r="B1503" s="4">
        <v>45314.79105324074</v>
      </c>
      <c r="C1503" s="3" t="s">
        <v>7</v>
      </c>
    </row>
    <row r="1504">
      <c r="A1504" s="3">
        <v>6360.0</v>
      </c>
      <c r="B1504" s="4">
        <v>45314.81009259259</v>
      </c>
      <c r="C1504" s="3" t="s">
        <v>3</v>
      </c>
    </row>
    <row r="1505">
      <c r="A1505" s="3">
        <v>325.0</v>
      </c>
      <c r="B1505" s="4">
        <v>45314.820925925924</v>
      </c>
      <c r="C1505" s="3" t="s">
        <v>7</v>
      </c>
    </row>
    <row r="1506">
      <c r="A1506" s="3">
        <v>7731.0</v>
      </c>
      <c r="B1506" s="4">
        <v>45314.83863425926</v>
      </c>
      <c r="C1506" s="3" t="s">
        <v>3</v>
      </c>
    </row>
    <row r="1507">
      <c r="A1507" s="3">
        <v>3842.0</v>
      </c>
      <c r="B1507" s="4">
        <v>45314.85344907407</v>
      </c>
      <c r="C1507" s="3" t="s">
        <v>3</v>
      </c>
    </row>
    <row r="1508">
      <c r="A1508" s="3">
        <v>5051.0</v>
      </c>
      <c r="B1508" s="4">
        <v>45314.91738425926</v>
      </c>
      <c r="C1508" s="3" t="s">
        <v>7</v>
      </c>
    </row>
    <row r="1509">
      <c r="A1509" s="3">
        <v>7574.0</v>
      </c>
      <c r="B1509" s="4">
        <v>45314.92349537037</v>
      </c>
      <c r="C1509" s="3" t="s">
        <v>6</v>
      </c>
    </row>
    <row r="1510">
      <c r="A1510" s="3">
        <v>1288.0</v>
      </c>
      <c r="B1510" s="4">
        <v>45314.92506944444</v>
      </c>
      <c r="C1510" s="3" t="s">
        <v>4</v>
      </c>
    </row>
    <row r="1511">
      <c r="A1511" s="3">
        <v>2677.0</v>
      </c>
      <c r="B1511" s="4">
        <v>45314.92638888889</v>
      </c>
      <c r="C1511" s="3" t="s">
        <v>4</v>
      </c>
    </row>
    <row r="1512">
      <c r="A1512" s="3">
        <v>4605.0</v>
      </c>
      <c r="B1512" s="4">
        <v>45314.93451388889</v>
      </c>
      <c r="C1512" s="3" t="s">
        <v>4</v>
      </c>
    </row>
    <row r="1513">
      <c r="A1513" s="3">
        <v>7219.0</v>
      </c>
      <c r="B1513" s="4">
        <v>45314.93510416667</v>
      </c>
      <c r="C1513" s="3" t="s">
        <v>3</v>
      </c>
    </row>
    <row r="1514">
      <c r="A1514" s="3">
        <v>7367.0</v>
      </c>
      <c r="B1514" s="4">
        <v>45314.94516203704</v>
      </c>
      <c r="C1514" s="3" t="s">
        <v>3</v>
      </c>
    </row>
    <row r="1515">
      <c r="A1515" s="3">
        <v>2037.0</v>
      </c>
      <c r="B1515" s="4">
        <v>45314.946967592594</v>
      </c>
      <c r="C1515" s="3" t="s">
        <v>7</v>
      </c>
    </row>
    <row r="1516">
      <c r="A1516" s="3">
        <v>5924.0</v>
      </c>
      <c r="B1516" s="4">
        <v>45314.99140046296</v>
      </c>
      <c r="C1516" s="3" t="s">
        <v>7</v>
      </c>
    </row>
    <row r="1517">
      <c r="A1517" s="3">
        <v>7881.0</v>
      </c>
      <c r="B1517" s="4">
        <v>45315.02613425926</v>
      </c>
      <c r="C1517" s="3" t="s">
        <v>5</v>
      </c>
    </row>
    <row r="1518">
      <c r="A1518" s="3">
        <v>3007.0</v>
      </c>
      <c r="B1518" s="4">
        <v>45315.026666666665</v>
      </c>
      <c r="C1518" s="3" t="s">
        <v>3</v>
      </c>
    </row>
    <row r="1519">
      <c r="A1519" s="3">
        <v>316.0</v>
      </c>
      <c r="B1519" s="4">
        <v>45315.04121527778</v>
      </c>
      <c r="C1519" s="3" t="s">
        <v>7</v>
      </c>
    </row>
    <row r="1520">
      <c r="A1520" s="3">
        <v>981.0</v>
      </c>
      <c r="B1520" s="4">
        <v>45315.09484953704</v>
      </c>
      <c r="C1520" s="3" t="s">
        <v>3</v>
      </c>
    </row>
    <row r="1521">
      <c r="A1521" s="3">
        <v>7584.0</v>
      </c>
      <c r="B1521" s="4">
        <v>45315.10388888889</v>
      </c>
      <c r="C1521" s="3" t="s">
        <v>3</v>
      </c>
    </row>
    <row r="1522">
      <c r="A1522" s="3">
        <v>7219.0</v>
      </c>
      <c r="B1522" s="4">
        <v>45315.14506944444</v>
      </c>
      <c r="C1522" s="3" t="s">
        <v>4</v>
      </c>
    </row>
    <row r="1523">
      <c r="A1523" s="3">
        <v>1278.0</v>
      </c>
      <c r="B1523" s="4">
        <v>45315.158738425926</v>
      </c>
      <c r="C1523" s="3" t="s">
        <v>5</v>
      </c>
    </row>
    <row r="1524">
      <c r="A1524" s="3">
        <v>3689.0</v>
      </c>
      <c r="B1524" s="4">
        <v>45315.17637731481</v>
      </c>
      <c r="C1524" s="3" t="s">
        <v>3</v>
      </c>
    </row>
    <row r="1525">
      <c r="A1525" s="3">
        <v>5232.0</v>
      </c>
      <c r="B1525" s="4">
        <v>45315.2100462963</v>
      </c>
      <c r="C1525" s="3" t="s">
        <v>4</v>
      </c>
    </row>
    <row r="1526">
      <c r="A1526" s="3">
        <v>4140.0</v>
      </c>
      <c r="B1526" s="4">
        <v>45315.22635416667</v>
      </c>
      <c r="C1526" s="3" t="s">
        <v>3</v>
      </c>
    </row>
    <row r="1527">
      <c r="A1527" s="3">
        <v>3435.0</v>
      </c>
      <c r="B1527" s="4">
        <v>45315.231828703705</v>
      </c>
      <c r="C1527" s="3" t="s">
        <v>3</v>
      </c>
    </row>
    <row r="1528">
      <c r="A1528" s="3">
        <v>756.0</v>
      </c>
      <c r="B1528" s="4">
        <v>45315.25931712963</v>
      </c>
      <c r="C1528" s="3" t="s">
        <v>6</v>
      </c>
    </row>
    <row r="1529">
      <c r="A1529" s="3">
        <v>6218.0</v>
      </c>
      <c r="B1529" s="4">
        <v>45315.29670138889</v>
      </c>
      <c r="C1529" s="3" t="s">
        <v>7</v>
      </c>
    </row>
    <row r="1530">
      <c r="A1530" s="3">
        <v>7140.0</v>
      </c>
      <c r="B1530" s="4">
        <v>45315.29850694445</v>
      </c>
      <c r="C1530" s="3" t="s">
        <v>4</v>
      </c>
    </row>
    <row r="1531">
      <c r="A1531" s="3">
        <v>6126.0</v>
      </c>
      <c r="B1531" s="4">
        <v>45315.31837962963</v>
      </c>
      <c r="C1531" s="3" t="s">
        <v>4</v>
      </c>
    </row>
    <row r="1532">
      <c r="A1532" s="3">
        <v>6005.0</v>
      </c>
      <c r="B1532" s="4">
        <v>45315.342627314814</v>
      </c>
      <c r="C1532" s="3" t="s">
        <v>3</v>
      </c>
    </row>
    <row r="1533">
      <c r="A1533" s="3">
        <v>5935.0</v>
      </c>
      <c r="B1533" s="4">
        <v>45315.34737268519</v>
      </c>
      <c r="C1533" s="3" t="s">
        <v>6</v>
      </c>
    </row>
    <row r="1534">
      <c r="A1534" s="3">
        <v>1427.0</v>
      </c>
      <c r="B1534" s="4">
        <v>45315.348275462966</v>
      </c>
      <c r="C1534" s="3" t="s">
        <v>4</v>
      </c>
    </row>
    <row r="1535">
      <c r="A1535" s="3">
        <v>2601.0</v>
      </c>
      <c r="B1535" s="4">
        <v>45315.35561342593</v>
      </c>
      <c r="C1535" s="3" t="s">
        <v>4</v>
      </c>
    </row>
    <row r="1536">
      <c r="A1536" s="3">
        <v>3551.0</v>
      </c>
      <c r="B1536" s="4">
        <v>45315.36686342592</v>
      </c>
      <c r="C1536" s="3" t="s">
        <v>3</v>
      </c>
    </row>
    <row r="1537">
      <c r="A1537" s="3">
        <v>4571.0</v>
      </c>
      <c r="B1537" s="4">
        <v>45315.378530092596</v>
      </c>
      <c r="C1537" s="3" t="s">
        <v>7</v>
      </c>
    </row>
    <row r="1538">
      <c r="A1538" s="3">
        <v>4680.0</v>
      </c>
      <c r="B1538" s="4">
        <v>45315.40149305556</v>
      </c>
      <c r="C1538" s="3" t="s">
        <v>4</v>
      </c>
    </row>
    <row r="1539">
      <c r="A1539" s="3">
        <v>2404.0</v>
      </c>
      <c r="B1539" s="4">
        <v>45315.43498842593</v>
      </c>
      <c r="C1539" s="3" t="s">
        <v>3</v>
      </c>
    </row>
    <row r="1540">
      <c r="A1540" s="3">
        <v>4464.0</v>
      </c>
      <c r="B1540" s="4">
        <v>45315.44938657407</v>
      </c>
      <c r="C1540" s="3" t="s">
        <v>6</v>
      </c>
    </row>
    <row r="1541">
      <c r="A1541" s="3">
        <v>528.0</v>
      </c>
      <c r="B1541" s="4">
        <v>45315.45128472222</v>
      </c>
      <c r="C1541" s="3" t="s">
        <v>3</v>
      </c>
    </row>
    <row r="1542">
      <c r="A1542" s="3">
        <v>1345.0</v>
      </c>
      <c r="B1542" s="4">
        <v>45315.46525462963</v>
      </c>
      <c r="C1542" s="3" t="s">
        <v>3</v>
      </c>
    </row>
    <row r="1543">
      <c r="A1543" s="3">
        <v>5383.0</v>
      </c>
      <c r="B1543" s="4">
        <v>45315.46627314815</v>
      </c>
      <c r="C1543" s="3" t="s">
        <v>3</v>
      </c>
    </row>
    <row r="1544">
      <c r="A1544" s="3">
        <v>6990.0</v>
      </c>
      <c r="B1544" s="4">
        <v>45315.49282407408</v>
      </c>
      <c r="C1544" s="3" t="s">
        <v>3</v>
      </c>
    </row>
    <row r="1545">
      <c r="A1545" s="3">
        <v>6407.0</v>
      </c>
      <c r="B1545" s="4">
        <v>45315.530185185184</v>
      </c>
      <c r="C1545" s="3" t="s">
        <v>3</v>
      </c>
    </row>
    <row r="1546">
      <c r="A1546" s="3">
        <v>1288.0</v>
      </c>
      <c r="B1546" s="4">
        <v>45315.556666666664</v>
      </c>
      <c r="C1546" s="3" t="s">
        <v>6</v>
      </c>
    </row>
    <row r="1547">
      <c r="A1547" s="3">
        <v>5830.0</v>
      </c>
      <c r="B1547" s="4">
        <v>45315.57738425926</v>
      </c>
      <c r="C1547" s="3" t="s">
        <v>3</v>
      </c>
    </row>
    <row r="1548">
      <c r="A1548" s="3">
        <v>5533.0</v>
      </c>
      <c r="B1548" s="4">
        <v>45315.579189814816</v>
      </c>
      <c r="C1548" s="3" t="s">
        <v>4</v>
      </c>
    </row>
    <row r="1549">
      <c r="A1549" s="3">
        <v>5533.0</v>
      </c>
      <c r="B1549" s="4">
        <v>45315.59631944444</v>
      </c>
      <c r="C1549" s="3" t="s">
        <v>7</v>
      </c>
    </row>
    <row r="1550">
      <c r="A1550" s="3">
        <v>6188.0</v>
      </c>
      <c r="B1550" s="4">
        <v>45315.59716435185</v>
      </c>
      <c r="C1550" s="3" t="s">
        <v>3</v>
      </c>
    </row>
    <row r="1551">
      <c r="A1551" s="3">
        <v>3490.0</v>
      </c>
      <c r="B1551" s="4">
        <v>45315.628969907404</v>
      </c>
      <c r="C1551" s="3" t="s">
        <v>3</v>
      </c>
    </row>
    <row r="1552">
      <c r="A1552" s="3">
        <v>2460.0</v>
      </c>
      <c r="B1552" s="4">
        <v>45315.64854166667</v>
      </c>
      <c r="C1552" s="3" t="s">
        <v>4</v>
      </c>
    </row>
    <row r="1553">
      <c r="A1553" s="3">
        <v>2460.0</v>
      </c>
      <c r="B1553" s="4">
        <v>45315.64913194445</v>
      </c>
      <c r="C1553" s="3" t="s">
        <v>3</v>
      </c>
    </row>
    <row r="1554">
      <c r="A1554" s="3">
        <v>7098.0</v>
      </c>
      <c r="B1554" s="4">
        <v>45315.653391203705</v>
      </c>
      <c r="C1554" s="3" t="s">
        <v>6</v>
      </c>
    </row>
    <row r="1555">
      <c r="A1555" s="3">
        <v>3007.0</v>
      </c>
      <c r="B1555" s="4">
        <v>45315.658796296295</v>
      </c>
      <c r="C1555" s="3" t="s">
        <v>5</v>
      </c>
    </row>
    <row r="1556">
      <c r="A1556" s="3">
        <v>5232.0</v>
      </c>
      <c r="B1556" s="4">
        <v>45315.66295138889</v>
      </c>
      <c r="C1556" s="3" t="s">
        <v>3</v>
      </c>
    </row>
    <row r="1557">
      <c r="A1557" s="3">
        <v>5260.0</v>
      </c>
      <c r="B1557" s="4">
        <v>45315.670069444444</v>
      </c>
      <c r="C1557" s="3" t="s">
        <v>3</v>
      </c>
    </row>
    <row r="1558">
      <c r="A1558" s="3">
        <v>559.0</v>
      </c>
      <c r="B1558" s="4">
        <v>45315.69519675926</v>
      </c>
      <c r="C1558" s="3" t="s">
        <v>3</v>
      </c>
    </row>
    <row r="1559">
      <c r="A1559" s="3">
        <v>3407.0</v>
      </c>
      <c r="B1559" s="4">
        <v>45315.69681712963</v>
      </c>
      <c r="C1559" s="3" t="s">
        <v>7</v>
      </c>
    </row>
    <row r="1560">
      <c r="A1560" s="3">
        <v>5444.0</v>
      </c>
      <c r="B1560" s="4">
        <v>45315.72688657408</v>
      </c>
      <c r="C1560" s="3" t="s">
        <v>3</v>
      </c>
    </row>
    <row r="1561">
      <c r="A1561" s="3">
        <v>7881.0</v>
      </c>
      <c r="B1561" s="4">
        <v>45315.73059027778</v>
      </c>
      <c r="C1561" s="3" t="s">
        <v>6</v>
      </c>
    </row>
    <row r="1562">
      <c r="A1562" s="3">
        <v>1303.0</v>
      </c>
      <c r="B1562" s="4">
        <v>45315.75267361111</v>
      </c>
      <c r="C1562" s="3" t="s">
        <v>3</v>
      </c>
    </row>
    <row r="1563">
      <c r="A1563" s="3">
        <v>316.0</v>
      </c>
      <c r="B1563" s="4">
        <v>45315.75398148148</v>
      </c>
      <c r="C1563" s="3" t="s">
        <v>6</v>
      </c>
    </row>
    <row r="1564">
      <c r="A1564" s="3">
        <v>6189.0</v>
      </c>
      <c r="B1564" s="4">
        <v>45315.760925925926</v>
      </c>
      <c r="C1564" s="3" t="s">
        <v>6</v>
      </c>
    </row>
    <row r="1565">
      <c r="A1565" s="3">
        <v>4140.0</v>
      </c>
      <c r="B1565" s="4">
        <v>45315.76881944444</v>
      </c>
      <c r="C1565" s="3" t="s">
        <v>4</v>
      </c>
    </row>
    <row r="1566">
      <c r="A1566" s="3">
        <v>1513.0</v>
      </c>
      <c r="B1566" s="4">
        <v>45315.775</v>
      </c>
      <c r="C1566" s="3" t="s">
        <v>3</v>
      </c>
    </row>
    <row r="1567">
      <c r="A1567" s="3">
        <v>3117.0</v>
      </c>
      <c r="B1567" s="4">
        <v>45315.80902777778</v>
      </c>
      <c r="C1567" s="3" t="s">
        <v>3</v>
      </c>
    </row>
    <row r="1568">
      <c r="A1568" s="3">
        <v>5196.0</v>
      </c>
      <c r="B1568" s="4">
        <v>45315.81358796296</v>
      </c>
      <c r="C1568" s="3" t="s">
        <v>3</v>
      </c>
    </row>
    <row r="1569">
      <c r="A1569" s="3">
        <v>7031.0</v>
      </c>
      <c r="B1569" s="4">
        <v>45315.815474537034</v>
      </c>
      <c r="C1569" s="3" t="s">
        <v>3</v>
      </c>
    </row>
    <row r="1570">
      <c r="A1570" s="3">
        <v>2421.0</v>
      </c>
      <c r="B1570" s="4">
        <v>45315.822118055556</v>
      </c>
      <c r="C1570" s="3" t="s">
        <v>4</v>
      </c>
    </row>
    <row r="1571">
      <c r="A1571" s="3">
        <v>5323.0</v>
      </c>
      <c r="B1571" s="4">
        <v>45315.82519675926</v>
      </c>
      <c r="C1571" s="3" t="s">
        <v>6</v>
      </c>
    </row>
    <row r="1572">
      <c r="A1572" s="3">
        <v>4158.0</v>
      </c>
      <c r="B1572" s="4">
        <v>45315.838275462964</v>
      </c>
      <c r="C1572" s="3" t="s">
        <v>5</v>
      </c>
    </row>
    <row r="1573">
      <c r="A1573" s="3">
        <v>3442.0</v>
      </c>
      <c r="B1573" s="4">
        <v>45315.84001157407</v>
      </c>
      <c r="C1573" s="3" t="s">
        <v>6</v>
      </c>
    </row>
    <row r="1574">
      <c r="A1574" s="3">
        <v>6716.0</v>
      </c>
      <c r="B1574" s="4">
        <v>45315.85979166667</v>
      </c>
      <c r="C1574" s="3" t="s">
        <v>7</v>
      </c>
    </row>
    <row r="1575">
      <c r="A1575" s="3">
        <v>4447.0</v>
      </c>
      <c r="B1575" s="4">
        <v>45315.866585648146</v>
      </c>
      <c r="C1575" s="3" t="s">
        <v>4</v>
      </c>
    </row>
    <row r="1576">
      <c r="A1576" s="3">
        <v>981.0</v>
      </c>
      <c r="B1576" s="4">
        <v>45315.90011574074</v>
      </c>
      <c r="C1576" s="3" t="s">
        <v>4</v>
      </c>
    </row>
    <row r="1577">
      <c r="A1577" s="3">
        <v>2550.0</v>
      </c>
      <c r="B1577" s="4">
        <v>45315.91364583333</v>
      </c>
      <c r="C1577" s="3" t="s">
        <v>7</v>
      </c>
    </row>
    <row r="1578">
      <c r="A1578" s="3">
        <v>2472.0</v>
      </c>
      <c r="B1578" s="4">
        <v>45315.91994212963</v>
      </c>
      <c r="C1578" s="3" t="s">
        <v>6</v>
      </c>
    </row>
    <row r="1579">
      <c r="A1579" s="3">
        <v>787.0</v>
      </c>
      <c r="B1579" s="4">
        <v>45315.930231481485</v>
      </c>
      <c r="C1579" s="3" t="s">
        <v>3</v>
      </c>
    </row>
    <row r="1580">
      <c r="A1580" s="3">
        <v>3689.0</v>
      </c>
      <c r="B1580" s="4">
        <v>45315.935219907406</v>
      </c>
      <c r="C1580" s="3" t="s">
        <v>4</v>
      </c>
    </row>
    <row r="1581">
      <c r="A1581" s="3">
        <v>1282.0</v>
      </c>
      <c r="B1581" s="4">
        <v>45315.992256944446</v>
      </c>
      <c r="C1581" s="3" t="s">
        <v>6</v>
      </c>
    </row>
    <row r="1582">
      <c r="A1582" s="3">
        <v>849.0</v>
      </c>
      <c r="B1582" s="4">
        <v>45315.99454861111</v>
      </c>
      <c r="C1582" s="3" t="s">
        <v>3</v>
      </c>
    </row>
    <row r="1583">
      <c r="A1583" s="3">
        <v>5384.0</v>
      </c>
      <c r="B1583" s="4">
        <v>45316.00148148148</v>
      </c>
      <c r="C1583" s="3" t="s">
        <v>3</v>
      </c>
    </row>
    <row r="1584">
      <c r="A1584" s="3">
        <v>2677.0</v>
      </c>
      <c r="B1584" s="4">
        <v>45316.01115740741</v>
      </c>
      <c r="C1584" s="3" t="s">
        <v>6</v>
      </c>
    </row>
    <row r="1585">
      <c r="A1585" s="3">
        <v>5196.0</v>
      </c>
      <c r="B1585" s="4">
        <v>45316.02255787037</v>
      </c>
      <c r="C1585" s="3" t="s">
        <v>6</v>
      </c>
    </row>
    <row r="1586">
      <c r="A1586" s="3">
        <v>3493.0</v>
      </c>
      <c r="B1586" s="4">
        <v>45316.027094907404</v>
      </c>
      <c r="C1586" s="3" t="s">
        <v>3</v>
      </c>
    </row>
    <row r="1587">
      <c r="A1587" s="3">
        <v>2267.0</v>
      </c>
      <c r="B1587" s="4">
        <v>45316.02993055555</v>
      </c>
      <c r="C1587" s="3" t="s">
        <v>7</v>
      </c>
    </row>
    <row r="1588">
      <c r="A1588" s="3">
        <v>1375.0</v>
      </c>
      <c r="B1588" s="4">
        <v>45316.03381944444</v>
      </c>
      <c r="C1588" s="3" t="s">
        <v>5</v>
      </c>
    </row>
    <row r="1589">
      <c r="A1589" s="3">
        <v>4605.0</v>
      </c>
      <c r="B1589" s="4">
        <v>45316.03440972222</v>
      </c>
      <c r="C1589" s="3" t="s">
        <v>5</v>
      </c>
    </row>
    <row r="1590">
      <c r="A1590" s="3">
        <v>5275.0</v>
      </c>
      <c r="B1590" s="4">
        <v>45316.062256944446</v>
      </c>
      <c r="C1590" s="3" t="s">
        <v>3</v>
      </c>
    </row>
    <row r="1591">
      <c r="A1591" s="3">
        <v>4158.0</v>
      </c>
      <c r="B1591" s="4">
        <v>45316.07443287037</v>
      </c>
      <c r="C1591" s="3" t="s">
        <v>6</v>
      </c>
    </row>
    <row r="1592">
      <c r="A1592" s="3">
        <v>7031.0</v>
      </c>
      <c r="B1592" s="4">
        <v>45316.08331018518</v>
      </c>
      <c r="C1592" s="3" t="s">
        <v>5</v>
      </c>
    </row>
    <row r="1593">
      <c r="A1593" s="3">
        <v>2663.0</v>
      </c>
      <c r="B1593" s="4">
        <v>45316.10901620371</v>
      </c>
      <c r="C1593" s="3" t="s">
        <v>6</v>
      </c>
    </row>
    <row r="1594">
      <c r="A1594" s="3">
        <v>4553.0</v>
      </c>
      <c r="B1594" s="4">
        <v>45316.11306712963</v>
      </c>
      <c r="C1594" s="3" t="s">
        <v>5</v>
      </c>
    </row>
    <row r="1595">
      <c r="A1595" s="3">
        <v>6873.0</v>
      </c>
      <c r="B1595" s="4">
        <v>45316.119467592594</v>
      </c>
      <c r="C1595" s="3" t="s">
        <v>4</v>
      </c>
    </row>
    <row r="1596">
      <c r="A1596" s="3">
        <v>2484.0</v>
      </c>
      <c r="B1596" s="4">
        <v>45316.140555555554</v>
      </c>
      <c r="C1596" s="3" t="s">
        <v>4</v>
      </c>
    </row>
    <row r="1597">
      <c r="A1597" s="3">
        <v>1864.0</v>
      </c>
      <c r="B1597" s="4">
        <v>45316.14974537037</v>
      </c>
      <c r="C1597" s="3" t="s">
        <v>4</v>
      </c>
    </row>
    <row r="1598">
      <c r="A1598" s="3">
        <v>2249.0</v>
      </c>
      <c r="B1598" s="4">
        <v>45316.163148148145</v>
      </c>
      <c r="C1598" s="3" t="s">
        <v>3</v>
      </c>
    </row>
    <row r="1599">
      <c r="A1599" s="3">
        <v>5232.0</v>
      </c>
      <c r="B1599" s="4">
        <v>45316.17364583333</v>
      </c>
      <c r="C1599" s="3" t="s">
        <v>5</v>
      </c>
    </row>
    <row r="1600">
      <c r="A1600" s="3">
        <v>6216.0</v>
      </c>
      <c r="B1600" s="4">
        <v>45316.197233796294</v>
      </c>
      <c r="C1600" s="3" t="s">
        <v>3</v>
      </c>
    </row>
    <row r="1601">
      <c r="A1601" s="3">
        <v>4141.0</v>
      </c>
      <c r="B1601" s="4">
        <v>45316.19966435185</v>
      </c>
      <c r="C1601" s="3" t="s">
        <v>4</v>
      </c>
    </row>
    <row r="1602">
      <c r="A1602" s="3">
        <v>4141.0</v>
      </c>
      <c r="B1602" s="4">
        <v>45316.217824074076</v>
      </c>
      <c r="C1602" s="3" t="s">
        <v>6</v>
      </c>
    </row>
    <row r="1603">
      <c r="A1603" s="3">
        <v>1699.0</v>
      </c>
      <c r="B1603" s="4">
        <v>45316.22388888889</v>
      </c>
      <c r="C1603" s="3" t="s">
        <v>3</v>
      </c>
    </row>
    <row r="1604">
      <c r="A1604" s="3">
        <v>7092.0</v>
      </c>
      <c r="B1604" s="4">
        <v>45316.239699074074</v>
      </c>
      <c r="C1604" s="3" t="s">
        <v>3</v>
      </c>
    </row>
    <row r="1605">
      <c r="A1605" s="3">
        <v>7250.0</v>
      </c>
      <c r="B1605" s="4">
        <v>45316.31851851852</v>
      </c>
      <c r="C1605" s="3" t="s">
        <v>6</v>
      </c>
    </row>
    <row r="1606">
      <c r="A1606" s="3">
        <v>1043.0</v>
      </c>
      <c r="B1606" s="4">
        <v>45316.325949074075</v>
      </c>
      <c r="C1606" s="3" t="s">
        <v>6</v>
      </c>
    </row>
    <row r="1607">
      <c r="A1607" s="3">
        <v>6619.0</v>
      </c>
      <c r="B1607" s="4">
        <v>45316.32790509259</v>
      </c>
      <c r="C1607" s="3" t="s">
        <v>3</v>
      </c>
    </row>
    <row r="1608">
      <c r="A1608" s="3">
        <v>6873.0</v>
      </c>
      <c r="B1608" s="4">
        <v>45316.33614583333</v>
      </c>
      <c r="C1608" s="3" t="s">
        <v>3</v>
      </c>
    </row>
    <row r="1609">
      <c r="A1609" s="3">
        <v>1176.0</v>
      </c>
      <c r="B1609" s="4">
        <v>45316.37461805555</v>
      </c>
      <c r="C1609" s="3" t="s">
        <v>3</v>
      </c>
    </row>
    <row r="1610">
      <c r="A1610" s="3">
        <v>6873.0</v>
      </c>
      <c r="B1610" s="4">
        <v>45316.37596064815</v>
      </c>
      <c r="C1610" s="3" t="s">
        <v>5</v>
      </c>
    </row>
    <row r="1611">
      <c r="A1611" s="3">
        <v>3452.0</v>
      </c>
      <c r="B1611" s="4">
        <v>45316.45202546296</v>
      </c>
      <c r="C1611" s="3" t="s">
        <v>3</v>
      </c>
    </row>
    <row r="1612">
      <c r="A1612" s="3">
        <v>6702.0</v>
      </c>
      <c r="B1612" s="4">
        <v>45316.45578703703</v>
      </c>
      <c r="C1612" s="3" t="s">
        <v>3</v>
      </c>
    </row>
    <row r="1613">
      <c r="A1613" s="3">
        <v>7580.0</v>
      </c>
      <c r="B1613" s="4">
        <v>45316.4737962963</v>
      </c>
      <c r="C1613" s="3" t="s">
        <v>3</v>
      </c>
    </row>
    <row r="1614">
      <c r="A1614" s="3">
        <v>5770.0</v>
      </c>
      <c r="B1614" s="4">
        <v>45316.48784722222</v>
      </c>
      <c r="C1614" s="3" t="s">
        <v>7</v>
      </c>
    </row>
    <row r="1615">
      <c r="A1615" s="3">
        <v>6990.0</v>
      </c>
      <c r="B1615" s="4">
        <v>45316.49353009259</v>
      </c>
      <c r="C1615" s="3" t="s">
        <v>7</v>
      </c>
    </row>
    <row r="1616">
      <c r="A1616" s="3">
        <v>4553.0</v>
      </c>
      <c r="B1616" s="4">
        <v>45316.497662037036</v>
      </c>
      <c r="C1616" s="3" t="s">
        <v>3</v>
      </c>
    </row>
    <row r="1617">
      <c r="A1617" s="3">
        <v>7955.0</v>
      </c>
      <c r="B1617" s="4">
        <v>45316.52811342593</v>
      </c>
      <c r="C1617" s="3" t="s">
        <v>7</v>
      </c>
    </row>
    <row r="1618">
      <c r="A1618" s="3">
        <v>4728.0</v>
      </c>
      <c r="B1618" s="4">
        <v>45316.53240740741</v>
      </c>
      <c r="C1618" s="3" t="s">
        <v>6</v>
      </c>
    </row>
    <row r="1619">
      <c r="A1619" s="3">
        <v>4447.0</v>
      </c>
      <c r="B1619" s="4">
        <v>45316.555497685185</v>
      </c>
      <c r="C1619" s="3" t="s">
        <v>5</v>
      </c>
    </row>
    <row r="1620">
      <c r="A1620" s="3">
        <v>2067.0</v>
      </c>
      <c r="B1620" s="4">
        <v>45316.56600694444</v>
      </c>
      <c r="C1620" s="3" t="s">
        <v>3</v>
      </c>
    </row>
    <row r="1621">
      <c r="A1621" s="3">
        <v>6990.0</v>
      </c>
      <c r="B1621" s="4">
        <v>45316.56725694444</v>
      </c>
      <c r="C1621" s="3" t="s">
        <v>5</v>
      </c>
    </row>
    <row r="1622">
      <c r="A1622" s="3">
        <v>2581.0</v>
      </c>
      <c r="B1622" s="4">
        <v>45316.586226851854</v>
      </c>
      <c r="C1622" s="3" t="s">
        <v>3</v>
      </c>
    </row>
    <row r="1623">
      <c r="A1623" s="3">
        <v>6619.0</v>
      </c>
      <c r="B1623" s="4">
        <v>45316.600590277776</v>
      </c>
      <c r="C1623" s="3" t="s">
        <v>4</v>
      </c>
    </row>
    <row r="1624">
      <c r="A1624" s="3">
        <v>1375.0</v>
      </c>
      <c r="B1624" s="4">
        <v>45316.62038194444</v>
      </c>
      <c r="C1624" s="3" t="s">
        <v>7</v>
      </c>
    </row>
    <row r="1625">
      <c r="A1625" s="3">
        <v>2989.0</v>
      </c>
      <c r="B1625" s="4">
        <v>45316.621516203704</v>
      </c>
      <c r="C1625" s="3" t="s">
        <v>5</v>
      </c>
    </row>
    <row r="1626">
      <c r="A1626" s="3">
        <v>757.0</v>
      </c>
      <c r="B1626" s="4">
        <v>45316.66135416667</v>
      </c>
      <c r="C1626" s="3" t="s">
        <v>3</v>
      </c>
    </row>
    <row r="1627">
      <c r="A1627" s="3">
        <v>4951.0</v>
      </c>
      <c r="B1627" s="4">
        <v>45316.67074074074</v>
      </c>
      <c r="C1627" s="3" t="s">
        <v>5</v>
      </c>
    </row>
    <row r="1628">
      <c r="A1628" s="3">
        <v>6639.0</v>
      </c>
      <c r="B1628" s="4">
        <v>45316.67481481482</v>
      </c>
      <c r="C1628" s="3" t="s">
        <v>3</v>
      </c>
    </row>
    <row r="1629">
      <c r="A1629" s="3">
        <v>4915.0</v>
      </c>
      <c r="B1629" s="4">
        <v>45316.69415509259</v>
      </c>
      <c r="C1629" s="3" t="s">
        <v>3</v>
      </c>
    </row>
    <row r="1630">
      <c r="A1630" s="3">
        <v>4680.0</v>
      </c>
      <c r="B1630" s="4">
        <v>45316.70170138889</v>
      </c>
      <c r="C1630" s="3" t="s">
        <v>6</v>
      </c>
    </row>
    <row r="1631">
      <c r="A1631" s="3">
        <v>4508.0</v>
      </c>
      <c r="B1631" s="4">
        <v>45316.70815972222</v>
      </c>
      <c r="C1631" s="3" t="s">
        <v>3</v>
      </c>
    </row>
    <row r="1632">
      <c r="A1632" s="3">
        <v>1513.0</v>
      </c>
      <c r="B1632" s="4">
        <v>45316.736805555556</v>
      </c>
      <c r="C1632" s="3" t="s">
        <v>4</v>
      </c>
    </row>
    <row r="1633">
      <c r="A1633" s="3">
        <v>695.0</v>
      </c>
      <c r="B1633" s="4">
        <v>45316.812523148146</v>
      </c>
      <c r="C1633" s="3" t="s">
        <v>6</v>
      </c>
    </row>
    <row r="1634">
      <c r="A1634" s="3">
        <v>5724.0</v>
      </c>
      <c r="B1634" s="4">
        <v>45316.821539351855</v>
      </c>
      <c r="C1634" s="3" t="s">
        <v>3</v>
      </c>
    </row>
    <row r="1635">
      <c r="A1635" s="3">
        <v>1303.0</v>
      </c>
      <c r="B1635" s="4">
        <v>45316.82678240741</v>
      </c>
      <c r="C1635" s="3" t="s">
        <v>7</v>
      </c>
    </row>
    <row r="1636">
      <c r="A1636" s="3">
        <v>4571.0</v>
      </c>
      <c r="B1636" s="4">
        <v>45316.83431712963</v>
      </c>
      <c r="C1636" s="3" t="s">
        <v>6</v>
      </c>
    </row>
    <row r="1637">
      <c r="A1637" s="3">
        <v>2727.0</v>
      </c>
      <c r="B1637" s="4">
        <v>45316.8494212963</v>
      </c>
      <c r="C1637" s="3" t="s">
        <v>3</v>
      </c>
    </row>
    <row r="1638">
      <c r="A1638" s="3">
        <v>7031.0</v>
      </c>
      <c r="B1638" s="4">
        <v>45316.84997685185</v>
      </c>
      <c r="C1638" s="3" t="s">
        <v>4</v>
      </c>
    </row>
    <row r="1639">
      <c r="A1639" s="3">
        <v>2421.0</v>
      </c>
      <c r="B1639" s="4">
        <v>45316.866643518515</v>
      </c>
      <c r="C1639" s="3" t="s">
        <v>5</v>
      </c>
    </row>
    <row r="1640">
      <c r="A1640" s="3">
        <v>4553.0</v>
      </c>
      <c r="B1640" s="4">
        <v>45316.86975694444</v>
      </c>
      <c r="C1640" s="3" t="s">
        <v>4</v>
      </c>
    </row>
    <row r="1641">
      <c r="A1641" s="3">
        <v>2016.0</v>
      </c>
      <c r="B1641" s="4">
        <v>45316.87388888889</v>
      </c>
      <c r="C1641" s="3" t="s">
        <v>3</v>
      </c>
    </row>
    <row r="1642">
      <c r="A1642" s="3">
        <v>2989.0</v>
      </c>
      <c r="B1642" s="4">
        <v>45316.888020833336</v>
      </c>
      <c r="C1642" s="3" t="s">
        <v>6</v>
      </c>
    </row>
    <row r="1643">
      <c r="A1643" s="3">
        <v>1288.0</v>
      </c>
      <c r="B1643" s="4">
        <v>45316.88873842593</v>
      </c>
      <c r="C1643" s="3" t="s">
        <v>5</v>
      </c>
    </row>
    <row r="1644">
      <c r="A1644" s="3">
        <v>4037.0</v>
      </c>
      <c r="B1644" s="4">
        <v>45316.90261574074</v>
      </c>
      <c r="C1644" s="3" t="s">
        <v>4</v>
      </c>
    </row>
    <row r="1645">
      <c r="A1645" s="3">
        <v>3493.0</v>
      </c>
      <c r="B1645" s="4">
        <v>45316.903599537036</v>
      </c>
      <c r="C1645" s="3" t="s">
        <v>4</v>
      </c>
    </row>
    <row r="1646">
      <c r="A1646" s="3">
        <v>824.0</v>
      </c>
      <c r="B1646" s="4">
        <v>45316.908171296294</v>
      </c>
      <c r="C1646" s="3" t="s">
        <v>3</v>
      </c>
    </row>
    <row r="1647">
      <c r="A1647" s="3">
        <v>787.0</v>
      </c>
      <c r="B1647" s="4">
        <v>45316.921631944446</v>
      </c>
      <c r="C1647" s="3" t="s">
        <v>4</v>
      </c>
    </row>
    <row r="1648">
      <c r="A1648" s="3">
        <v>3551.0</v>
      </c>
      <c r="B1648" s="4">
        <v>45316.92576388889</v>
      </c>
      <c r="C1648" s="3" t="s">
        <v>4</v>
      </c>
    </row>
    <row r="1649">
      <c r="A1649" s="3">
        <v>4315.0</v>
      </c>
      <c r="B1649" s="4">
        <v>45316.958715277775</v>
      </c>
      <c r="C1649" s="3" t="s">
        <v>3</v>
      </c>
    </row>
    <row r="1650">
      <c r="A1650" s="3">
        <v>6227.0</v>
      </c>
      <c r="B1650" s="4">
        <v>45316.99458333333</v>
      </c>
      <c r="C1650" s="3" t="s">
        <v>3</v>
      </c>
    </row>
    <row r="1651">
      <c r="A1651" s="3">
        <v>5770.0</v>
      </c>
      <c r="B1651" s="4">
        <v>45317.01332175926</v>
      </c>
      <c r="C1651" s="3" t="s">
        <v>6</v>
      </c>
    </row>
    <row r="1652">
      <c r="A1652" s="3">
        <v>5134.0</v>
      </c>
      <c r="B1652" s="4">
        <v>45317.014398148145</v>
      </c>
      <c r="C1652" s="3" t="s">
        <v>5</v>
      </c>
    </row>
    <row r="1653">
      <c r="A1653" s="3">
        <v>3864.0</v>
      </c>
      <c r="B1653" s="4">
        <v>45317.046168981484</v>
      </c>
      <c r="C1653" s="3" t="s">
        <v>3</v>
      </c>
    </row>
    <row r="1654">
      <c r="A1654" s="3">
        <v>6756.0</v>
      </c>
      <c r="B1654" s="4">
        <v>45317.052511574075</v>
      </c>
      <c r="C1654" s="3" t="s">
        <v>3</v>
      </c>
    </row>
    <row r="1655">
      <c r="A1655" s="3">
        <v>6833.0</v>
      </c>
      <c r="B1655" s="4">
        <v>45317.09105324074</v>
      </c>
      <c r="C1655" s="3" t="s">
        <v>3</v>
      </c>
    </row>
    <row r="1656">
      <c r="A1656" s="3">
        <v>5830.0</v>
      </c>
      <c r="B1656" s="4">
        <v>45317.11896990741</v>
      </c>
      <c r="C1656" s="3" t="s">
        <v>4</v>
      </c>
    </row>
    <row r="1657">
      <c r="A1657" s="3">
        <v>7473.0</v>
      </c>
      <c r="B1657" s="4">
        <v>45317.12111111111</v>
      </c>
      <c r="C1657" s="3" t="s">
        <v>6</v>
      </c>
    </row>
    <row r="1658">
      <c r="A1658" s="3">
        <v>4141.0</v>
      </c>
      <c r="B1658" s="4">
        <v>45317.147199074076</v>
      </c>
      <c r="C1658" s="3" t="s">
        <v>5</v>
      </c>
    </row>
    <row r="1659">
      <c r="A1659" s="3">
        <v>2727.0</v>
      </c>
      <c r="B1659" s="4">
        <v>45317.150405092594</v>
      </c>
      <c r="C1659" s="3" t="s">
        <v>4</v>
      </c>
    </row>
    <row r="1660">
      <c r="A1660" s="3">
        <v>732.0</v>
      </c>
      <c r="B1660" s="4">
        <v>45317.15589120371</v>
      </c>
      <c r="C1660" s="3" t="s">
        <v>3</v>
      </c>
    </row>
    <row r="1661">
      <c r="A1661" s="3">
        <v>6456.0</v>
      </c>
      <c r="B1661" s="4">
        <v>45317.181284722225</v>
      </c>
      <c r="C1661" s="3" t="s">
        <v>3</v>
      </c>
    </row>
    <row r="1662">
      <c r="A1662" s="3">
        <v>753.0</v>
      </c>
      <c r="B1662" s="4">
        <v>45317.18645833333</v>
      </c>
      <c r="C1662" s="3" t="s">
        <v>6</v>
      </c>
    </row>
    <row r="1663">
      <c r="A1663" s="3">
        <v>6640.0</v>
      </c>
      <c r="B1663" s="4">
        <v>45317.2491087963</v>
      </c>
      <c r="C1663" s="3" t="s">
        <v>3</v>
      </c>
    </row>
    <row r="1664">
      <c r="A1664" s="3">
        <v>6216.0</v>
      </c>
      <c r="B1664" s="4">
        <v>45317.251909722225</v>
      </c>
      <c r="C1664" s="3" t="s">
        <v>4</v>
      </c>
    </row>
    <row r="1665">
      <c r="A1665" s="3">
        <v>4447.0</v>
      </c>
      <c r="B1665" s="4">
        <v>45317.253125</v>
      </c>
      <c r="C1665" s="3" t="s">
        <v>6</v>
      </c>
    </row>
    <row r="1666">
      <c r="A1666" s="3">
        <v>1784.0</v>
      </c>
      <c r="B1666" s="4">
        <v>45317.269212962965</v>
      </c>
      <c r="C1666" s="3" t="s">
        <v>6</v>
      </c>
    </row>
    <row r="1667">
      <c r="A1667" s="3">
        <v>1465.0</v>
      </c>
      <c r="B1667" s="4">
        <v>45317.27332175926</v>
      </c>
      <c r="C1667" s="3" t="s">
        <v>3</v>
      </c>
    </row>
    <row r="1668">
      <c r="A1668" s="3">
        <v>6283.0</v>
      </c>
      <c r="B1668" s="4">
        <v>45317.282743055555</v>
      </c>
      <c r="C1668" s="3" t="s">
        <v>5</v>
      </c>
    </row>
    <row r="1669">
      <c r="A1669" s="3">
        <v>1663.0</v>
      </c>
      <c r="B1669" s="4">
        <v>45317.29460648148</v>
      </c>
      <c r="C1669" s="3" t="s">
        <v>3</v>
      </c>
    </row>
    <row r="1670">
      <c r="A1670" s="3">
        <v>2243.0</v>
      </c>
      <c r="B1670" s="4">
        <v>45317.301875</v>
      </c>
      <c r="C1670" s="3" t="s">
        <v>3</v>
      </c>
    </row>
    <row r="1671">
      <c r="A1671" s="3">
        <v>1057.0</v>
      </c>
      <c r="B1671" s="4">
        <v>45317.331967592596</v>
      </c>
      <c r="C1671" s="3" t="s">
        <v>3</v>
      </c>
    </row>
    <row r="1672">
      <c r="A1672" s="3">
        <v>1303.0</v>
      </c>
      <c r="B1672" s="4">
        <v>45317.33534722222</v>
      </c>
      <c r="C1672" s="3" t="s">
        <v>4</v>
      </c>
    </row>
    <row r="1673">
      <c r="A1673" s="3">
        <v>2914.0</v>
      </c>
      <c r="B1673" s="4">
        <v>45317.3365625</v>
      </c>
      <c r="C1673" s="3" t="s">
        <v>6</v>
      </c>
    </row>
    <row r="1674">
      <c r="A1674" s="3">
        <v>7488.0</v>
      </c>
      <c r="B1674" s="4">
        <v>45317.37907407407</v>
      </c>
      <c r="C1674" s="3" t="s">
        <v>3</v>
      </c>
    </row>
    <row r="1675">
      <c r="A1675" s="3">
        <v>2301.0</v>
      </c>
      <c r="B1675" s="4">
        <v>45317.39356481482</v>
      </c>
      <c r="C1675" s="3" t="s">
        <v>3</v>
      </c>
    </row>
    <row r="1676">
      <c r="A1676" s="3">
        <v>1420.0</v>
      </c>
      <c r="B1676" s="4">
        <v>45317.394791666666</v>
      </c>
      <c r="C1676" s="3" t="s">
        <v>6</v>
      </c>
    </row>
    <row r="1677">
      <c r="A1677" s="3">
        <v>1427.0</v>
      </c>
      <c r="B1677" s="4">
        <v>45317.41123842593</v>
      </c>
      <c r="C1677" s="3" t="s">
        <v>6</v>
      </c>
    </row>
    <row r="1678">
      <c r="A1678" s="3">
        <v>3435.0</v>
      </c>
      <c r="B1678" s="4">
        <v>45317.44119212963</v>
      </c>
      <c r="C1678" s="3" t="s">
        <v>4</v>
      </c>
    </row>
    <row r="1679">
      <c r="A1679" s="3">
        <v>6756.0</v>
      </c>
      <c r="B1679" s="4">
        <v>45317.45178240741</v>
      </c>
      <c r="C1679" s="3" t="s">
        <v>4</v>
      </c>
    </row>
    <row r="1680">
      <c r="A1680" s="3">
        <v>1278.0</v>
      </c>
      <c r="B1680" s="4">
        <v>45317.46008101852</v>
      </c>
      <c r="C1680" s="3" t="s">
        <v>7</v>
      </c>
    </row>
    <row r="1681">
      <c r="A1681" s="3">
        <v>348.0</v>
      </c>
      <c r="B1681" s="4">
        <v>45317.46202546296</v>
      </c>
      <c r="C1681" s="3" t="s">
        <v>3</v>
      </c>
    </row>
    <row r="1682">
      <c r="A1682" s="3">
        <v>1345.0</v>
      </c>
      <c r="B1682" s="4">
        <v>45317.47083333333</v>
      </c>
      <c r="C1682" s="3" t="s">
        <v>4</v>
      </c>
    </row>
    <row r="1683">
      <c r="A1683" s="3">
        <v>435.0</v>
      </c>
      <c r="B1683" s="4">
        <v>45317.498391203706</v>
      </c>
      <c r="C1683" s="3" t="s">
        <v>3</v>
      </c>
    </row>
    <row r="1684">
      <c r="A1684" s="3">
        <v>5562.0</v>
      </c>
      <c r="B1684" s="4">
        <v>45317.50664351852</v>
      </c>
      <c r="C1684" s="3" t="s">
        <v>4</v>
      </c>
    </row>
    <row r="1685">
      <c r="A1685" s="3">
        <v>6283.0</v>
      </c>
      <c r="B1685" s="4">
        <v>45317.542905092596</v>
      </c>
      <c r="C1685" s="3" t="s">
        <v>4</v>
      </c>
    </row>
    <row r="1686">
      <c r="A1686" s="3">
        <v>6004.0</v>
      </c>
      <c r="B1686" s="4">
        <v>45317.54337962963</v>
      </c>
      <c r="C1686" s="3" t="s">
        <v>4</v>
      </c>
    </row>
    <row r="1687">
      <c r="A1687" s="3">
        <v>1303.0</v>
      </c>
      <c r="B1687" s="4">
        <v>45317.54802083333</v>
      </c>
      <c r="C1687" s="3" t="s">
        <v>6</v>
      </c>
    </row>
    <row r="1688">
      <c r="A1688" s="3">
        <v>6283.0</v>
      </c>
      <c r="B1688" s="4">
        <v>45317.5596875</v>
      </c>
      <c r="C1688" s="3" t="s">
        <v>3</v>
      </c>
    </row>
    <row r="1689">
      <c r="A1689" s="3">
        <v>1645.0</v>
      </c>
      <c r="B1689" s="4">
        <v>45317.563738425924</v>
      </c>
      <c r="C1689" s="3" t="s">
        <v>3</v>
      </c>
    </row>
    <row r="1690">
      <c r="A1690" s="3">
        <v>6640.0</v>
      </c>
      <c r="B1690" s="4">
        <v>45317.56783564815</v>
      </c>
      <c r="C1690" s="3" t="s">
        <v>4</v>
      </c>
    </row>
    <row r="1691">
      <c r="A1691" s="3">
        <v>2717.0</v>
      </c>
      <c r="B1691" s="4">
        <v>45317.56915509259</v>
      </c>
      <c r="C1691" s="3" t="s">
        <v>5</v>
      </c>
    </row>
    <row r="1692">
      <c r="A1692" s="3">
        <v>2717.0</v>
      </c>
      <c r="B1692" s="4">
        <v>45317.58186342593</v>
      </c>
      <c r="C1692" s="3" t="s">
        <v>3</v>
      </c>
    </row>
    <row r="1693">
      <c r="A1693" s="3">
        <v>4141.0</v>
      </c>
      <c r="B1693" s="4">
        <v>45317.61170138889</v>
      </c>
      <c r="C1693" s="3" t="s">
        <v>7</v>
      </c>
    </row>
    <row r="1694">
      <c r="A1694" s="3">
        <v>1663.0</v>
      </c>
      <c r="B1694" s="4">
        <v>45317.65002314815</v>
      </c>
      <c r="C1694" s="3" t="s">
        <v>4</v>
      </c>
    </row>
    <row r="1695">
      <c r="A1695" s="3">
        <v>5924.0</v>
      </c>
      <c r="B1695" s="4">
        <v>45317.656180555554</v>
      </c>
      <c r="C1695" s="3" t="s">
        <v>6</v>
      </c>
    </row>
    <row r="1696">
      <c r="A1696" s="3">
        <v>6833.0</v>
      </c>
      <c r="B1696" s="4">
        <v>45317.67314814815</v>
      </c>
      <c r="C1696" s="3" t="s">
        <v>4</v>
      </c>
    </row>
    <row r="1697">
      <c r="A1697" s="3">
        <v>2763.0</v>
      </c>
      <c r="B1697" s="4">
        <v>45317.69079861111</v>
      </c>
      <c r="C1697" s="3" t="s">
        <v>3</v>
      </c>
    </row>
    <row r="1698">
      <c r="A1698" s="3">
        <v>6188.0</v>
      </c>
      <c r="B1698" s="4">
        <v>45317.695185185185</v>
      </c>
      <c r="C1698" s="3" t="s">
        <v>4</v>
      </c>
    </row>
    <row r="1699">
      <c r="A1699" s="3">
        <v>6004.0</v>
      </c>
      <c r="B1699" s="4">
        <v>45317.69908564815</v>
      </c>
      <c r="C1699" s="3" t="s">
        <v>3</v>
      </c>
    </row>
    <row r="1700">
      <c r="A1700" s="3">
        <v>3566.0</v>
      </c>
      <c r="B1700" s="4">
        <v>45317.70947916667</v>
      </c>
      <c r="C1700" s="3" t="s">
        <v>3</v>
      </c>
    </row>
    <row r="1701">
      <c r="A1701" s="3">
        <v>6352.0</v>
      </c>
      <c r="B1701" s="4">
        <v>45317.709652777776</v>
      </c>
      <c r="C1701" s="3" t="s">
        <v>3</v>
      </c>
    </row>
    <row r="1702">
      <c r="A1702" s="3">
        <v>5562.0</v>
      </c>
      <c r="B1702" s="4">
        <v>45317.71638888889</v>
      </c>
      <c r="C1702" s="3" t="s">
        <v>3</v>
      </c>
    </row>
    <row r="1703">
      <c r="A1703" s="3">
        <v>1772.0</v>
      </c>
      <c r="B1703" s="4">
        <v>45317.72027777778</v>
      </c>
      <c r="C1703" s="3" t="s">
        <v>3</v>
      </c>
    </row>
    <row r="1704">
      <c r="A1704" s="3">
        <v>5840.0</v>
      </c>
      <c r="B1704" s="4">
        <v>45317.75072916667</v>
      </c>
      <c r="C1704" s="3" t="s">
        <v>3</v>
      </c>
    </row>
    <row r="1705">
      <c r="A1705" s="3">
        <v>2234.0</v>
      </c>
      <c r="B1705" s="4">
        <v>45317.80847222222</v>
      </c>
      <c r="C1705" s="3" t="s">
        <v>5</v>
      </c>
    </row>
    <row r="1706">
      <c r="A1706" s="3">
        <v>6216.0</v>
      </c>
      <c r="B1706" s="4">
        <v>45317.813726851855</v>
      </c>
      <c r="C1706" s="3" t="s">
        <v>6</v>
      </c>
    </row>
    <row r="1707">
      <c r="A1707" s="3">
        <v>2234.0</v>
      </c>
      <c r="B1707" s="4">
        <v>45317.825474537036</v>
      </c>
      <c r="C1707" s="3" t="s">
        <v>3</v>
      </c>
    </row>
    <row r="1708">
      <c r="A1708" s="3">
        <v>5196.0</v>
      </c>
      <c r="B1708" s="4">
        <v>45317.83248842593</v>
      </c>
      <c r="C1708" s="3" t="s">
        <v>4</v>
      </c>
    </row>
    <row r="1709">
      <c r="A1709" s="3">
        <v>2955.0</v>
      </c>
      <c r="B1709" s="4">
        <v>45317.83446759259</v>
      </c>
      <c r="C1709" s="3" t="s">
        <v>3</v>
      </c>
    </row>
    <row r="1710">
      <c r="A1710" s="3">
        <v>2652.0</v>
      </c>
      <c r="B1710" s="4">
        <v>45317.86885416666</v>
      </c>
      <c r="C1710" s="3" t="s">
        <v>7</v>
      </c>
    </row>
    <row r="1711">
      <c r="A1711" s="3">
        <v>435.0</v>
      </c>
      <c r="B1711" s="4">
        <v>45317.88607638889</v>
      </c>
      <c r="C1711" s="3" t="s">
        <v>5</v>
      </c>
    </row>
    <row r="1712">
      <c r="A1712" s="3">
        <v>7283.0</v>
      </c>
      <c r="B1712" s="4">
        <v>45317.92528935185</v>
      </c>
      <c r="C1712" s="3" t="s">
        <v>3</v>
      </c>
    </row>
    <row r="1713">
      <c r="A1713" s="3">
        <v>5051.0</v>
      </c>
      <c r="B1713" s="4">
        <v>45317.92743055556</v>
      </c>
      <c r="C1713" s="3" t="s">
        <v>6</v>
      </c>
    </row>
    <row r="1714">
      <c r="A1714" s="3">
        <v>7993.0</v>
      </c>
      <c r="B1714" s="4">
        <v>45317.93363425926</v>
      </c>
      <c r="C1714" s="3" t="s">
        <v>6</v>
      </c>
    </row>
    <row r="1715">
      <c r="A1715" s="3">
        <v>5134.0</v>
      </c>
      <c r="B1715" s="4">
        <v>45317.962326388886</v>
      </c>
      <c r="C1715" s="3" t="s">
        <v>3</v>
      </c>
    </row>
    <row r="1716">
      <c r="A1716" s="3">
        <v>1980.0</v>
      </c>
      <c r="B1716" s="4">
        <v>45317.97615740741</v>
      </c>
      <c r="C1716" s="3" t="s">
        <v>6</v>
      </c>
    </row>
    <row r="1717">
      <c r="A1717" s="3">
        <v>1520.0</v>
      </c>
      <c r="B1717" s="4">
        <v>45317.98810185185</v>
      </c>
      <c r="C1717" s="3" t="s">
        <v>3</v>
      </c>
    </row>
    <row r="1718">
      <c r="A1718" s="3">
        <v>6004.0</v>
      </c>
      <c r="B1718" s="4">
        <v>45318.03107638889</v>
      </c>
      <c r="C1718" s="3" t="s">
        <v>7</v>
      </c>
    </row>
    <row r="1719">
      <c r="A1719" s="3">
        <v>1375.0</v>
      </c>
      <c r="B1719" s="4">
        <v>45318.04004629629</v>
      </c>
      <c r="C1719" s="3" t="s">
        <v>6</v>
      </c>
    </row>
    <row r="1720">
      <c r="A1720" s="3">
        <v>3689.0</v>
      </c>
      <c r="B1720" s="4">
        <v>45318.04394675926</v>
      </c>
      <c r="C1720" s="3" t="s">
        <v>5</v>
      </c>
    </row>
    <row r="1721">
      <c r="A1721" s="3">
        <v>757.0</v>
      </c>
      <c r="B1721" s="4">
        <v>45318.0552662037</v>
      </c>
      <c r="C1721" s="3" t="s">
        <v>4</v>
      </c>
    </row>
    <row r="1722">
      <c r="A1722" s="3">
        <v>6932.0</v>
      </c>
      <c r="B1722" s="4">
        <v>45318.08446759259</v>
      </c>
      <c r="C1722" s="3" t="s">
        <v>3</v>
      </c>
    </row>
    <row r="1723">
      <c r="A1723" s="3">
        <v>7803.0</v>
      </c>
      <c r="B1723" s="4">
        <v>45318.129699074074</v>
      </c>
      <c r="C1723" s="3" t="s">
        <v>7</v>
      </c>
    </row>
    <row r="1724">
      <c r="A1724" s="3">
        <v>5196.0</v>
      </c>
      <c r="B1724" s="4">
        <v>45318.16633101852</v>
      </c>
      <c r="C1724" s="3" t="s">
        <v>7</v>
      </c>
    </row>
    <row r="1725">
      <c r="A1725" s="3">
        <v>7264.0</v>
      </c>
      <c r="B1725" s="4">
        <v>45318.193032407406</v>
      </c>
      <c r="C1725" s="3" t="s">
        <v>4</v>
      </c>
    </row>
    <row r="1726">
      <c r="A1726" s="3">
        <v>7993.0</v>
      </c>
      <c r="B1726" s="4">
        <v>45318.19758101852</v>
      </c>
      <c r="C1726" s="3" t="s">
        <v>5</v>
      </c>
    </row>
    <row r="1727">
      <c r="A1727" s="3">
        <v>348.0</v>
      </c>
      <c r="B1727" s="4">
        <v>45318.20616898148</v>
      </c>
      <c r="C1727" s="3" t="s">
        <v>4</v>
      </c>
    </row>
    <row r="1728">
      <c r="A1728" s="3">
        <v>2816.0</v>
      </c>
      <c r="B1728" s="4">
        <v>45318.20994212963</v>
      </c>
      <c r="C1728" s="3" t="s">
        <v>4</v>
      </c>
    </row>
    <row r="1729">
      <c r="A1729" s="3">
        <v>397.0</v>
      </c>
      <c r="B1729" s="4">
        <v>45318.22635416667</v>
      </c>
      <c r="C1729" s="3" t="s">
        <v>4</v>
      </c>
    </row>
    <row r="1730">
      <c r="A1730" s="3">
        <v>6352.0</v>
      </c>
      <c r="B1730" s="4">
        <v>45318.23725694444</v>
      </c>
      <c r="C1730" s="3" t="s">
        <v>4</v>
      </c>
    </row>
    <row r="1731">
      <c r="A1731" s="3">
        <v>6188.0</v>
      </c>
      <c r="B1731" s="4">
        <v>45318.26293981481</v>
      </c>
      <c r="C1731" s="3" t="s">
        <v>5</v>
      </c>
    </row>
    <row r="1732">
      <c r="A1732" s="3">
        <v>2652.0</v>
      </c>
      <c r="B1732" s="4">
        <v>45318.265393518515</v>
      </c>
      <c r="C1732" s="3" t="s">
        <v>6</v>
      </c>
    </row>
    <row r="1733">
      <c r="A1733" s="3">
        <v>5092.0</v>
      </c>
      <c r="B1733" s="4">
        <v>45318.26740740741</v>
      </c>
      <c r="C1733" s="3" t="s">
        <v>3</v>
      </c>
    </row>
    <row r="1734">
      <c r="A1734" s="3">
        <v>5749.0</v>
      </c>
      <c r="B1734" s="4">
        <v>45318.269594907404</v>
      </c>
      <c r="C1734" s="3" t="s">
        <v>6</v>
      </c>
    </row>
    <row r="1735">
      <c r="A1735" s="3">
        <v>6227.0</v>
      </c>
      <c r="B1735" s="4">
        <v>45318.27179398148</v>
      </c>
      <c r="C1735" s="3" t="s">
        <v>4</v>
      </c>
    </row>
    <row r="1736">
      <c r="A1736" s="3">
        <v>7502.0</v>
      </c>
      <c r="B1736" s="4">
        <v>45318.272986111115</v>
      </c>
      <c r="C1736" s="3" t="s">
        <v>5</v>
      </c>
    </row>
    <row r="1737">
      <c r="A1737" s="3">
        <v>5611.0</v>
      </c>
      <c r="B1737" s="4">
        <v>45318.28369212963</v>
      </c>
      <c r="C1737" s="3" t="s">
        <v>3</v>
      </c>
    </row>
    <row r="1738">
      <c r="A1738" s="3">
        <v>6276.0</v>
      </c>
      <c r="B1738" s="4">
        <v>45318.29525462963</v>
      </c>
      <c r="C1738" s="3" t="s">
        <v>3</v>
      </c>
    </row>
    <row r="1739">
      <c r="A1739" s="3">
        <v>7803.0</v>
      </c>
      <c r="B1739" s="4">
        <v>45318.33248842593</v>
      </c>
      <c r="C1739" s="3" t="s">
        <v>5</v>
      </c>
    </row>
    <row r="1740">
      <c r="A1740" s="3">
        <v>6873.0</v>
      </c>
      <c r="B1740" s="4">
        <v>45318.34584490741</v>
      </c>
      <c r="C1740" s="3" t="s">
        <v>6</v>
      </c>
    </row>
    <row r="1741">
      <c r="A1741" s="3">
        <v>1645.0</v>
      </c>
      <c r="B1741" s="4">
        <v>45318.364120370374</v>
      </c>
      <c r="C1741" s="3" t="s">
        <v>4</v>
      </c>
    </row>
    <row r="1742">
      <c r="A1742" s="3">
        <v>7754.0</v>
      </c>
      <c r="B1742" s="4">
        <v>45318.380740740744</v>
      </c>
      <c r="C1742" s="3" t="s">
        <v>4</v>
      </c>
    </row>
    <row r="1743">
      <c r="A1743" s="3">
        <v>4386.0</v>
      </c>
      <c r="B1743" s="4">
        <v>45318.40940972222</v>
      </c>
      <c r="C1743" s="3" t="s">
        <v>3</v>
      </c>
    </row>
    <row r="1744">
      <c r="A1744" s="3">
        <v>3010.0</v>
      </c>
      <c r="B1744" s="4">
        <v>45318.41179398148</v>
      </c>
      <c r="C1744" s="3" t="s">
        <v>3</v>
      </c>
    </row>
    <row r="1745">
      <c r="A1745" s="3">
        <v>7754.0</v>
      </c>
      <c r="B1745" s="4">
        <v>45318.429930555554</v>
      </c>
      <c r="C1745" s="3" t="s">
        <v>5</v>
      </c>
    </row>
    <row r="1746">
      <c r="A1746" s="3">
        <v>5384.0</v>
      </c>
      <c r="B1746" s="4">
        <v>45318.51530092592</v>
      </c>
      <c r="C1746" s="3" t="s">
        <v>4</v>
      </c>
    </row>
    <row r="1747">
      <c r="A1747" s="3">
        <v>1762.0</v>
      </c>
      <c r="B1747" s="4">
        <v>45318.53475694444</v>
      </c>
      <c r="C1747" s="3" t="s">
        <v>3</v>
      </c>
    </row>
    <row r="1748">
      <c r="A1748" s="3">
        <v>682.0</v>
      </c>
      <c r="B1748" s="4">
        <v>45318.536875</v>
      </c>
      <c r="C1748" s="3" t="s">
        <v>3</v>
      </c>
    </row>
    <row r="1749">
      <c r="A1749" s="3">
        <v>6034.0</v>
      </c>
      <c r="B1749" s="4">
        <v>45318.53957175926</v>
      </c>
      <c r="C1749" s="3" t="s">
        <v>3</v>
      </c>
    </row>
    <row r="1750">
      <c r="A1750" s="3">
        <v>7462.0</v>
      </c>
      <c r="B1750" s="4">
        <v>45318.60420138889</v>
      </c>
      <c r="C1750" s="3" t="s">
        <v>3</v>
      </c>
    </row>
    <row r="1751">
      <c r="A1751" s="3">
        <v>6415.0</v>
      </c>
      <c r="B1751" s="4">
        <v>45318.607256944444</v>
      </c>
      <c r="C1751" s="3" t="s">
        <v>3</v>
      </c>
    </row>
    <row r="1752">
      <c r="A1752" s="3">
        <v>5611.0</v>
      </c>
      <c r="B1752" s="4">
        <v>45318.61924768519</v>
      </c>
      <c r="C1752" s="3" t="s">
        <v>4</v>
      </c>
    </row>
    <row r="1753">
      <c r="A1753" s="3">
        <v>787.0</v>
      </c>
      <c r="B1753" s="4">
        <v>45318.63077546296</v>
      </c>
      <c r="C1753" s="3" t="s">
        <v>6</v>
      </c>
    </row>
    <row r="1754">
      <c r="A1754" s="3">
        <v>2234.0</v>
      </c>
      <c r="B1754" s="4">
        <v>45318.665243055555</v>
      </c>
      <c r="C1754" s="3" t="s">
        <v>4</v>
      </c>
    </row>
    <row r="1755">
      <c r="A1755" s="3">
        <v>1430.0</v>
      </c>
      <c r="B1755" s="4">
        <v>45318.67403935185</v>
      </c>
      <c r="C1755" s="3" t="s">
        <v>6</v>
      </c>
    </row>
    <row r="1756">
      <c r="A1756" s="3">
        <v>6716.0</v>
      </c>
      <c r="B1756" s="4">
        <v>45318.68349537037</v>
      </c>
      <c r="C1756" s="3" t="s">
        <v>6</v>
      </c>
    </row>
    <row r="1757">
      <c r="A1757" s="3">
        <v>397.0</v>
      </c>
      <c r="B1757" s="4">
        <v>45318.69509259259</v>
      </c>
      <c r="C1757" s="3" t="s">
        <v>3</v>
      </c>
    </row>
    <row r="1758">
      <c r="A1758" s="3">
        <v>5232.0</v>
      </c>
      <c r="B1758" s="4">
        <v>45318.73605324074</v>
      </c>
      <c r="C1758" s="3" t="s">
        <v>6</v>
      </c>
    </row>
    <row r="1759">
      <c r="A1759" s="3">
        <v>1303.0</v>
      </c>
      <c r="B1759" s="4">
        <v>45318.76600694445</v>
      </c>
      <c r="C1759" s="3" t="s">
        <v>5</v>
      </c>
    </row>
    <row r="1760">
      <c r="A1760" s="3">
        <v>1057.0</v>
      </c>
      <c r="B1760" s="4">
        <v>45318.7803587963</v>
      </c>
      <c r="C1760" s="3" t="s">
        <v>4</v>
      </c>
    </row>
    <row r="1761">
      <c r="A1761" s="3">
        <v>1.0</v>
      </c>
      <c r="B1761" s="4">
        <v>45318.793657407405</v>
      </c>
      <c r="C1761" s="3" t="s">
        <v>6</v>
      </c>
    </row>
    <row r="1762">
      <c r="A1762" s="3">
        <v>3842.0</v>
      </c>
      <c r="B1762" s="4">
        <v>45318.7996412037</v>
      </c>
      <c r="C1762" s="3" t="s">
        <v>4</v>
      </c>
    </row>
    <row r="1763">
      <c r="A1763" s="3">
        <v>2239.0</v>
      </c>
      <c r="B1763" s="4">
        <v>45318.80342592593</v>
      </c>
      <c r="C1763" s="3" t="s">
        <v>3</v>
      </c>
    </row>
    <row r="1764">
      <c r="A1764" s="3">
        <v>2816.0</v>
      </c>
      <c r="B1764" s="4">
        <v>45318.808344907404</v>
      </c>
      <c r="C1764" s="3" t="s">
        <v>3</v>
      </c>
    </row>
    <row r="1765">
      <c r="A1765" s="3">
        <v>6456.0</v>
      </c>
      <c r="B1765" s="4">
        <v>45318.84164351852</v>
      </c>
      <c r="C1765" s="3" t="s">
        <v>7</v>
      </c>
    </row>
    <row r="1766">
      <c r="A1766" s="3">
        <v>7502.0</v>
      </c>
      <c r="B1766" s="4">
        <v>45318.84229166667</v>
      </c>
      <c r="C1766" s="3" t="s">
        <v>3</v>
      </c>
    </row>
    <row r="1767">
      <c r="A1767" s="3">
        <v>7264.0</v>
      </c>
      <c r="B1767" s="4">
        <v>45318.84805555556</v>
      </c>
      <c r="C1767" s="3" t="s">
        <v>3</v>
      </c>
    </row>
    <row r="1768">
      <c r="A1768" s="3">
        <v>5275.0</v>
      </c>
      <c r="B1768" s="4">
        <v>45318.85165509259</v>
      </c>
      <c r="C1768" s="3" t="s">
        <v>5</v>
      </c>
    </row>
    <row r="1769">
      <c r="A1769" s="3">
        <v>856.0</v>
      </c>
      <c r="B1769" s="4">
        <v>45318.85721064815</v>
      </c>
      <c r="C1769" s="3" t="s">
        <v>3</v>
      </c>
    </row>
    <row r="1770">
      <c r="A1770" s="3">
        <v>1482.0</v>
      </c>
      <c r="B1770" s="4">
        <v>45318.866875</v>
      </c>
      <c r="C1770" s="3" t="s">
        <v>3</v>
      </c>
    </row>
    <row r="1771">
      <c r="A1771" s="3">
        <v>6914.0</v>
      </c>
      <c r="B1771" s="4">
        <v>45318.87045138889</v>
      </c>
      <c r="C1771" s="3" t="s">
        <v>6</v>
      </c>
    </row>
    <row r="1772">
      <c r="A1772" s="3">
        <v>6283.0</v>
      </c>
      <c r="B1772" s="4">
        <v>45318.89034722222</v>
      </c>
      <c r="C1772" s="3" t="s">
        <v>7</v>
      </c>
    </row>
    <row r="1773">
      <c r="A1773" s="3">
        <v>5111.0</v>
      </c>
      <c r="B1773" s="4">
        <v>45318.89394675926</v>
      </c>
      <c r="C1773" s="3" t="s">
        <v>3</v>
      </c>
    </row>
    <row r="1774">
      <c r="A1774" s="3">
        <v>5382.0</v>
      </c>
      <c r="B1774" s="4">
        <v>45318.89896990741</v>
      </c>
      <c r="C1774" s="3" t="s">
        <v>3</v>
      </c>
    </row>
    <row r="1775">
      <c r="A1775" s="3">
        <v>1465.0</v>
      </c>
      <c r="B1775" s="4">
        <v>45318.911203703705</v>
      </c>
      <c r="C1775" s="3" t="s">
        <v>4</v>
      </c>
    </row>
    <row r="1776">
      <c r="A1776" s="3">
        <v>2955.0</v>
      </c>
      <c r="B1776" s="4">
        <v>45318.92601851852</v>
      </c>
      <c r="C1776" s="3" t="s">
        <v>5</v>
      </c>
    </row>
    <row r="1777">
      <c r="A1777" s="3">
        <v>7754.0</v>
      </c>
      <c r="B1777" s="4">
        <v>45318.92957175926</v>
      </c>
      <c r="C1777" s="3" t="s">
        <v>3</v>
      </c>
    </row>
    <row r="1778">
      <c r="A1778" s="3">
        <v>6331.0</v>
      </c>
      <c r="B1778" s="4">
        <v>45318.989537037036</v>
      </c>
      <c r="C1778" s="3" t="s">
        <v>3</v>
      </c>
    </row>
    <row r="1779">
      <c r="A1779" s="3">
        <v>6639.0</v>
      </c>
      <c r="B1779" s="4">
        <v>45318.99451388889</v>
      </c>
      <c r="C1779" s="3" t="s">
        <v>4</v>
      </c>
    </row>
    <row r="1780">
      <c r="A1780" s="3">
        <v>5694.0</v>
      </c>
      <c r="B1780" s="4">
        <v>45318.997037037036</v>
      </c>
      <c r="C1780" s="3" t="s">
        <v>3</v>
      </c>
    </row>
    <row r="1781">
      <c r="A1781" s="3">
        <v>4951.0</v>
      </c>
      <c r="B1781" s="4">
        <v>45319.00891203704</v>
      </c>
      <c r="C1781" s="3" t="s">
        <v>6</v>
      </c>
    </row>
    <row r="1782">
      <c r="A1782" s="3">
        <v>2955.0</v>
      </c>
      <c r="B1782" s="4">
        <v>45319.057604166665</v>
      </c>
      <c r="C1782" s="3" t="s">
        <v>7</v>
      </c>
    </row>
    <row r="1783">
      <c r="A1783" s="3">
        <v>2123.0</v>
      </c>
      <c r="B1783" s="4">
        <v>45319.0753587963</v>
      </c>
      <c r="C1783" s="3" t="s">
        <v>3</v>
      </c>
    </row>
    <row r="1784">
      <c r="A1784" s="3">
        <v>6230.0</v>
      </c>
      <c r="B1784" s="4">
        <v>45319.07844907408</v>
      </c>
      <c r="C1784" s="3" t="s">
        <v>3</v>
      </c>
    </row>
    <row r="1785">
      <c r="A1785" s="3">
        <v>89.0</v>
      </c>
      <c r="B1785" s="4">
        <v>45319.0865162037</v>
      </c>
      <c r="C1785" s="3" t="s">
        <v>3</v>
      </c>
    </row>
    <row r="1786">
      <c r="A1786" s="3">
        <v>4158.0</v>
      </c>
      <c r="B1786" s="4">
        <v>45319.12596064815</v>
      </c>
      <c r="C1786" s="3" t="s">
        <v>7</v>
      </c>
    </row>
    <row r="1787">
      <c r="A1787" s="3">
        <v>4699.0</v>
      </c>
      <c r="B1787" s="4">
        <v>45319.13041666667</v>
      </c>
      <c r="C1787" s="3" t="s">
        <v>4</v>
      </c>
    </row>
    <row r="1788">
      <c r="A1788" s="3">
        <v>682.0</v>
      </c>
      <c r="B1788" s="4">
        <v>45319.13706018519</v>
      </c>
      <c r="C1788" s="3" t="s">
        <v>5</v>
      </c>
    </row>
    <row r="1789">
      <c r="A1789" s="3">
        <v>7462.0</v>
      </c>
      <c r="B1789" s="4">
        <v>45319.13883101852</v>
      </c>
      <c r="C1789" s="3" t="s">
        <v>4</v>
      </c>
    </row>
    <row r="1790">
      <c r="A1790" s="3">
        <v>1057.0</v>
      </c>
      <c r="B1790" s="4">
        <v>45319.13935185185</v>
      </c>
      <c r="C1790" s="3" t="s">
        <v>5</v>
      </c>
    </row>
    <row r="1791">
      <c r="A1791" s="3">
        <v>4526.0</v>
      </c>
      <c r="B1791" s="4">
        <v>45319.13952546296</v>
      </c>
      <c r="C1791" s="3" t="s">
        <v>3</v>
      </c>
    </row>
    <row r="1792">
      <c r="A1792" s="3">
        <v>6227.0</v>
      </c>
      <c r="B1792" s="4">
        <v>45319.143113425926</v>
      </c>
      <c r="C1792" s="3" t="s">
        <v>7</v>
      </c>
    </row>
    <row r="1793">
      <c r="A1793" s="3">
        <v>1130.0</v>
      </c>
      <c r="B1793" s="4">
        <v>45319.14829861111</v>
      </c>
      <c r="C1793" s="3" t="s">
        <v>4</v>
      </c>
    </row>
    <row r="1794">
      <c r="A1794" s="3">
        <v>1827.0</v>
      </c>
      <c r="B1794" s="4">
        <v>45319.163090277776</v>
      </c>
      <c r="C1794" s="3" t="s">
        <v>3</v>
      </c>
    </row>
    <row r="1795">
      <c r="A1795" s="3">
        <v>2816.0</v>
      </c>
      <c r="B1795" s="4">
        <v>45319.170648148145</v>
      </c>
      <c r="C1795" s="3" t="s">
        <v>7</v>
      </c>
    </row>
    <row r="1796">
      <c r="A1796" s="3">
        <v>7193.0</v>
      </c>
      <c r="B1796" s="4">
        <v>45319.171481481484</v>
      </c>
      <c r="C1796" s="3" t="s">
        <v>3</v>
      </c>
    </row>
    <row r="1797">
      <c r="A1797" s="3">
        <v>995.0</v>
      </c>
      <c r="B1797" s="4">
        <v>45319.19929398148</v>
      </c>
      <c r="C1797" s="3" t="s">
        <v>3</v>
      </c>
    </row>
    <row r="1798">
      <c r="A1798" s="3">
        <v>6932.0</v>
      </c>
      <c r="B1798" s="4">
        <v>45319.20259259259</v>
      </c>
      <c r="C1798" s="3" t="s">
        <v>4</v>
      </c>
    </row>
    <row r="1799">
      <c r="A1799" s="3">
        <v>1572.0</v>
      </c>
      <c r="B1799" s="4">
        <v>45319.22107638889</v>
      </c>
      <c r="C1799" s="3" t="s">
        <v>4</v>
      </c>
    </row>
    <row r="1800">
      <c r="A1800" s="3">
        <v>1278.0</v>
      </c>
      <c r="B1800" s="4">
        <v>45319.22306712963</v>
      </c>
      <c r="C1800" s="3" t="s">
        <v>6</v>
      </c>
    </row>
    <row r="1801">
      <c r="A1801" s="3">
        <v>1612.0</v>
      </c>
      <c r="B1801" s="4">
        <v>45319.265069444446</v>
      </c>
      <c r="C1801" s="3" t="s">
        <v>3</v>
      </c>
    </row>
    <row r="1802">
      <c r="A1802" s="3">
        <v>1130.0</v>
      </c>
      <c r="B1802" s="4">
        <v>45319.27980324074</v>
      </c>
      <c r="C1802" s="3" t="s">
        <v>3</v>
      </c>
    </row>
    <row r="1803">
      <c r="A1803" s="3">
        <v>7731.0</v>
      </c>
      <c r="B1803" s="4">
        <v>45319.301354166666</v>
      </c>
      <c r="C1803" s="3" t="s">
        <v>6</v>
      </c>
    </row>
    <row r="1804">
      <c r="A1804" s="3">
        <v>5666.0</v>
      </c>
      <c r="B1804" s="4">
        <v>45319.34125</v>
      </c>
      <c r="C1804" s="3" t="s">
        <v>3</v>
      </c>
    </row>
    <row r="1805">
      <c r="A1805" s="3">
        <v>5724.0</v>
      </c>
      <c r="B1805" s="4">
        <v>45319.35810185185</v>
      </c>
      <c r="C1805" s="3" t="s">
        <v>5</v>
      </c>
    </row>
    <row r="1806">
      <c r="A1806" s="3">
        <v>2662.0</v>
      </c>
      <c r="B1806" s="4">
        <v>45319.358923611115</v>
      </c>
      <c r="C1806" s="3" t="s">
        <v>3</v>
      </c>
    </row>
    <row r="1807">
      <c r="A1807" s="3">
        <v>7242.0</v>
      </c>
      <c r="B1807" s="4">
        <v>45319.38768518518</v>
      </c>
      <c r="C1807" s="3" t="s">
        <v>3</v>
      </c>
    </row>
    <row r="1808">
      <c r="A1808" s="3">
        <v>3927.0</v>
      </c>
      <c r="B1808" s="4">
        <v>45319.39545138889</v>
      </c>
      <c r="C1808" s="3" t="s">
        <v>3</v>
      </c>
    </row>
    <row r="1809">
      <c r="A1809" s="3">
        <v>3117.0</v>
      </c>
      <c r="B1809" s="4">
        <v>45319.42634259259</v>
      </c>
      <c r="C1809" s="3" t="s">
        <v>4</v>
      </c>
    </row>
    <row r="1810">
      <c r="A1810" s="3">
        <v>4457.0</v>
      </c>
      <c r="B1810" s="4">
        <v>45319.43818287037</v>
      </c>
      <c r="C1810" s="3" t="s">
        <v>3</v>
      </c>
    </row>
    <row r="1811">
      <c r="A1811" s="3">
        <v>89.0</v>
      </c>
      <c r="B1811" s="4">
        <v>45319.442395833335</v>
      </c>
      <c r="C1811" s="3" t="s">
        <v>5</v>
      </c>
    </row>
    <row r="1812">
      <c r="A1812" s="3">
        <v>4447.0</v>
      </c>
      <c r="B1812" s="4">
        <v>45319.45324074074</v>
      </c>
      <c r="C1812" s="3" t="s">
        <v>7</v>
      </c>
    </row>
    <row r="1813">
      <c r="A1813" s="3">
        <v>4699.0</v>
      </c>
      <c r="B1813" s="4">
        <v>45319.47368055556</v>
      </c>
      <c r="C1813" s="3" t="s">
        <v>3</v>
      </c>
    </row>
    <row r="1814">
      <c r="A1814" s="3">
        <v>89.0</v>
      </c>
      <c r="B1814" s="4">
        <v>45319.496354166666</v>
      </c>
      <c r="C1814" s="3" t="s">
        <v>4</v>
      </c>
    </row>
    <row r="1815">
      <c r="A1815" s="3">
        <v>2557.0</v>
      </c>
      <c r="B1815" s="4">
        <v>45319.49841435185</v>
      </c>
      <c r="C1815" s="3" t="s">
        <v>3</v>
      </c>
    </row>
    <row r="1816">
      <c r="A1816" s="3">
        <v>2988.0</v>
      </c>
      <c r="B1816" s="4">
        <v>45319.50068287037</v>
      </c>
      <c r="C1816" s="3" t="s">
        <v>3</v>
      </c>
    </row>
    <row r="1817">
      <c r="A1817" s="3">
        <v>1057.0</v>
      </c>
      <c r="B1817" s="4">
        <v>45319.52457175926</v>
      </c>
      <c r="C1817" s="3" t="s">
        <v>7</v>
      </c>
    </row>
    <row r="1818">
      <c r="A1818" s="3">
        <v>7933.0</v>
      </c>
      <c r="B1818" s="4">
        <v>45319.53821759259</v>
      </c>
      <c r="C1818" s="3" t="s">
        <v>3</v>
      </c>
    </row>
    <row r="1819">
      <c r="A1819" s="3">
        <v>1482.0</v>
      </c>
      <c r="B1819" s="4">
        <v>45319.55039351852</v>
      </c>
      <c r="C1819" s="3" t="s">
        <v>4</v>
      </c>
    </row>
    <row r="1820">
      <c r="A1820" s="3">
        <v>3188.0</v>
      </c>
      <c r="B1820" s="4">
        <v>45319.57224537037</v>
      </c>
      <c r="C1820" s="3" t="s">
        <v>3</v>
      </c>
    </row>
    <row r="1821">
      <c r="A1821" s="3">
        <v>1677.0</v>
      </c>
      <c r="B1821" s="4">
        <v>45319.58996527778</v>
      </c>
      <c r="C1821" s="3" t="s">
        <v>3</v>
      </c>
    </row>
    <row r="1822">
      <c r="A1822" s="3">
        <v>4710.0</v>
      </c>
      <c r="B1822" s="4">
        <v>45319.64732638889</v>
      </c>
      <c r="C1822" s="3" t="s">
        <v>3</v>
      </c>
    </row>
    <row r="1823">
      <c r="A1823" s="3">
        <v>3551.0</v>
      </c>
      <c r="B1823" s="4">
        <v>45319.65011574074</v>
      </c>
      <c r="C1823" s="3" t="s">
        <v>5</v>
      </c>
    </row>
    <row r="1824">
      <c r="A1824" s="3">
        <v>5840.0</v>
      </c>
      <c r="B1824" s="4">
        <v>45319.65568287037</v>
      </c>
      <c r="C1824" s="3" t="s">
        <v>4</v>
      </c>
    </row>
    <row r="1825">
      <c r="A1825" s="3">
        <v>5874.0</v>
      </c>
      <c r="B1825" s="4">
        <v>45319.68164351852</v>
      </c>
      <c r="C1825" s="3" t="s">
        <v>3</v>
      </c>
    </row>
    <row r="1826">
      <c r="A1826" s="3">
        <v>6456.0</v>
      </c>
      <c r="B1826" s="4">
        <v>45319.719560185185</v>
      </c>
      <c r="C1826" s="3" t="s">
        <v>4</v>
      </c>
    </row>
    <row r="1827">
      <c r="A1827" s="3">
        <v>5036.0</v>
      </c>
      <c r="B1827" s="4">
        <v>45319.75771990741</v>
      </c>
      <c r="C1827" s="3" t="s">
        <v>3</v>
      </c>
    </row>
    <row r="1828">
      <c r="A1828" s="3">
        <v>4140.0</v>
      </c>
      <c r="B1828" s="4">
        <v>45319.765335648146</v>
      </c>
      <c r="C1828" s="3" t="s">
        <v>6</v>
      </c>
    </row>
    <row r="1829">
      <c r="A1829" s="3">
        <v>6619.0</v>
      </c>
      <c r="B1829" s="4">
        <v>45319.785532407404</v>
      </c>
      <c r="C1829" s="3" t="s">
        <v>5</v>
      </c>
    </row>
    <row r="1830">
      <c r="A1830" s="3">
        <v>6640.0</v>
      </c>
      <c r="B1830" s="4">
        <v>45319.79571759259</v>
      </c>
      <c r="C1830" s="3" t="s">
        <v>5</v>
      </c>
    </row>
    <row r="1831">
      <c r="A1831" s="3">
        <v>6361.0</v>
      </c>
      <c r="B1831" s="4">
        <v>45319.84296296296</v>
      </c>
      <c r="C1831" s="3" t="s">
        <v>3</v>
      </c>
    </row>
    <row r="1832">
      <c r="A1832" s="3">
        <v>879.0</v>
      </c>
      <c r="B1832" s="4">
        <v>45319.86730324074</v>
      </c>
      <c r="C1832" s="3" t="s">
        <v>3</v>
      </c>
    </row>
    <row r="1833">
      <c r="A1833" s="3">
        <v>6629.0</v>
      </c>
      <c r="B1833" s="4">
        <v>45319.90090277778</v>
      </c>
      <c r="C1833" s="3" t="s">
        <v>3</v>
      </c>
    </row>
    <row r="1834">
      <c r="A1834" s="3">
        <v>5134.0</v>
      </c>
      <c r="B1834" s="4">
        <v>45319.91273148148</v>
      </c>
      <c r="C1834" s="3" t="s">
        <v>4</v>
      </c>
    </row>
    <row r="1835">
      <c r="A1835" s="3">
        <v>4710.0</v>
      </c>
      <c r="B1835" s="4">
        <v>45319.92978009259</v>
      </c>
      <c r="C1835" s="3" t="s">
        <v>5</v>
      </c>
    </row>
    <row r="1836">
      <c r="A1836" s="3">
        <v>6873.0</v>
      </c>
      <c r="B1836" s="4">
        <v>45319.93844907408</v>
      </c>
      <c r="C1836" s="3" t="s">
        <v>7</v>
      </c>
    </row>
    <row r="1837">
      <c r="A1837" s="3">
        <v>5161.0</v>
      </c>
      <c r="B1837" s="4">
        <v>45319.939733796295</v>
      </c>
      <c r="C1837" s="3" t="s">
        <v>3</v>
      </c>
    </row>
    <row r="1838">
      <c r="A1838" s="3">
        <v>2243.0</v>
      </c>
      <c r="B1838" s="4">
        <v>45319.940254629626</v>
      </c>
      <c r="C1838" s="3" t="s">
        <v>4</v>
      </c>
    </row>
    <row r="1839">
      <c r="A1839" s="3">
        <v>5846.0</v>
      </c>
      <c r="B1839" s="4">
        <v>45319.95313657408</v>
      </c>
      <c r="C1839" s="3" t="s">
        <v>3</v>
      </c>
    </row>
    <row r="1840">
      <c r="A1840" s="3">
        <v>5642.0</v>
      </c>
      <c r="B1840" s="4">
        <v>45319.96141203704</v>
      </c>
      <c r="C1840" s="3" t="s">
        <v>3</v>
      </c>
    </row>
    <row r="1841">
      <c r="A1841" s="3">
        <v>2365.0</v>
      </c>
      <c r="B1841" s="4">
        <v>45319.97515046296</v>
      </c>
      <c r="C1841" s="3" t="s">
        <v>3</v>
      </c>
    </row>
    <row r="1842">
      <c r="A1842" s="3">
        <v>1513.0</v>
      </c>
      <c r="B1842" s="4">
        <v>45319.99118055555</v>
      </c>
      <c r="C1842" s="3" t="s">
        <v>7</v>
      </c>
    </row>
    <row r="1843">
      <c r="A1843" s="3">
        <v>1572.0</v>
      </c>
      <c r="B1843" s="4">
        <v>45319.99518518519</v>
      </c>
      <c r="C1843" s="3" t="s">
        <v>3</v>
      </c>
    </row>
    <row r="1844">
      <c r="A1844" s="3">
        <v>2717.0</v>
      </c>
      <c r="B1844" s="4">
        <v>45319.99895833333</v>
      </c>
      <c r="C1844" s="3" t="s">
        <v>4</v>
      </c>
    </row>
    <row r="1845">
      <c r="A1845" s="3">
        <v>4605.0</v>
      </c>
      <c r="B1845" s="4">
        <v>45320.009884259256</v>
      </c>
      <c r="C1845" s="3" t="s">
        <v>6</v>
      </c>
    </row>
    <row r="1846">
      <c r="A1846" s="3">
        <v>6703.0</v>
      </c>
      <c r="B1846" s="4">
        <v>45320.02462962963</v>
      </c>
      <c r="C1846" s="3" t="s">
        <v>3</v>
      </c>
    </row>
    <row r="1847">
      <c r="A1847" s="3">
        <v>1443.0</v>
      </c>
      <c r="B1847" s="4">
        <v>45320.02667824074</v>
      </c>
      <c r="C1847" s="3" t="s">
        <v>3</v>
      </c>
    </row>
    <row r="1848">
      <c r="A1848" s="3">
        <v>6756.0</v>
      </c>
      <c r="B1848" s="4">
        <v>45320.03885416667</v>
      </c>
      <c r="C1848" s="3" t="s">
        <v>6</v>
      </c>
    </row>
    <row r="1849">
      <c r="A1849" s="3">
        <v>1758.0</v>
      </c>
      <c r="B1849" s="4">
        <v>45320.080879629626</v>
      </c>
      <c r="C1849" s="3" t="s">
        <v>3</v>
      </c>
    </row>
    <row r="1850">
      <c r="A1850" s="3">
        <v>2237.0</v>
      </c>
      <c r="B1850" s="4">
        <v>45320.10975694445</v>
      </c>
      <c r="C1850" s="3" t="s">
        <v>3</v>
      </c>
    </row>
    <row r="1851">
      <c r="A1851" s="3">
        <v>7512.0</v>
      </c>
      <c r="B1851" s="4">
        <v>45320.147210648145</v>
      </c>
      <c r="C1851" s="3" t="s">
        <v>3</v>
      </c>
    </row>
    <row r="1852">
      <c r="A1852" s="3">
        <v>7951.0</v>
      </c>
      <c r="B1852" s="4">
        <v>45320.16013888889</v>
      </c>
      <c r="C1852" s="3" t="s">
        <v>3</v>
      </c>
    </row>
    <row r="1853">
      <c r="A1853" s="3">
        <v>2648.0</v>
      </c>
      <c r="B1853" s="4">
        <v>45320.16715277778</v>
      </c>
      <c r="C1853" s="3" t="s">
        <v>3</v>
      </c>
    </row>
    <row r="1854">
      <c r="A1854" s="3">
        <v>2550.0</v>
      </c>
      <c r="B1854" s="4">
        <v>45320.17626157407</v>
      </c>
      <c r="C1854" s="3" t="s">
        <v>6</v>
      </c>
    </row>
    <row r="1855">
      <c r="A1855" s="3">
        <v>3996.0</v>
      </c>
      <c r="B1855" s="4">
        <v>45320.18099537037</v>
      </c>
      <c r="C1855" s="3" t="s">
        <v>3</v>
      </c>
    </row>
    <row r="1856">
      <c r="A1856" s="3">
        <v>3066.0</v>
      </c>
      <c r="B1856" s="4">
        <v>45320.18138888889</v>
      </c>
      <c r="C1856" s="3" t="s">
        <v>3</v>
      </c>
    </row>
    <row r="1857">
      <c r="A1857" s="3">
        <v>1176.0</v>
      </c>
      <c r="B1857" s="4">
        <v>45320.193553240744</v>
      </c>
      <c r="C1857" s="3" t="s">
        <v>6</v>
      </c>
    </row>
    <row r="1858">
      <c r="A1858" s="3">
        <v>4952.0</v>
      </c>
      <c r="B1858" s="4">
        <v>45320.19914351852</v>
      </c>
      <c r="C1858" s="3" t="s">
        <v>3</v>
      </c>
    </row>
    <row r="1859">
      <c r="A1859" s="3">
        <v>6447.0</v>
      </c>
      <c r="B1859" s="4">
        <v>45320.208958333336</v>
      </c>
      <c r="C1859" s="3" t="s">
        <v>3</v>
      </c>
    </row>
    <row r="1860">
      <c r="A1860" s="3">
        <v>3407.0</v>
      </c>
      <c r="B1860" s="4">
        <v>45320.23337962963</v>
      </c>
      <c r="C1860" s="3" t="s">
        <v>6</v>
      </c>
    </row>
    <row r="1861">
      <c r="A1861" s="3">
        <v>4205.0</v>
      </c>
      <c r="B1861" s="4">
        <v>45320.24277777778</v>
      </c>
      <c r="C1861" s="3" t="s">
        <v>6</v>
      </c>
    </row>
    <row r="1862">
      <c r="A1862" s="3">
        <v>7951.0</v>
      </c>
      <c r="B1862" s="4">
        <v>45320.26149305556</v>
      </c>
      <c r="C1862" s="3" t="s">
        <v>5</v>
      </c>
    </row>
    <row r="1863">
      <c r="A1863" s="3">
        <v>7955.0</v>
      </c>
      <c r="B1863" s="4">
        <v>45320.270462962966</v>
      </c>
      <c r="C1863" s="3" t="s">
        <v>6</v>
      </c>
    </row>
    <row r="1864">
      <c r="A1864" s="3">
        <v>3722.0</v>
      </c>
      <c r="B1864" s="4">
        <v>45320.27355324074</v>
      </c>
      <c r="C1864" s="3" t="s">
        <v>3</v>
      </c>
    </row>
    <row r="1865">
      <c r="A1865" s="3">
        <v>5846.0</v>
      </c>
      <c r="B1865" s="4">
        <v>45320.307858796295</v>
      </c>
      <c r="C1865" s="3" t="s">
        <v>7</v>
      </c>
    </row>
    <row r="1866">
      <c r="A1866" s="3">
        <v>682.0</v>
      </c>
      <c r="B1866" s="4">
        <v>45320.312893518516</v>
      </c>
      <c r="C1866" s="3" t="s">
        <v>4</v>
      </c>
    </row>
    <row r="1867">
      <c r="A1867" s="3">
        <v>3722.0</v>
      </c>
      <c r="B1867" s="4">
        <v>45320.331087962964</v>
      </c>
      <c r="C1867" s="3" t="s">
        <v>4</v>
      </c>
    </row>
    <row r="1868">
      <c r="A1868" s="3">
        <v>2267.0</v>
      </c>
      <c r="B1868" s="4">
        <v>45320.33421296296</v>
      </c>
      <c r="C1868" s="3" t="s">
        <v>6</v>
      </c>
    </row>
    <row r="1869">
      <c r="A1869" s="3">
        <v>757.0</v>
      </c>
      <c r="B1869" s="4">
        <v>45320.36633101852</v>
      </c>
      <c r="C1869" s="3" t="s">
        <v>6</v>
      </c>
    </row>
    <row r="1870">
      <c r="A1870" s="3">
        <v>6356.0</v>
      </c>
      <c r="B1870" s="4">
        <v>45320.383263888885</v>
      </c>
      <c r="C1870" s="3" t="s">
        <v>3</v>
      </c>
    </row>
    <row r="1871">
      <c r="A1871" s="3">
        <v>7502.0</v>
      </c>
      <c r="B1871" s="4">
        <v>45320.41425925926</v>
      </c>
      <c r="C1871" s="3" t="s">
        <v>4</v>
      </c>
    </row>
    <row r="1872">
      <c r="A1872" s="3">
        <v>5959.0</v>
      </c>
      <c r="B1872" s="4">
        <v>45320.41751157407</v>
      </c>
      <c r="C1872" s="3" t="s">
        <v>3</v>
      </c>
    </row>
    <row r="1873">
      <c r="A1873" s="3">
        <v>5134.0</v>
      </c>
      <c r="B1873" s="4">
        <v>45320.43939814815</v>
      </c>
      <c r="C1873" s="3" t="s">
        <v>7</v>
      </c>
    </row>
    <row r="1874">
      <c r="A1874" s="3">
        <v>3694.0</v>
      </c>
      <c r="B1874" s="4">
        <v>45320.48967592593</v>
      </c>
      <c r="C1874" s="3" t="s">
        <v>3</v>
      </c>
    </row>
    <row r="1875">
      <c r="A1875" s="3">
        <v>7283.0</v>
      </c>
      <c r="B1875" s="4">
        <v>45320.489965277775</v>
      </c>
      <c r="C1875" s="3" t="s">
        <v>6</v>
      </c>
    </row>
    <row r="1876">
      <c r="A1876" s="3">
        <v>6352.0</v>
      </c>
      <c r="B1876" s="4">
        <v>45320.49125</v>
      </c>
      <c r="C1876" s="3" t="s">
        <v>6</v>
      </c>
    </row>
    <row r="1877">
      <c r="A1877" s="3">
        <v>6456.0</v>
      </c>
      <c r="B1877" s="4">
        <v>45320.49689814815</v>
      </c>
      <c r="C1877" s="3" t="s">
        <v>5</v>
      </c>
    </row>
    <row r="1878">
      <c r="A1878" s="3">
        <v>520.0</v>
      </c>
      <c r="B1878" s="4">
        <v>45320.56980324074</v>
      </c>
      <c r="C1878" s="3" t="s">
        <v>3</v>
      </c>
    </row>
    <row r="1879">
      <c r="A1879" s="3">
        <v>787.0</v>
      </c>
      <c r="B1879" s="4">
        <v>45320.57302083333</v>
      </c>
      <c r="C1879" s="3" t="s">
        <v>7</v>
      </c>
    </row>
    <row r="1880">
      <c r="A1880" s="3">
        <v>6703.0</v>
      </c>
      <c r="B1880" s="4">
        <v>45320.57599537037</v>
      </c>
      <c r="C1880" s="3" t="s">
        <v>4</v>
      </c>
    </row>
    <row r="1881">
      <c r="A1881" s="3">
        <v>7803.0</v>
      </c>
      <c r="B1881" s="4">
        <v>45320.579675925925</v>
      </c>
      <c r="C1881" s="3" t="s">
        <v>6</v>
      </c>
    </row>
    <row r="1882">
      <c r="A1882" s="3">
        <v>5533.0</v>
      </c>
      <c r="B1882" s="4">
        <v>45320.58893518519</v>
      </c>
      <c r="C1882" s="3" t="s">
        <v>6</v>
      </c>
    </row>
    <row r="1883">
      <c r="A1883" s="3">
        <v>2816.0</v>
      </c>
      <c r="B1883" s="4">
        <v>45320.593564814815</v>
      </c>
      <c r="C1883" s="3" t="s">
        <v>6</v>
      </c>
    </row>
    <row r="1884">
      <c r="A1884" s="3">
        <v>5820.0</v>
      </c>
      <c r="B1884" s="4">
        <v>45320.60013888889</v>
      </c>
      <c r="C1884" s="3" t="s">
        <v>3</v>
      </c>
    </row>
    <row r="1885">
      <c r="A1885" s="3">
        <v>3007.0</v>
      </c>
      <c r="B1885" s="4">
        <v>45320.61019675926</v>
      </c>
      <c r="C1885" s="3" t="s">
        <v>6</v>
      </c>
    </row>
    <row r="1886">
      <c r="A1886" s="3">
        <v>3066.0</v>
      </c>
      <c r="B1886" s="4">
        <v>45320.614907407406</v>
      </c>
      <c r="C1886" s="3" t="s">
        <v>4</v>
      </c>
    </row>
    <row r="1887">
      <c r="A1887" s="3">
        <v>5611.0</v>
      </c>
      <c r="B1887" s="4">
        <v>45320.615578703706</v>
      </c>
      <c r="C1887" s="3" t="s">
        <v>6</v>
      </c>
    </row>
    <row r="1888">
      <c r="A1888" s="3">
        <v>757.0</v>
      </c>
      <c r="B1888" s="4">
        <v>45320.61702546296</v>
      </c>
      <c r="C1888" s="3" t="s">
        <v>7</v>
      </c>
    </row>
    <row r="1889">
      <c r="A1889" s="3">
        <v>879.0</v>
      </c>
      <c r="B1889" s="4">
        <v>45320.617418981485</v>
      </c>
      <c r="C1889" s="3" t="s">
        <v>4</v>
      </c>
    </row>
    <row r="1890">
      <c r="A1890" s="3">
        <v>6674.0</v>
      </c>
      <c r="B1890" s="4">
        <v>45320.626064814816</v>
      </c>
      <c r="C1890" s="3" t="s">
        <v>3</v>
      </c>
    </row>
    <row r="1891">
      <c r="A1891" s="3">
        <v>6640.0</v>
      </c>
      <c r="B1891" s="4">
        <v>45320.62773148148</v>
      </c>
      <c r="C1891" s="3" t="s">
        <v>7</v>
      </c>
    </row>
    <row r="1892">
      <c r="A1892" s="3">
        <v>7642.0</v>
      </c>
      <c r="B1892" s="4">
        <v>45320.6405787037</v>
      </c>
      <c r="C1892" s="3" t="s">
        <v>3</v>
      </c>
    </row>
    <row r="1893">
      <c r="A1893" s="3">
        <v>4140.0</v>
      </c>
      <c r="B1893" s="4">
        <v>45320.649351851855</v>
      </c>
      <c r="C1893" s="3" t="s">
        <v>7</v>
      </c>
    </row>
    <row r="1894">
      <c r="A1894" s="3">
        <v>5036.0</v>
      </c>
      <c r="B1894" s="4">
        <v>45320.6571412037</v>
      </c>
      <c r="C1894" s="3" t="s">
        <v>6</v>
      </c>
    </row>
    <row r="1895">
      <c r="A1895" s="3">
        <v>7075.0</v>
      </c>
      <c r="B1895" s="4">
        <v>45320.66019675926</v>
      </c>
      <c r="C1895" s="3" t="s">
        <v>3</v>
      </c>
    </row>
    <row r="1896">
      <c r="A1896" s="3">
        <v>2955.0</v>
      </c>
      <c r="B1896" s="4">
        <v>45320.672581018516</v>
      </c>
      <c r="C1896" s="3" t="s">
        <v>6</v>
      </c>
    </row>
    <row r="1897">
      <c r="A1897" s="3">
        <v>2037.0</v>
      </c>
      <c r="B1897" s="4">
        <v>45320.73998842593</v>
      </c>
      <c r="C1897" s="3" t="s">
        <v>6</v>
      </c>
    </row>
    <row r="1898">
      <c r="A1898" s="3">
        <v>1465.0</v>
      </c>
      <c r="B1898" s="4">
        <v>45320.743935185186</v>
      </c>
      <c r="C1898" s="3" t="s">
        <v>5</v>
      </c>
    </row>
    <row r="1899">
      <c r="A1899" s="3">
        <v>4345.0</v>
      </c>
      <c r="B1899" s="4">
        <v>45320.74625</v>
      </c>
      <c r="C1899" s="3" t="s">
        <v>3</v>
      </c>
    </row>
    <row r="1900">
      <c r="A1900" s="3">
        <v>2988.0</v>
      </c>
      <c r="B1900" s="4">
        <v>45320.7500462963</v>
      </c>
      <c r="C1900" s="3" t="s">
        <v>5</v>
      </c>
    </row>
    <row r="1901">
      <c r="A1901" s="3">
        <v>3066.0</v>
      </c>
      <c r="B1901" s="4">
        <v>45320.80126157407</v>
      </c>
      <c r="C1901" s="3" t="s">
        <v>5</v>
      </c>
    </row>
    <row r="1902">
      <c r="A1902" s="3">
        <v>7951.0</v>
      </c>
      <c r="B1902" s="4">
        <v>45320.80784722222</v>
      </c>
      <c r="C1902" s="3" t="s">
        <v>4</v>
      </c>
    </row>
    <row r="1903">
      <c r="A1903" s="3">
        <v>1202.0</v>
      </c>
      <c r="B1903" s="4">
        <v>45320.82303240741</v>
      </c>
      <c r="C1903" s="3" t="s">
        <v>3</v>
      </c>
    </row>
    <row r="1904">
      <c r="A1904" s="3">
        <v>6619.0</v>
      </c>
      <c r="B1904" s="4">
        <v>45320.8250462963</v>
      </c>
      <c r="C1904" s="3" t="s">
        <v>6</v>
      </c>
    </row>
    <row r="1905">
      <c r="A1905" s="3">
        <v>7031.0</v>
      </c>
      <c r="B1905" s="4">
        <v>45320.83521990741</v>
      </c>
      <c r="C1905" s="3" t="s">
        <v>7</v>
      </c>
    </row>
    <row r="1906">
      <c r="A1906" s="3">
        <v>7777.0</v>
      </c>
      <c r="B1906" s="4">
        <v>45320.89975694445</v>
      </c>
      <c r="C1906" s="3" t="s">
        <v>3</v>
      </c>
    </row>
    <row r="1907">
      <c r="A1907" s="3">
        <v>2988.0</v>
      </c>
      <c r="B1907" s="4">
        <v>45320.8999537037</v>
      </c>
      <c r="C1907" s="3" t="s">
        <v>4</v>
      </c>
    </row>
    <row r="1908">
      <c r="A1908" s="3">
        <v>6619.0</v>
      </c>
      <c r="B1908" s="4">
        <v>45320.90572916667</v>
      </c>
      <c r="C1908" s="3" t="s">
        <v>7</v>
      </c>
    </row>
    <row r="1909">
      <c r="A1909" s="3">
        <v>5611.0</v>
      </c>
      <c r="B1909" s="4">
        <v>45320.90726851852</v>
      </c>
      <c r="C1909" s="3" t="s">
        <v>5</v>
      </c>
    </row>
    <row r="1910">
      <c r="A1910" s="3">
        <v>3485.0</v>
      </c>
      <c r="B1910" s="4">
        <v>45320.9112962963</v>
      </c>
      <c r="C1910" s="3" t="s">
        <v>3</v>
      </c>
    </row>
    <row r="1911">
      <c r="A1911" s="3">
        <v>5846.0</v>
      </c>
      <c r="B1911" s="4">
        <v>45320.92306712963</v>
      </c>
      <c r="C1911" s="3" t="s">
        <v>4</v>
      </c>
    </row>
    <row r="1912">
      <c r="A1912" s="3">
        <v>4553.0</v>
      </c>
      <c r="B1912" s="4">
        <v>45320.93274305556</v>
      </c>
      <c r="C1912" s="3" t="s">
        <v>6</v>
      </c>
    </row>
    <row r="1913">
      <c r="A1913" s="3">
        <v>7283.0</v>
      </c>
      <c r="B1913" s="4">
        <v>45320.94152777778</v>
      </c>
      <c r="C1913" s="3" t="s">
        <v>5</v>
      </c>
    </row>
    <row r="1914">
      <c r="A1914" s="3">
        <v>5846.0</v>
      </c>
      <c r="B1914" s="4">
        <v>45320.9703125</v>
      </c>
      <c r="C1914" s="3" t="s">
        <v>5</v>
      </c>
    </row>
    <row r="1915">
      <c r="A1915" s="3">
        <v>7242.0</v>
      </c>
      <c r="B1915" s="4">
        <v>45320.994305555556</v>
      </c>
      <c r="C1915" s="3" t="s">
        <v>5</v>
      </c>
    </row>
    <row r="1916">
      <c r="A1916" s="3">
        <v>5134.0</v>
      </c>
      <c r="B1916" s="4">
        <v>45321.001747685186</v>
      </c>
      <c r="C1916" s="3" t="s">
        <v>6</v>
      </c>
    </row>
    <row r="1917">
      <c r="A1917" s="3">
        <v>1202.0</v>
      </c>
      <c r="B1917" s="4">
        <v>45321.01069444444</v>
      </c>
      <c r="C1917" s="3" t="s">
        <v>4</v>
      </c>
    </row>
    <row r="1918">
      <c r="A1918" s="3">
        <v>7951.0</v>
      </c>
      <c r="B1918" s="4">
        <v>45321.10302083333</v>
      </c>
      <c r="C1918" s="3" t="s">
        <v>6</v>
      </c>
    </row>
    <row r="1919">
      <c r="A1919" s="3">
        <v>740.0</v>
      </c>
      <c r="B1919" s="4">
        <v>45321.12934027778</v>
      </c>
      <c r="C1919" s="3" t="s">
        <v>3</v>
      </c>
    </row>
    <row r="1920">
      <c r="A1920" s="3">
        <v>4849.0</v>
      </c>
      <c r="B1920" s="4">
        <v>45321.15917824074</v>
      </c>
      <c r="C1920" s="3" t="s">
        <v>3</v>
      </c>
    </row>
    <row r="1921">
      <c r="A1921" s="3">
        <v>6034.0</v>
      </c>
      <c r="B1921" s="4">
        <v>45321.22960648148</v>
      </c>
      <c r="C1921" s="3" t="s">
        <v>6</v>
      </c>
    </row>
    <row r="1922">
      <c r="A1922" s="3">
        <v>5241.0</v>
      </c>
      <c r="B1922" s="4">
        <v>45321.24266203704</v>
      </c>
      <c r="C1922" s="3" t="s">
        <v>3</v>
      </c>
    </row>
    <row r="1923">
      <c r="A1923" s="3">
        <v>7346.0</v>
      </c>
      <c r="B1923" s="4">
        <v>45321.24653935185</v>
      </c>
      <c r="C1923" s="3" t="s">
        <v>3</v>
      </c>
    </row>
    <row r="1924">
      <c r="A1924" s="3">
        <v>6554.0</v>
      </c>
      <c r="B1924" s="4">
        <v>45321.26155092593</v>
      </c>
      <c r="C1924" s="3" t="s">
        <v>3</v>
      </c>
    </row>
    <row r="1925">
      <c r="A1925" s="3">
        <v>2894.0</v>
      </c>
      <c r="B1925" s="4">
        <v>45321.28319444445</v>
      </c>
      <c r="C1925" s="3" t="s">
        <v>3</v>
      </c>
    </row>
    <row r="1926">
      <c r="A1926" s="3">
        <v>6132.0</v>
      </c>
      <c r="B1926" s="4">
        <v>45321.31523148148</v>
      </c>
      <c r="C1926" s="3" t="s">
        <v>3</v>
      </c>
    </row>
    <row r="1927">
      <c r="A1927" s="3">
        <v>1267.0</v>
      </c>
      <c r="B1927" s="4">
        <v>45321.328831018516</v>
      </c>
      <c r="C1927" s="3" t="s">
        <v>3</v>
      </c>
    </row>
    <row r="1928">
      <c r="A1928" s="3">
        <v>7266.0</v>
      </c>
      <c r="B1928" s="4">
        <v>45321.342881944445</v>
      </c>
      <c r="C1928" s="3" t="s">
        <v>3</v>
      </c>
    </row>
    <row r="1929">
      <c r="A1929" s="3">
        <v>5922.0</v>
      </c>
      <c r="B1929" s="4">
        <v>45321.37972222222</v>
      </c>
      <c r="C1929" s="3" t="s">
        <v>3</v>
      </c>
    </row>
    <row r="1930">
      <c r="A1930" s="3">
        <v>7242.0</v>
      </c>
      <c r="B1930" s="4">
        <v>45321.388657407406</v>
      </c>
      <c r="C1930" s="3" t="s">
        <v>4</v>
      </c>
    </row>
    <row r="1931">
      <c r="A1931" s="3">
        <v>1769.0</v>
      </c>
      <c r="B1931" s="4">
        <v>45321.390648148146</v>
      </c>
      <c r="C1931" s="3" t="s">
        <v>3</v>
      </c>
    </row>
    <row r="1932">
      <c r="A1932" s="3">
        <v>3322.0</v>
      </c>
      <c r="B1932" s="4">
        <v>45321.401550925926</v>
      </c>
      <c r="C1932" s="3" t="s">
        <v>3</v>
      </c>
    </row>
    <row r="1933">
      <c r="A1933" s="3">
        <v>7224.0</v>
      </c>
      <c r="B1933" s="4">
        <v>45321.40912037037</v>
      </c>
      <c r="C1933" s="3" t="s">
        <v>4</v>
      </c>
    </row>
    <row r="1934">
      <c r="A1934" s="3">
        <v>6756.0</v>
      </c>
      <c r="B1934" s="4">
        <v>45321.418645833335</v>
      </c>
      <c r="C1934" s="3" t="s">
        <v>7</v>
      </c>
    </row>
    <row r="1935">
      <c r="A1935" s="3">
        <v>1922.0</v>
      </c>
      <c r="B1935" s="4">
        <v>45321.41966435185</v>
      </c>
      <c r="C1935" s="3" t="s">
        <v>3</v>
      </c>
    </row>
    <row r="1936">
      <c r="A1936" s="3">
        <v>3694.0</v>
      </c>
      <c r="B1936" s="4">
        <v>45321.44326388889</v>
      </c>
      <c r="C1936" s="3" t="s">
        <v>5</v>
      </c>
    </row>
    <row r="1937">
      <c r="A1937" s="3">
        <v>4002.0</v>
      </c>
      <c r="B1937" s="4">
        <v>45321.4525</v>
      </c>
      <c r="C1937" s="3" t="s">
        <v>3</v>
      </c>
    </row>
    <row r="1938">
      <c r="A1938" s="3">
        <v>341.0</v>
      </c>
      <c r="B1938" s="4">
        <v>45321.48658564815</v>
      </c>
      <c r="C1938" s="3" t="s">
        <v>3</v>
      </c>
    </row>
    <row r="1939">
      <c r="A1939" s="3">
        <v>4485.0</v>
      </c>
      <c r="B1939" s="4">
        <v>45321.489270833335</v>
      </c>
      <c r="C1939" s="3" t="s">
        <v>3</v>
      </c>
    </row>
    <row r="1940">
      <c r="A1940" s="3">
        <v>6640.0</v>
      </c>
      <c r="B1940" s="4">
        <v>45321.502118055556</v>
      </c>
      <c r="C1940" s="3" t="s">
        <v>6</v>
      </c>
    </row>
    <row r="1941">
      <c r="A1941" s="3">
        <v>7979.0</v>
      </c>
      <c r="B1941" s="4">
        <v>45321.51085648148</v>
      </c>
      <c r="C1941" s="3" t="s">
        <v>3</v>
      </c>
    </row>
    <row r="1942">
      <c r="A1942" s="3">
        <v>3574.0</v>
      </c>
      <c r="B1942" s="4">
        <v>45321.533530092594</v>
      </c>
      <c r="C1942" s="3" t="s">
        <v>3</v>
      </c>
    </row>
    <row r="1943">
      <c r="A1943" s="3">
        <v>7982.0</v>
      </c>
      <c r="B1943" s="4">
        <v>45321.590208333335</v>
      </c>
      <c r="C1943" s="3" t="s">
        <v>3</v>
      </c>
    </row>
    <row r="1944">
      <c r="A1944" s="3">
        <v>1202.0</v>
      </c>
      <c r="B1944" s="4">
        <v>45321.63767361111</v>
      </c>
      <c r="C1944" s="3" t="s">
        <v>5</v>
      </c>
    </row>
    <row r="1945">
      <c r="A1945" s="3">
        <v>1513.0</v>
      </c>
      <c r="B1945" s="4">
        <v>45321.65513888889</v>
      </c>
      <c r="C1945" s="3" t="s">
        <v>6</v>
      </c>
    </row>
    <row r="1946">
      <c r="A1946" s="3">
        <v>1762.0</v>
      </c>
      <c r="B1946" s="4">
        <v>45321.65850694444</v>
      </c>
      <c r="C1946" s="3" t="s">
        <v>4</v>
      </c>
    </row>
    <row r="1947">
      <c r="A1947" s="3">
        <v>4952.0</v>
      </c>
      <c r="B1947" s="4">
        <v>45321.668703703705</v>
      </c>
      <c r="C1947" s="3" t="s">
        <v>6</v>
      </c>
    </row>
    <row r="1948">
      <c r="A1948" s="3">
        <v>348.0</v>
      </c>
      <c r="B1948" s="4">
        <v>45321.679074074076</v>
      </c>
      <c r="C1948" s="3" t="s">
        <v>7</v>
      </c>
    </row>
    <row r="1949">
      <c r="A1949" s="3">
        <v>618.0</v>
      </c>
      <c r="B1949" s="4">
        <v>45321.68547453704</v>
      </c>
      <c r="C1949" s="3" t="s">
        <v>3</v>
      </c>
    </row>
    <row r="1950">
      <c r="A1950" s="3">
        <v>3650.0</v>
      </c>
      <c r="B1950" s="4">
        <v>45321.68806712963</v>
      </c>
      <c r="C1950" s="3" t="s">
        <v>3</v>
      </c>
    </row>
    <row r="1951">
      <c r="A1951" s="3">
        <v>89.0</v>
      </c>
      <c r="B1951" s="4">
        <v>45321.70186342593</v>
      </c>
      <c r="C1951" s="3" t="s">
        <v>7</v>
      </c>
    </row>
    <row r="1952">
      <c r="A1952" s="3">
        <v>6756.0</v>
      </c>
      <c r="B1952" s="4">
        <v>45321.70686342593</v>
      </c>
      <c r="C1952" s="3" t="s">
        <v>5</v>
      </c>
    </row>
    <row r="1953">
      <c r="A1953" s="3">
        <v>4849.0</v>
      </c>
      <c r="B1953" s="4">
        <v>45321.73332175926</v>
      </c>
      <c r="C1953" s="3" t="s">
        <v>4</v>
      </c>
    </row>
    <row r="1954">
      <c r="A1954" s="3">
        <v>2717.0</v>
      </c>
      <c r="B1954" s="4">
        <v>45321.73978009259</v>
      </c>
      <c r="C1954" s="3" t="s">
        <v>6</v>
      </c>
    </row>
    <row r="1955">
      <c r="A1955" s="3">
        <v>6132.0</v>
      </c>
      <c r="B1955" s="4">
        <v>45321.75289351852</v>
      </c>
      <c r="C1955" s="3" t="s">
        <v>5</v>
      </c>
    </row>
    <row r="1956">
      <c r="A1956" s="3">
        <v>646.0</v>
      </c>
      <c r="B1956" s="4">
        <v>45321.76429398148</v>
      </c>
      <c r="C1956" s="3" t="s">
        <v>3</v>
      </c>
    </row>
    <row r="1957">
      <c r="A1957" s="3">
        <v>3545.0</v>
      </c>
      <c r="B1957" s="4">
        <v>45321.76765046296</v>
      </c>
      <c r="C1957" s="3" t="s">
        <v>3</v>
      </c>
    </row>
    <row r="1958">
      <c r="A1958" s="3">
        <v>3372.0</v>
      </c>
      <c r="B1958" s="4">
        <v>45321.78068287037</v>
      </c>
      <c r="C1958" s="3" t="s">
        <v>3</v>
      </c>
    </row>
    <row r="1959">
      <c r="A1959" s="3">
        <v>4002.0</v>
      </c>
      <c r="B1959" s="4">
        <v>45321.781273148146</v>
      </c>
      <c r="C1959" s="3" t="s">
        <v>4</v>
      </c>
    </row>
    <row r="1960">
      <c r="A1960" s="3">
        <v>7224.0</v>
      </c>
      <c r="B1960" s="4">
        <v>45321.815983796296</v>
      </c>
      <c r="C1960" s="3" t="s">
        <v>3</v>
      </c>
    </row>
    <row r="1961">
      <c r="A1961" s="3">
        <v>1713.0</v>
      </c>
      <c r="B1961" s="4">
        <v>45321.8178587963</v>
      </c>
      <c r="C1961" s="3" t="s">
        <v>3</v>
      </c>
    </row>
    <row r="1962">
      <c r="A1962" s="3">
        <v>3188.0</v>
      </c>
      <c r="B1962" s="4">
        <v>45321.82377314815</v>
      </c>
      <c r="C1962" s="3" t="s">
        <v>4</v>
      </c>
    </row>
    <row r="1963">
      <c r="A1963" s="3">
        <v>7096.0</v>
      </c>
      <c r="B1963" s="4">
        <v>45321.85429398148</v>
      </c>
      <c r="C1963" s="3" t="s">
        <v>3</v>
      </c>
    </row>
    <row r="1964">
      <c r="A1964" s="3">
        <v>7512.0</v>
      </c>
      <c r="B1964" s="4">
        <v>45321.85554398148</v>
      </c>
      <c r="C1964" s="3" t="s">
        <v>4</v>
      </c>
    </row>
    <row r="1965">
      <c r="A1965" s="3">
        <v>995.0</v>
      </c>
      <c r="B1965" s="4">
        <v>45321.86373842593</v>
      </c>
      <c r="C1965" s="3" t="s">
        <v>4</v>
      </c>
    </row>
    <row r="1966">
      <c r="A1966" s="3">
        <v>5959.0</v>
      </c>
      <c r="B1966" s="4">
        <v>45321.86502314815</v>
      </c>
      <c r="C1966" s="3" t="s">
        <v>4</v>
      </c>
    </row>
    <row r="1967">
      <c r="A1967" s="3">
        <v>4261.0</v>
      </c>
      <c r="B1967" s="4">
        <v>45321.91049768519</v>
      </c>
      <c r="C1967" s="3" t="s">
        <v>3</v>
      </c>
    </row>
    <row r="1968">
      <c r="A1968" s="3">
        <v>7684.0</v>
      </c>
      <c r="B1968" s="4">
        <v>45321.941145833334</v>
      </c>
      <c r="C1968" s="3" t="s">
        <v>3</v>
      </c>
    </row>
    <row r="1969">
      <c r="A1969" s="3">
        <v>288.0</v>
      </c>
      <c r="B1969" s="4">
        <v>45321.95170138889</v>
      </c>
      <c r="C1969" s="3" t="s">
        <v>3</v>
      </c>
    </row>
    <row r="1970">
      <c r="A1970" s="3">
        <v>5036.0</v>
      </c>
      <c r="B1970" s="4">
        <v>45321.974027777775</v>
      </c>
      <c r="C1970" s="3" t="s">
        <v>4</v>
      </c>
    </row>
    <row r="1971">
      <c r="A1971" s="3">
        <v>3066.0</v>
      </c>
      <c r="B1971" s="4">
        <v>45321.98069444444</v>
      </c>
      <c r="C1971" s="3" t="s">
        <v>7</v>
      </c>
    </row>
    <row r="1972">
      <c r="A1972" s="3">
        <v>3545.0</v>
      </c>
      <c r="B1972" s="4">
        <v>45321.998020833336</v>
      </c>
      <c r="C1972" s="3" t="s">
        <v>5</v>
      </c>
    </row>
    <row r="1973">
      <c r="A1973" s="3">
        <v>5275.0</v>
      </c>
      <c r="B1973" s="4">
        <v>45322.000613425924</v>
      </c>
      <c r="C1973" s="3" t="s">
        <v>7</v>
      </c>
    </row>
    <row r="1974">
      <c r="A1974" s="3">
        <v>6125.0</v>
      </c>
      <c r="B1974" s="4">
        <v>45322.009201388886</v>
      </c>
      <c r="C1974" s="3" t="s">
        <v>3</v>
      </c>
    </row>
    <row r="1975">
      <c r="A1975" s="3">
        <v>6554.0</v>
      </c>
      <c r="B1975" s="4">
        <v>45322.01060185185</v>
      </c>
      <c r="C1975" s="3" t="s">
        <v>5</v>
      </c>
    </row>
    <row r="1976">
      <c r="A1976" s="3">
        <v>5724.0</v>
      </c>
      <c r="B1976" s="4">
        <v>45322.02899305556</v>
      </c>
      <c r="C1976" s="3" t="s">
        <v>6</v>
      </c>
    </row>
    <row r="1977">
      <c r="A1977" s="3">
        <v>2127.0</v>
      </c>
      <c r="B1977" s="4">
        <v>45322.029490740744</v>
      </c>
      <c r="C1977" s="3" t="s">
        <v>3</v>
      </c>
    </row>
    <row r="1978">
      <c r="A1978" s="3">
        <v>4436.0</v>
      </c>
      <c r="B1978" s="4">
        <v>45322.05672453704</v>
      </c>
      <c r="C1978" s="3" t="s">
        <v>3</v>
      </c>
    </row>
    <row r="1979">
      <c r="A1979" s="3">
        <v>6986.0</v>
      </c>
      <c r="B1979" s="4">
        <v>45322.057222222225</v>
      </c>
      <c r="C1979" s="3" t="s">
        <v>3</v>
      </c>
    </row>
    <row r="1980">
      <c r="A1980" s="3">
        <v>1146.0</v>
      </c>
      <c r="B1980" s="4">
        <v>45322.12767361111</v>
      </c>
      <c r="C1980" s="3" t="s">
        <v>3</v>
      </c>
    </row>
    <row r="1981">
      <c r="A1981" s="3">
        <v>3722.0</v>
      </c>
      <c r="B1981" s="4">
        <v>45322.13076388889</v>
      </c>
      <c r="C1981" s="3" t="s">
        <v>5</v>
      </c>
    </row>
    <row r="1982">
      <c r="A1982" s="3">
        <v>2128.0</v>
      </c>
      <c r="B1982" s="4">
        <v>45322.14267361111</v>
      </c>
      <c r="C1982" s="3" t="s">
        <v>3</v>
      </c>
    </row>
    <row r="1983">
      <c r="A1983" s="3">
        <v>4494.0</v>
      </c>
      <c r="B1983" s="4">
        <v>45322.18457175926</v>
      </c>
      <c r="C1983" s="3" t="s">
        <v>3</v>
      </c>
    </row>
    <row r="1984">
      <c r="A1984" s="3">
        <v>2727.0</v>
      </c>
      <c r="B1984" s="4">
        <v>45322.226493055554</v>
      </c>
      <c r="C1984" s="3" t="s">
        <v>6</v>
      </c>
    </row>
    <row r="1985">
      <c r="A1985" s="3">
        <v>2523.0</v>
      </c>
      <c r="B1985" s="4">
        <v>45322.23304398148</v>
      </c>
      <c r="C1985" s="3" t="s">
        <v>5</v>
      </c>
    </row>
    <row r="1986">
      <c r="A1986" s="3">
        <v>6629.0</v>
      </c>
      <c r="B1986" s="4">
        <v>45322.239849537036</v>
      </c>
      <c r="C1986" s="3" t="s">
        <v>4</v>
      </c>
    </row>
    <row r="1987">
      <c r="A1987" s="3">
        <v>2158.0</v>
      </c>
      <c r="B1987" s="4">
        <v>45322.256574074076</v>
      </c>
      <c r="C1987" s="3" t="s">
        <v>4</v>
      </c>
    </row>
    <row r="1988">
      <c r="A1988" s="3">
        <v>6276.0</v>
      </c>
      <c r="B1988" s="4">
        <v>45322.26525462963</v>
      </c>
      <c r="C1988" s="3" t="s">
        <v>5</v>
      </c>
    </row>
    <row r="1989">
      <c r="A1989" s="3">
        <v>5289.0</v>
      </c>
      <c r="B1989" s="4">
        <v>45322.28804398148</v>
      </c>
      <c r="C1989" s="3" t="s">
        <v>3</v>
      </c>
    </row>
    <row r="1990">
      <c r="A1990" s="3">
        <v>1116.0</v>
      </c>
      <c r="B1990" s="4">
        <v>45322.375810185185</v>
      </c>
      <c r="C1990" s="3" t="s">
        <v>3</v>
      </c>
    </row>
    <row r="1991">
      <c r="A1991" s="3">
        <v>5820.0</v>
      </c>
      <c r="B1991" s="4">
        <v>45322.386655092596</v>
      </c>
      <c r="C1991" s="3" t="s">
        <v>5</v>
      </c>
    </row>
    <row r="1992">
      <c r="A1992" s="3">
        <v>7509.0</v>
      </c>
      <c r="B1992" s="4">
        <v>45322.416979166665</v>
      </c>
      <c r="C1992" s="3" t="s">
        <v>4</v>
      </c>
    </row>
    <row r="1993">
      <c r="A1993" s="3">
        <v>7777.0</v>
      </c>
      <c r="B1993" s="4">
        <v>45322.45569444444</v>
      </c>
      <c r="C1993" s="3" t="s">
        <v>4</v>
      </c>
    </row>
    <row r="1994">
      <c r="A1994" s="3">
        <v>7317.0</v>
      </c>
      <c r="B1994" s="4">
        <v>45322.48664351852</v>
      </c>
      <c r="C1994" s="3" t="s">
        <v>3</v>
      </c>
    </row>
    <row r="1995">
      <c r="A1995" s="3">
        <v>6352.0</v>
      </c>
      <c r="B1995" s="4">
        <v>45322.49180555555</v>
      </c>
      <c r="C1995" s="3" t="s">
        <v>7</v>
      </c>
    </row>
    <row r="1996">
      <c r="A1996" s="3">
        <v>2158.0</v>
      </c>
      <c r="B1996" s="4">
        <v>45322.50042824074</v>
      </c>
      <c r="C1996" s="3" t="s">
        <v>3</v>
      </c>
    </row>
    <row r="1997">
      <c r="A1997" s="3">
        <v>7509.0</v>
      </c>
      <c r="B1997" s="4">
        <v>45322.52391203704</v>
      </c>
      <c r="C1997" s="3" t="s">
        <v>3</v>
      </c>
    </row>
    <row r="1998">
      <c r="A1998" s="3">
        <v>7266.0</v>
      </c>
      <c r="B1998" s="4">
        <v>45322.5821875</v>
      </c>
      <c r="C1998" s="3" t="s">
        <v>5</v>
      </c>
    </row>
    <row r="1999">
      <c r="A1999" s="3">
        <v>99.0</v>
      </c>
      <c r="B1999" s="4">
        <v>45322.643113425926</v>
      </c>
      <c r="C1999" s="3" t="s">
        <v>3</v>
      </c>
    </row>
    <row r="2000">
      <c r="A2000" s="3">
        <v>6188.0</v>
      </c>
      <c r="B2000" s="4">
        <v>45322.67530092593</v>
      </c>
      <c r="C2000" s="3" t="s">
        <v>6</v>
      </c>
    </row>
    <row r="2001">
      <c r="A2001" s="3">
        <v>2681.0</v>
      </c>
      <c r="B2001" s="4">
        <v>45322.7475462963</v>
      </c>
      <c r="C2001" s="3" t="s">
        <v>3</v>
      </c>
    </row>
    <row r="2002">
      <c r="A2002" s="3">
        <v>7982.0</v>
      </c>
      <c r="B2002" s="4">
        <v>45322.780706018515</v>
      </c>
      <c r="C2002" s="3" t="s">
        <v>5</v>
      </c>
    </row>
    <row r="2003">
      <c r="A2003" s="3">
        <v>7509.0</v>
      </c>
      <c r="B2003" s="4">
        <v>45322.79625</v>
      </c>
      <c r="C2003" s="3" t="s">
        <v>5</v>
      </c>
    </row>
    <row r="2004">
      <c r="A2004" s="3">
        <v>682.0</v>
      </c>
      <c r="B2004" s="4">
        <v>45322.82412037037</v>
      </c>
      <c r="C2004" s="3" t="s">
        <v>6</v>
      </c>
    </row>
    <row r="2005">
      <c r="A2005" s="3">
        <v>6034.0</v>
      </c>
      <c r="B2005" s="4">
        <v>45322.82722222222</v>
      </c>
      <c r="C2005" s="3" t="s">
        <v>5</v>
      </c>
    </row>
    <row r="2006">
      <c r="A2006" s="3">
        <v>4952.0</v>
      </c>
      <c r="B2006" s="4">
        <v>45322.84545138889</v>
      </c>
      <c r="C2006" s="3" t="s">
        <v>4</v>
      </c>
    </row>
    <row r="2007">
      <c r="A2007" s="3">
        <v>4125.0</v>
      </c>
      <c r="B2007" s="4">
        <v>45322.8487962963</v>
      </c>
      <c r="C2007" s="3" t="s">
        <v>3</v>
      </c>
    </row>
    <row r="2008">
      <c r="A2008" s="3">
        <v>2523.0</v>
      </c>
      <c r="B2008" s="4">
        <v>45322.86451388889</v>
      </c>
      <c r="C2008" s="3" t="s">
        <v>3</v>
      </c>
    </row>
    <row r="2009">
      <c r="A2009" s="3">
        <v>99.0</v>
      </c>
      <c r="B2009" s="4">
        <v>45322.888761574075</v>
      </c>
      <c r="C2009" s="3" t="s">
        <v>4</v>
      </c>
    </row>
    <row r="2010">
      <c r="A2010" s="3">
        <v>2717.0</v>
      </c>
      <c r="B2010" s="4">
        <v>45322.89333333333</v>
      </c>
      <c r="C2010" s="3" t="s">
        <v>7</v>
      </c>
    </row>
    <row r="2011">
      <c r="A2011" s="3">
        <v>2648.0</v>
      </c>
      <c r="B2011" s="4">
        <v>45322.89508101852</v>
      </c>
      <c r="C2011" s="3" t="s">
        <v>4</v>
      </c>
    </row>
    <row r="2012">
      <c r="A2012" s="3">
        <v>2408.0</v>
      </c>
      <c r="B2012" s="4">
        <v>45322.89876157408</v>
      </c>
      <c r="C2012" s="3" t="s">
        <v>3</v>
      </c>
    </row>
    <row r="2013">
      <c r="A2013" s="3">
        <v>5707.0</v>
      </c>
      <c r="B2013" s="4">
        <v>45322.904270833336</v>
      </c>
      <c r="C2013" s="3" t="s">
        <v>4</v>
      </c>
    </row>
    <row r="2014">
      <c r="A2014" s="3">
        <v>3999.0</v>
      </c>
      <c r="B2014" s="4">
        <v>45322.90634259259</v>
      </c>
      <c r="C2014" s="3" t="s">
        <v>3</v>
      </c>
    </row>
    <row r="2015">
      <c r="A2015" s="3">
        <v>3650.0</v>
      </c>
      <c r="B2015" s="4">
        <v>45322.909270833334</v>
      </c>
      <c r="C2015" s="3" t="s">
        <v>7</v>
      </c>
    </row>
    <row r="2016">
      <c r="A2016" s="3">
        <v>5707.0</v>
      </c>
      <c r="B2016" s="4">
        <v>45322.91905092593</v>
      </c>
      <c r="C2016" s="3" t="s">
        <v>3</v>
      </c>
    </row>
    <row r="2017">
      <c r="A2017" s="3">
        <v>5931.0</v>
      </c>
      <c r="B2017" s="4">
        <v>45322.92491898148</v>
      </c>
      <c r="C2017" s="3" t="s">
        <v>3</v>
      </c>
    </row>
    <row r="2018">
      <c r="A2018" s="3">
        <v>3048.0</v>
      </c>
      <c r="B2018" s="4">
        <v>45322.9350462963</v>
      </c>
      <c r="C2018" s="3" t="s">
        <v>3</v>
      </c>
    </row>
    <row r="2019">
      <c r="A2019" s="3">
        <v>3545.0</v>
      </c>
      <c r="B2019" s="4">
        <v>45322.98892361111</v>
      </c>
      <c r="C2019" s="3" t="s">
        <v>4</v>
      </c>
    </row>
    <row r="2020">
      <c r="A2020" s="3">
        <v>5262.0</v>
      </c>
      <c r="B2020" s="4">
        <v>45322.99238425926</v>
      </c>
      <c r="C2020" s="3" t="s">
        <v>3</v>
      </c>
    </row>
    <row r="2021">
      <c r="A2021" s="3">
        <v>5036.0</v>
      </c>
      <c r="B2021" s="4">
        <v>45322.994467592594</v>
      </c>
      <c r="C2021" s="3" t="s">
        <v>5</v>
      </c>
    </row>
    <row r="2022">
      <c r="A2022" s="3">
        <v>5820.0</v>
      </c>
      <c r="B2022" s="4">
        <v>45322.99820601852</v>
      </c>
      <c r="C2022" s="3" t="s">
        <v>4</v>
      </c>
    </row>
    <row r="2023">
      <c r="A2023" s="3">
        <v>4849.0</v>
      </c>
      <c r="B2023" s="4">
        <v>45323.00984953704</v>
      </c>
      <c r="C2023" s="3" t="s">
        <v>5</v>
      </c>
    </row>
    <row r="2024">
      <c r="A2024" s="3">
        <v>2523.0</v>
      </c>
      <c r="B2024" s="4">
        <v>45323.05311342593</v>
      </c>
      <c r="C2024" s="3" t="s">
        <v>7</v>
      </c>
    </row>
    <row r="2025">
      <c r="A2025" s="3">
        <v>3689.0</v>
      </c>
      <c r="B2025" s="4">
        <v>45323.05923611111</v>
      </c>
      <c r="C2025" s="3" t="s">
        <v>6</v>
      </c>
    </row>
    <row r="2026">
      <c r="A2026" s="3">
        <v>1769.0</v>
      </c>
      <c r="B2026" s="4">
        <v>45323.077523148146</v>
      </c>
      <c r="C2026" s="3" t="s">
        <v>4</v>
      </c>
    </row>
    <row r="2027">
      <c r="A2027" s="3">
        <v>2692.0</v>
      </c>
      <c r="B2027" s="4">
        <v>45323.09478009259</v>
      </c>
      <c r="C2027" s="3" t="s">
        <v>4</v>
      </c>
    </row>
    <row r="2028">
      <c r="A2028" s="3">
        <v>6456.0</v>
      </c>
      <c r="B2028" s="4">
        <v>45323.10885416667</v>
      </c>
      <c r="C2028" s="3" t="s">
        <v>6</v>
      </c>
    </row>
    <row r="2029">
      <c r="A2029" s="3">
        <v>2137.0</v>
      </c>
      <c r="B2029" s="4">
        <v>45323.1418287037</v>
      </c>
      <c r="C2029" s="3" t="s">
        <v>3</v>
      </c>
    </row>
    <row r="2030">
      <c r="A2030" s="3">
        <v>2421.0</v>
      </c>
      <c r="B2030" s="4">
        <v>45323.15305555556</v>
      </c>
      <c r="C2030" s="3" t="s">
        <v>6</v>
      </c>
    </row>
    <row r="2031">
      <c r="A2031" s="3">
        <v>4866.0</v>
      </c>
      <c r="B2031" s="4">
        <v>45323.17502314815</v>
      </c>
      <c r="C2031" s="3" t="s">
        <v>3</v>
      </c>
    </row>
    <row r="2032">
      <c r="A2032" s="3">
        <v>6990.0</v>
      </c>
      <c r="B2032" s="4">
        <v>45323.179918981485</v>
      </c>
      <c r="C2032" s="3" t="s">
        <v>6</v>
      </c>
    </row>
    <row r="2033">
      <c r="A2033" s="3">
        <v>6926.0</v>
      </c>
      <c r="B2033" s="4">
        <v>45323.18347222222</v>
      </c>
      <c r="C2033" s="3" t="s">
        <v>4</v>
      </c>
    </row>
    <row r="2034">
      <c r="A2034" s="3">
        <v>320.0</v>
      </c>
      <c r="B2034" s="4">
        <v>45323.19068287037</v>
      </c>
      <c r="C2034" s="3" t="s">
        <v>4</v>
      </c>
    </row>
    <row r="2035">
      <c r="A2035" s="3">
        <v>2988.0</v>
      </c>
      <c r="B2035" s="4">
        <v>45323.20318287037</v>
      </c>
      <c r="C2035" s="3" t="s">
        <v>6</v>
      </c>
    </row>
    <row r="2036">
      <c r="A2036" s="3">
        <v>1576.0</v>
      </c>
      <c r="B2036" s="4">
        <v>45323.225497685184</v>
      </c>
      <c r="C2036" s="3" t="s">
        <v>3</v>
      </c>
    </row>
    <row r="2037">
      <c r="A2037" s="3">
        <v>6926.0</v>
      </c>
      <c r="B2037" s="4">
        <v>45323.22876157407</v>
      </c>
      <c r="C2037" s="3" t="s">
        <v>3</v>
      </c>
    </row>
    <row r="2038">
      <c r="A2038" s="3">
        <v>5289.0</v>
      </c>
      <c r="B2038" s="4">
        <v>45323.2340625</v>
      </c>
      <c r="C2038" s="3" t="s">
        <v>4</v>
      </c>
    </row>
    <row r="2039">
      <c r="A2039" s="3">
        <v>3066.0</v>
      </c>
      <c r="B2039" s="4">
        <v>45323.242118055554</v>
      </c>
      <c r="C2039" s="3" t="s">
        <v>6</v>
      </c>
    </row>
    <row r="2040">
      <c r="A2040" s="3">
        <v>3140.0</v>
      </c>
      <c r="B2040" s="4">
        <v>45323.255428240744</v>
      </c>
      <c r="C2040" s="3" t="s">
        <v>3</v>
      </c>
    </row>
    <row r="2041">
      <c r="A2041" s="3">
        <v>4075.0</v>
      </c>
      <c r="B2041" s="4">
        <v>45323.25670138889</v>
      </c>
      <c r="C2041" s="3" t="s">
        <v>3</v>
      </c>
    </row>
    <row r="2042">
      <c r="A2042" s="3">
        <v>6125.0</v>
      </c>
      <c r="B2042" s="4">
        <v>45323.27137731481</v>
      </c>
      <c r="C2042" s="3" t="s">
        <v>4</v>
      </c>
    </row>
    <row r="2043">
      <c r="A2043" s="3">
        <v>3551.0</v>
      </c>
      <c r="B2043" s="4">
        <v>45323.279652777775</v>
      </c>
      <c r="C2043" s="3" t="s">
        <v>6</v>
      </c>
    </row>
    <row r="2044">
      <c r="A2044" s="3">
        <v>3435.0</v>
      </c>
      <c r="B2044" s="4">
        <v>45323.28943287037</v>
      </c>
      <c r="C2044" s="3" t="s">
        <v>6</v>
      </c>
    </row>
    <row r="2045">
      <c r="A2045" s="3">
        <v>1343.0</v>
      </c>
      <c r="B2045" s="4">
        <v>45323.29340277778</v>
      </c>
      <c r="C2045" s="3" t="s">
        <v>3</v>
      </c>
    </row>
    <row r="2046">
      <c r="A2046" s="3">
        <v>2681.0</v>
      </c>
      <c r="B2046" s="4">
        <v>45323.31128472222</v>
      </c>
      <c r="C2046" s="3" t="s">
        <v>7</v>
      </c>
    </row>
    <row r="2047">
      <c r="A2047" s="3">
        <v>6888.0</v>
      </c>
      <c r="B2047" s="4">
        <v>45323.317037037035</v>
      </c>
      <c r="C2047" s="3" t="s">
        <v>4</v>
      </c>
    </row>
    <row r="2048">
      <c r="A2048" s="3">
        <v>3653.0</v>
      </c>
      <c r="B2048" s="4">
        <v>45323.334502314814</v>
      </c>
      <c r="C2048" s="3" t="s">
        <v>3</v>
      </c>
    </row>
    <row r="2049">
      <c r="A2049" s="3">
        <v>2127.0</v>
      </c>
      <c r="B2049" s="4">
        <v>45323.37059027778</v>
      </c>
      <c r="C2049" s="3" t="s">
        <v>4</v>
      </c>
    </row>
    <row r="2050">
      <c r="A2050" s="3">
        <v>5922.0</v>
      </c>
      <c r="B2050" s="4">
        <v>45323.37190972222</v>
      </c>
      <c r="C2050" s="3" t="s">
        <v>5</v>
      </c>
    </row>
    <row r="2051">
      <c r="A2051" s="3">
        <v>2692.0</v>
      </c>
      <c r="B2051" s="4">
        <v>45323.38240740741</v>
      </c>
      <c r="C2051" s="3" t="s">
        <v>3</v>
      </c>
    </row>
    <row r="2052">
      <c r="A2052" s="3">
        <v>2859.0</v>
      </c>
      <c r="B2052" s="4">
        <v>45323.41306712963</v>
      </c>
      <c r="C2052" s="3" t="s">
        <v>3</v>
      </c>
    </row>
    <row r="2053">
      <c r="A2053" s="3">
        <v>6802.0</v>
      </c>
      <c r="B2053" s="4">
        <v>45323.422488425924</v>
      </c>
      <c r="C2053" s="3" t="s">
        <v>3</v>
      </c>
    </row>
    <row r="2054">
      <c r="A2054" s="3">
        <v>1612.0</v>
      </c>
      <c r="B2054" s="4">
        <v>45323.43164351852</v>
      </c>
      <c r="C2054" s="3" t="s">
        <v>4</v>
      </c>
    </row>
    <row r="2055">
      <c r="A2055" s="3">
        <v>1130.0</v>
      </c>
      <c r="B2055" s="4">
        <v>45323.45202546296</v>
      </c>
      <c r="C2055" s="3" t="s">
        <v>7</v>
      </c>
    </row>
    <row r="2056">
      <c r="A2056" s="3">
        <v>4952.0</v>
      </c>
      <c r="B2056" s="4">
        <v>45323.452835648146</v>
      </c>
      <c r="C2056" s="3" t="s">
        <v>5</v>
      </c>
    </row>
    <row r="2057">
      <c r="A2057" s="3">
        <v>6727.0</v>
      </c>
      <c r="B2057" s="4">
        <v>45323.46697916667</v>
      </c>
      <c r="C2057" s="3" t="s">
        <v>3</v>
      </c>
    </row>
    <row r="2058">
      <c r="A2058" s="3">
        <v>7642.0</v>
      </c>
      <c r="B2058" s="4">
        <v>45323.48153935185</v>
      </c>
      <c r="C2058" s="3" t="s">
        <v>7</v>
      </c>
    </row>
    <row r="2059">
      <c r="A2059" s="3">
        <v>2859.0</v>
      </c>
      <c r="B2059" s="4">
        <v>45323.492314814815</v>
      </c>
      <c r="C2059" s="3" t="s">
        <v>4</v>
      </c>
    </row>
    <row r="2060">
      <c r="A2060" s="3">
        <v>320.0</v>
      </c>
      <c r="B2060" s="4">
        <v>45323.505891203706</v>
      </c>
      <c r="C2060" s="3" t="s">
        <v>3</v>
      </c>
    </row>
    <row r="2061">
      <c r="A2061" s="3">
        <v>3188.0</v>
      </c>
      <c r="B2061" s="4">
        <v>45323.52809027778</v>
      </c>
      <c r="C2061" s="3" t="s">
        <v>5</v>
      </c>
    </row>
    <row r="2062">
      <c r="A2062" s="3">
        <v>6888.0</v>
      </c>
      <c r="B2062" s="4">
        <v>45323.52866898148</v>
      </c>
      <c r="C2062" s="3" t="s">
        <v>3</v>
      </c>
    </row>
    <row r="2063">
      <c r="A2063" s="3">
        <v>435.0</v>
      </c>
      <c r="B2063" s="4">
        <v>45323.56900462963</v>
      </c>
      <c r="C2063" s="3" t="s">
        <v>6</v>
      </c>
    </row>
    <row r="2064">
      <c r="A2064" s="3">
        <v>6693.0</v>
      </c>
      <c r="B2064" s="4">
        <v>45323.61819444445</v>
      </c>
      <c r="C2064" s="3" t="s">
        <v>3</v>
      </c>
    </row>
    <row r="2065">
      <c r="A2065" s="3">
        <v>3140.0</v>
      </c>
      <c r="B2065" s="4">
        <v>45323.65451388889</v>
      </c>
      <c r="C2065" s="3" t="s">
        <v>4</v>
      </c>
    </row>
    <row r="2066">
      <c r="A2066" s="3">
        <v>5959.0</v>
      </c>
      <c r="B2066" s="4">
        <v>45323.70650462963</v>
      </c>
      <c r="C2066" s="3" t="s">
        <v>7</v>
      </c>
    </row>
    <row r="2067">
      <c r="A2067" s="3">
        <v>5846.0</v>
      </c>
      <c r="B2067" s="4">
        <v>45323.710960648146</v>
      </c>
      <c r="C2067" s="3" t="s">
        <v>6</v>
      </c>
    </row>
    <row r="2068">
      <c r="A2068" s="3">
        <v>1422.0</v>
      </c>
      <c r="B2068" s="4">
        <v>45323.71802083333</v>
      </c>
      <c r="C2068" s="3" t="s">
        <v>3</v>
      </c>
    </row>
    <row r="2069">
      <c r="A2069" s="3">
        <v>2128.0</v>
      </c>
      <c r="B2069" s="4">
        <v>45323.7187037037</v>
      </c>
      <c r="C2069" s="3" t="s">
        <v>4</v>
      </c>
    </row>
    <row r="2070">
      <c r="A2070" s="3">
        <v>2158.0</v>
      </c>
      <c r="B2070" s="4">
        <v>45323.72761574074</v>
      </c>
      <c r="C2070" s="3" t="s">
        <v>5</v>
      </c>
    </row>
    <row r="2071">
      <c r="A2071" s="3">
        <v>1116.0</v>
      </c>
      <c r="B2071" s="4">
        <v>45323.75601851852</v>
      </c>
      <c r="C2071" s="3" t="s">
        <v>4</v>
      </c>
    </row>
    <row r="2072">
      <c r="A2072" s="3">
        <v>1422.0</v>
      </c>
      <c r="B2072" s="4">
        <v>45323.79802083333</v>
      </c>
      <c r="C2072" s="3" t="s">
        <v>4</v>
      </c>
    </row>
    <row r="2073">
      <c r="A2073" s="3">
        <v>2894.0</v>
      </c>
      <c r="B2073" s="4">
        <v>45323.812685185185</v>
      </c>
      <c r="C2073" s="3" t="s">
        <v>4</v>
      </c>
    </row>
    <row r="2074">
      <c r="A2074" s="3">
        <v>3650.0</v>
      </c>
      <c r="B2074" s="4">
        <v>45323.81553240741</v>
      </c>
      <c r="C2074" s="3" t="s">
        <v>5</v>
      </c>
    </row>
    <row r="2075">
      <c r="A2075" s="3">
        <v>7193.0</v>
      </c>
      <c r="B2075" s="4">
        <v>45323.8178125</v>
      </c>
      <c r="C2075" s="3" t="s">
        <v>4</v>
      </c>
    </row>
    <row r="2076">
      <c r="A2076" s="3">
        <v>2840.0</v>
      </c>
      <c r="B2076" s="4">
        <v>45323.87490740741</v>
      </c>
      <c r="C2076" s="3" t="s">
        <v>3</v>
      </c>
    </row>
    <row r="2077">
      <c r="A2077" s="3">
        <v>6839.0</v>
      </c>
      <c r="B2077" s="4">
        <v>45323.880740740744</v>
      </c>
      <c r="C2077" s="3" t="s">
        <v>3</v>
      </c>
    </row>
    <row r="2078">
      <c r="A2078" s="3">
        <v>6034.0</v>
      </c>
      <c r="B2078" s="4">
        <v>45323.88082175926</v>
      </c>
      <c r="C2078" s="3" t="s">
        <v>7</v>
      </c>
    </row>
    <row r="2079">
      <c r="A2079" s="3">
        <v>1116.0</v>
      </c>
      <c r="B2079" s="4">
        <v>45323.89105324074</v>
      </c>
      <c r="C2079" s="3" t="s">
        <v>5</v>
      </c>
    </row>
    <row r="2080">
      <c r="A2080" s="3">
        <v>7283.0</v>
      </c>
      <c r="B2080" s="4">
        <v>45323.89810185185</v>
      </c>
      <c r="C2080" s="3" t="s">
        <v>7</v>
      </c>
    </row>
    <row r="2081">
      <c r="A2081" s="3">
        <v>6447.0</v>
      </c>
      <c r="B2081" s="4">
        <v>45323.92767361111</v>
      </c>
      <c r="C2081" s="3" t="s">
        <v>4</v>
      </c>
    </row>
    <row r="2082">
      <c r="A2082" s="3">
        <v>7242.0</v>
      </c>
      <c r="B2082" s="4">
        <v>45323.9325</v>
      </c>
      <c r="C2082" s="3" t="s">
        <v>6</v>
      </c>
    </row>
    <row r="2083">
      <c r="A2083" s="3">
        <v>320.0</v>
      </c>
      <c r="B2083" s="4">
        <v>45323.9609837963</v>
      </c>
      <c r="C2083" s="3" t="s">
        <v>5</v>
      </c>
    </row>
    <row r="2084">
      <c r="A2084" s="3">
        <v>2089.0</v>
      </c>
      <c r="B2084" s="4">
        <v>45323.961909722224</v>
      </c>
      <c r="C2084" s="3" t="s">
        <v>3</v>
      </c>
    </row>
    <row r="2085">
      <c r="A2085" s="3">
        <v>747.0</v>
      </c>
      <c r="B2085" s="4">
        <v>45323.97912037037</v>
      </c>
      <c r="C2085" s="3" t="s">
        <v>3</v>
      </c>
    </row>
    <row r="2086">
      <c r="A2086" s="3">
        <v>4286.0</v>
      </c>
      <c r="B2086" s="4">
        <v>45323.992893518516</v>
      </c>
      <c r="C2086" s="3" t="s">
        <v>3</v>
      </c>
    </row>
    <row r="2087">
      <c r="A2087" s="3">
        <v>3777.0</v>
      </c>
      <c r="B2087" s="4">
        <v>45324.006261574075</v>
      </c>
      <c r="C2087" s="3" t="s">
        <v>3</v>
      </c>
    </row>
    <row r="2088">
      <c r="A2088" s="3">
        <v>133.0</v>
      </c>
      <c r="B2088" s="4">
        <v>45324.00989583333</v>
      </c>
      <c r="C2088" s="3" t="s">
        <v>3</v>
      </c>
    </row>
    <row r="2089">
      <c r="A2089" s="3">
        <v>4406.0</v>
      </c>
      <c r="B2089" s="4">
        <v>45324.02449074074</v>
      </c>
      <c r="C2089" s="3" t="s">
        <v>3</v>
      </c>
    </row>
    <row r="2090">
      <c r="A2090" s="3">
        <v>716.0</v>
      </c>
      <c r="B2090" s="4">
        <v>45324.02799768518</v>
      </c>
      <c r="C2090" s="3" t="s">
        <v>3</v>
      </c>
    </row>
    <row r="2091">
      <c r="A2091" s="3">
        <v>1042.0</v>
      </c>
      <c r="B2091" s="4">
        <v>45324.050729166665</v>
      </c>
      <c r="C2091" s="3" t="s">
        <v>4</v>
      </c>
    </row>
    <row r="2092">
      <c r="A2092" s="3">
        <v>5036.0</v>
      </c>
      <c r="B2092" s="4">
        <v>45324.051354166666</v>
      </c>
      <c r="C2092" s="3" t="s">
        <v>7</v>
      </c>
    </row>
    <row r="2093">
      <c r="A2093" s="3">
        <v>3574.0</v>
      </c>
      <c r="B2093" s="4">
        <v>45324.0769212963</v>
      </c>
      <c r="C2093" s="3" t="s">
        <v>4</v>
      </c>
    </row>
    <row r="2094">
      <c r="A2094" s="3">
        <v>5587.0</v>
      </c>
      <c r="B2094" s="4">
        <v>45324.13175925926</v>
      </c>
      <c r="C2094" s="3" t="s">
        <v>3</v>
      </c>
    </row>
    <row r="2095">
      <c r="A2095" s="3">
        <v>7642.0</v>
      </c>
      <c r="B2095" s="4">
        <v>45324.13450231482</v>
      </c>
      <c r="C2095" s="3" t="s">
        <v>5</v>
      </c>
    </row>
    <row r="2096">
      <c r="A2096" s="3">
        <v>6276.0</v>
      </c>
      <c r="B2096" s="4">
        <v>45324.14673611111</v>
      </c>
      <c r="C2096" s="3" t="s">
        <v>6</v>
      </c>
    </row>
    <row r="2097">
      <c r="A2097" s="3">
        <v>7502.0</v>
      </c>
      <c r="B2097" s="4">
        <v>45324.162569444445</v>
      </c>
      <c r="C2097" s="3" t="s">
        <v>6</v>
      </c>
    </row>
    <row r="2098">
      <c r="A2098" s="3">
        <v>4705.0</v>
      </c>
      <c r="B2098" s="4">
        <v>45324.19478009259</v>
      </c>
      <c r="C2098" s="3" t="s">
        <v>4</v>
      </c>
    </row>
    <row r="2099">
      <c r="A2099" s="3">
        <v>6726.0</v>
      </c>
      <c r="B2099" s="4">
        <v>45324.206608796296</v>
      </c>
      <c r="C2099" s="3" t="s">
        <v>3</v>
      </c>
    </row>
    <row r="2100">
      <c r="A2100" s="3">
        <v>5922.0</v>
      </c>
      <c r="B2100" s="4">
        <v>45324.215092592596</v>
      </c>
      <c r="C2100" s="3" t="s">
        <v>7</v>
      </c>
    </row>
    <row r="2101">
      <c r="A2101" s="3">
        <v>4705.0</v>
      </c>
      <c r="B2101" s="4">
        <v>45324.22528935185</v>
      </c>
      <c r="C2101" s="3" t="s">
        <v>3</v>
      </c>
    </row>
    <row r="2102">
      <c r="A2102" s="3">
        <v>5306.0</v>
      </c>
      <c r="B2102" s="4">
        <v>45324.2781712963</v>
      </c>
      <c r="C2102" s="3" t="s">
        <v>3</v>
      </c>
    </row>
    <row r="2103">
      <c r="A2103" s="3">
        <v>1422.0</v>
      </c>
      <c r="B2103" s="4">
        <v>45324.292037037034</v>
      </c>
      <c r="C2103" s="3" t="s">
        <v>5</v>
      </c>
    </row>
    <row r="2104">
      <c r="A2104" s="3">
        <v>6727.0</v>
      </c>
      <c r="B2104" s="4">
        <v>45324.2937962963</v>
      </c>
      <c r="C2104" s="3" t="s">
        <v>4</v>
      </c>
    </row>
    <row r="2105">
      <c r="A2105" s="3">
        <v>2523.0</v>
      </c>
      <c r="B2105" s="4">
        <v>45324.323530092595</v>
      </c>
      <c r="C2105" s="3" t="s">
        <v>4</v>
      </c>
    </row>
    <row r="2106">
      <c r="A2106" s="3">
        <v>747.0</v>
      </c>
      <c r="B2106" s="4">
        <v>45324.34376157408</v>
      </c>
      <c r="C2106" s="3" t="s">
        <v>4</v>
      </c>
    </row>
    <row r="2107">
      <c r="A2107" s="3">
        <v>7948.0</v>
      </c>
      <c r="B2107" s="4">
        <v>45324.36677083333</v>
      </c>
      <c r="C2107" s="3" t="s">
        <v>3</v>
      </c>
    </row>
    <row r="2108">
      <c r="A2108" s="3">
        <v>4030.0</v>
      </c>
      <c r="B2108" s="4">
        <v>45324.37267361111</v>
      </c>
      <c r="C2108" s="3" t="s">
        <v>4</v>
      </c>
    </row>
    <row r="2109">
      <c r="A2109" s="3">
        <v>706.0</v>
      </c>
      <c r="B2109" s="4">
        <v>45324.37537037037</v>
      </c>
      <c r="C2109" s="3" t="s">
        <v>3</v>
      </c>
    </row>
    <row r="2110">
      <c r="A2110" s="3">
        <v>4030.0</v>
      </c>
      <c r="B2110" s="4">
        <v>45324.376805555556</v>
      </c>
      <c r="C2110" s="3" t="s">
        <v>3</v>
      </c>
    </row>
    <row r="2111">
      <c r="A2111" s="3">
        <v>3817.0</v>
      </c>
      <c r="B2111" s="4">
        <v>45324.38475694445</v>
      </c>
      <c r="C2111" s="3" t="s">
        <v>3</v>
      </c>
    </row>
    <row r="2112">
      <c r="A2112" s="3">
        <v>6004.0</v>
      </c>
      <c r="B2112" s="4">
        <v>45324.38517361111</v>
      </c>
      <c r="C2112" s="3" t="s">
        <v>6</v>
      </c>
    </row>
    <row r="2113">
      <c r="A2113" s="3">
        <v>7754.0</v>
      </c>
      <c r="B2113" s="4">
        <v>45324.38903935185</v>
      </c>
      <c r="C2113" s="3" t="s">
        <v>7</v>
      </c>
    </row>
    <row r="2114">
      <c r="A2114" s="3">
        <v>7948.0</v>
      </c>
      <c r="B2114" s="4">
        <v>45324.390868055554</v>
      </c>
      <c r="C2114" s="3" t="s">
        <v>5</v>
      </c>
    </row>
    <row r="2115">
      <c r="A2115" s="3">
        <v>2681.0</v>
      </c>
      <c r="B2115" s="4">
        <v>45324.39505787037</v>
      </c>
      <c r="C2115" s="3" t="s">
        <v>4</v>
      </c>
    </row>
    <row r="2116">
      <c r="A2116" s="3">
        <v>6191.0</v>
      </c>
      <c r="B2116" s="4">
        <v>45324.41063657407</v>
      </c>
      <c r="C2116" s="3" t="s">
        <v>3</v>
      </c>
    </row>
    <row r="2117">
      <c r="A2117" s="3">
        <v>7031.0</v>
      </c>
      <c r="B2117" s="4">
        <v>45324.46228009259</v>
      </c>
      <c r="C2117" s="3" t="s">
        <v>6</v>
      </c>
    </row>
    <row r="2118">
      <c r="A2118" s="3">
        <v>89.0</v>
      </c>
      <c r="B2118" s="4">
        <v>45324.475335648145</v>
      </c>
      <c r="C2118" s="3" t="s">
        <v>6</v>
      </c>
    </row>
    <row r="2119">
      <c r="A2119" s="3">
        <v>5931.0</v>
      </c>
      <c r="B2119" s="4">
        <v>45324.48400462963</v>
      </c>
      <c r="C2119" s="3" t="s">
        <v>5</v>
      </c>
    </row>
    <row r="2120">
      <c r="A2120" s="3">
        <v>608.0</v>
      </c>
      <c r="B2120" s="4">
        <v>45324.48401620371</v>
      </c>
      <c r="C2120" s="3" t="s">
        <v>3</v>
      </c>
    </row>
    <row r="2121">
      <c r="A2121" s="3">
        <v>3188.0</v>
      </c>
      <c r="B2121" s="4">
        <v>45324.489953703705</v>
      </c>
      <c r="C2121" s="3" t="s">
        <v>7</v>
      </c>
    </row>
    <row r="2122">
      <c r="A2122" s="3">
        <v>3356.0</v>
      </c>
      <c r="B2122" s="4">
        <v>45324.50215277778</v>
      </c>
      <c r="C2122" s="3" t="s">
        <v>3</v>
      </c>
    </row>
    <row r="2123">
      <c r="A2123" s="3">
        <v>6554.0</v>
      </c>
      <c r="B2123" s="4">
        <v>45324.50540509259</v>
      </c>
      <c r="C2123" s="3" t="s">
        <v>6</v>
      </c>
    </row>
    <row r="2124">
      <c r="A2124" s="3">
        <v>6589.0</v>
      </c>
      <c r="B2124" s="4">
        <v>45324.570543981485</v>
      </c>
      <c r="C2124" s="3" t="s">
        <v>3</v>
      </c>
    </row>
    <row r="2125">
      <c r="A2125" s="3">
        <v>6986.0</v>
      </c>
      <c r="B2125" s="4">
        <v>45324.58834490741</v>
      </c>
      <c r="C2125" s="3" t="s">
        <v>4</v>
      </c>
    </row>
    <row r="2126">
      <c r="A2126" s="3">
        <v>4767.0</v>
      </c>
      <c r="B2126" s="4">
        <v>45324.59038194444</v>
      </c>
      <c r="C2126" s="3" t="s">
        <v>3</v>
      </c>
    </row>
    <row r="2127">
      <c r="A2127" s="3">
        <v>1494.0</v>
      </c>
      <c r="B2127" s="4">
        <v>45324.594502314816</v>
      </c>
      <c r="C2127" s="3" t="s">
        <v>3</v>
      </c>
    </row>
    <row r="2128">
      <c r="A2128" s="3">
        <v>3965.0</v>
      </c>
      <c r="B2128" s="4">
        <v>45324.596296296295</v>
      </c>
      <c r="C2128" s="3" t="s">
        <v>3</v>
      </c>
    </row>
    <row r="2129">
      <c r="A2129" s="3">
        <v>2337.0</v>
      </c>
      <c r="B2129" s="4">
        <v>45324.615960648145</v>
      </c>
      <c r="C2129" s="3" t="s">
        <v>3</v>
      </c>
    </row>
    <row r="2130">
      <c r="A2130" s="3">
        <v>5275.0</v>
      </c>
      <c r="B2130" s="4">
        <v>45324.65385416667</v>
      </c>
      <c r="C2130" s="3" t="s">
        <v>6</v>
      </c>
    </row>
    <row r="2131">
      <c r="A2131" s="3">
        <v>1769.0</v>
      </c>
      <c r="B2131" s="4">
        <v>45324.68840277778</v>
      </c>
      <c r="C2131" s="3" t="s">
        <v>7</v>
      </c>
    </row>
    <row r="2132">
      <c r="A2132" s="3">
        <v>1465.0</v>
      </c>
      <c r="B2132" s="4">
        <v>45324.70413194445</v>
      </c>
      <c r="C2132" s="3" t="s">
        <v>6</v>
      </c>
    </row>
    <row r="2133">
      <c r="A2133" s="3">
        <v>5712.0</v>
      </c>
      <c r="B2133" s="4">
        <v>45324.72299768519</v>
      </c>
      <c r="C2133" s="3" t="s">
        <v>3</v>
      </c>
    </row>
    <row r="2134">
      <c r="A2134" s="3">
        <v>1042.0</v>
      </c>
      <c r="B2134" s="4">
        <v>45324.73876157407</v>
      </c>
      <c r="C2134" s="3" t="s">
        <v>3</v>
      </c>
    </row>
    <row r="2135">
      <c r="A2135" s="3">
        <v>5931.0</v>
      </c>
      <c r="B2135" s="4">
        <v>45324.758206018516</v>
      </c>
      <c r="C2135" s="3" t="s">
        <v>4</v>
      </c>
    </row>
    <row r="2136">
      <c r="A2136" s="3">
        <v>1042.0</v>
      </c>
      <c r="B2136" s="4">
        <v>45324.77578703704</v>
      </c>
      <c r="C2136" s="3" t="s">
        <v>5</v>
      </c>
    </row>
    <row r="2137">
      <c r="A2137" s="3">
        <v>6757.0</v>
      </c>
      <c r="B2137" s="4">
        <v>45324.781168981484</v>
      </c>
      <c r="C2137" s="3" t="s">
        <v>3</v>
      </c>
    </row>
    <row r="2138">
      <c r="A2138" s="3">
        <v>6932.0</v>
      </c>
      <c r="B2138" s="4">
        <v>45324.82597222222</v>
      </c>
      <c r="C2138" s="3" t="s">
        <v>6</v>
      </c>
    </row>
    <row r="2139">
      <c r="A2139" s="3">
        <v>6191.0</v>
      </c>
      <c r="B2139" s="4">
        <v>45324.82931712963</v>
      </c>
      <c r="C2139" s="3" t="s">
        <v>4</v>
      </c>
    </row>
    <row r="2140">
      <c r="A2140" s="3">
        <v>3048.0</v>
      </c>
      <c r="B2140" s="4">
        <v>45324.855532407404</v>
      </c>
      <c r="C2140" s="3" t="s">
        <v>4</v>
      </c>
    </row>
    <row r="2141">
      <c r="A2141" s="3">
        <v>101.0</v>
      </c>
      <c r="B2141" s="4">
        <v>45324.877754629626</v>
      </c>
      <c r="C2141" s="3" t="s">
        <v>3</v>
      </c>
    </row>
    <row r="2142">
      <c r="A2142" s="3">
        <v>6888.0</v>
      </c>
      <c r="B2142" s="4">
        <v>45324.89188657407</v>
      </c>
      <c r="C2142" s="3" t="s">
        <v>6</v>
      </c>
    </row>
    <row r="2143">
      <c r="A2143" s="3">
        <v>4710.0</v>
      </c>
      <c r="B2143" s="4">
        <v>45324.9184375</v>
      </c>
      <c r="C2143" s="3" t="s">
        <v>7</v>
      </c>
    </row>
    <row r="2144">
      <c r="A2144" s="3">
        <v>5820.0</v>
      </c>
      <c r="B2144" s="4">
        <v>45324.973020833335</v>
      </c>
      <c r="C2144" s="3" t="s">
        <v>7</v>
      </c>
    </row>
    <row r="2145">
      <c r="A2145" s="3">
        <v>7979.0</v>
      </c>
      <c r="B2145" s="4">
        <v>45324.97489583334</v>
      </c>
      <c r="C2145" s="3" t="s">
        <v>5</v>
      </c>
    </row>
    <row r="2146">
      <c r="A2146" s="3">
        <v>348.0</v>
      </c>
      <c r="B2146" s="4">
        <v>45324.9937037037</v>
      </c>
      <c r="C2146" s="3" t="s">
        <v>6</v>
      </c>
    </row>
    <row r="2147">
      <c r="A2147" s="3">
        <v>3654.0</v>
      </c>
      <c r="B2147" s="4">
        <v>45324.995787037034</v>
      </c>
      <c r="C2147" s="3" t="s">
        <v>3</v>
      </c>
    </row>
    <row r="2148">
      <c r="A2148" s="3">
        <v>3999.0</v>
      </c>
      <c r="B2148" s="4">
        <v>45325.02034722222</v>
      </c>
      <c r="C2148" s="3" t="s">
        <v>4</v>
      </c>
    </row>
    <row r="2149">
      <c r="A2149" s="3">
        <v>7277.0</v>
      </c>
      <c r="B2149" s="4">
        <v>45325.025555555556</v>
      </c>
      <c r="C2149" s="3" t="s">
        <v>3</v>
      </c>
    </row>
    <row r="2150">
      <c r="A2150" s="3">
        <v>3039.0</v>
      </c>
      <c r="B2150" s="4">
        <v>45325.0753587963</v>
      </c>
      <c r="C2150" s="3" t="s">
        <v>5</v>
      </c>
    </row>
    <row r="2151">
      <c r="A2151" s="3">
        <v>3182.0</v>
      </c>
      <c r="B2151" s="4">
        <v>45325.10905092592</v>
      </c>
      <c r="C2151" s="3" t="s">
        <v>3</v>
      </c>
    </row>
    <row r="2152">
      <c r="A2152" s="3">
        <v>6227.0</v>
      </c>
      <c r="B2152" s="4">
        <v>45325.12912037037</v>
      </c>
      <c r="C2152" s="3" t="s">
        <v>6</v>
      </c>
    </row>
    <row r="2153">
      <c r="A2153" s="3">
        <v>2224.0</v>
      </c>
      <c r="B2153" s="4">
        <v>45325.13759259259</v>
      </c>
      <c r="C2153" s="3" t="s">
        <v>3</v>
      </c>
    </row>
    <row r="2154">
      <c r="A2154" s="3">
        <v>828.0</v>
      </c>
      <c r="B2154" s="4">
        <v>45325.13888888889</v>
      </c>
      <c r="C2154" s="3" t="s">
        <v>3</v>
      </c>
    </row>
    <row r="2155">
      <c r="A2155" s="3">
        <v>4763.0</v>
      </c>
      <c r="B2155" s="4">
        <v>45325.14094907408</v>
      </c>
      <c r="C2155" s="3" t="s">
        <v>3</v>
      </c>
    </row>
    <row r="2156">
      <c r="A2156" s="3">
        <v>4908.0</v>
      </c>
      <c r="B2156" s="4">
        <v>45325.15146990741</v>
      </c>
      <c r="C2156" s="3" t="s">
        <v>3</v>
      </c>
    </row>
    <row r="2157">
      <c r="A2157" s="3">
        <v>6726.0</v>
      </c>
      <c r="B2157" s="4">
        <v>45325.159212962964</v>
      </c>
      <c r="C2157" s="3" t="s">
        <v>4</v>
      </c>
    </row>
    <row r="2158">
      <c r="A2158" s="3">
        <v>2234.0</v>
      </c>
      <c r="B2158" s="4">
        <v>45325.17039351852</v>
      </c>
      <c r="C2158" s="3" t="s">
        <v>6</v>
      </c>
    </row>
    <row r="2159">
      <c r="A2159" s="3">
        <v>5712.0</v>
      </c>
      <c r="B2159" s="4">
        <v>45325.18394675926</v>
      </c>
      <c r="C2159" s="3" t="s">
        <v>4</v>
      </c>
    </row>
    <row r="2160">
      <c r="A2160" s="3">
        <v>740.0</v>
      </c>
      <c r="B2160" s="4">
        <v>45325.20479166666</v>
      </c>
      <c r="C2160" s="3" t="s">
        <v>4</v>
      </c>
    </row>
    <row r="2161">
      <c r="A2161" s="3">
        <v>3356.0</v>
      </c>
      <c r="B2161" s="4">
        <v>45325.20607638889</v>
      </c>
      <c r="C2161" s="3" t="s">
        <v>4</v>
      </c>
    </row>
    <row r="2162">
      <c r="A2162" s="3">
        <v>7376.0</v>
      </c>
      <c r="B2162" s="4">
        <v>45325.21236111111</v>
      </c>
      <c r="C2162" s="3" t="s">
        <v>3</v>
      </c>
    </row>
    <row r="2163">
      <c r="A2163" s="3">
        <v>5820.0</v>
      </c>
      <c r="B2163" s="4">
        <v>45325.228796296295</v>
      </c>
      <c r="C2163" s="3" t="s">
        <v>6</v>
      </c>
    </row>
    <row r="2164">
      <c r="A2164" s="3">
        <v>133.0</v>
      </c>
      <c r="B2164" s="4">
        <v>45325.23847222222</v>
      </c>
      <c r="C2164" s="3" t="s">
        <v>4</v>
      </c>
    </row>
    <row r="2165">
      <c r="A2165" s="3">
        <v>4085.0</v>
      </c>
      <c r="B2165" s="4">
        <v>45325.25219907407</v>
      </c>
      <c r="C2165" s="3" t="s">
        <v>3</v>
      </c>
    </row>
    <row r="2166">
      <c r="A2166" s="3">
        <v>1334.0</v>
      </c>
      <c r="B2166" s="4">
        <v>45325.262557870374</v>
      </c>
      <c r="C2166" s="3" t="s">
        <v>3</v>
      </c>
    </row>
    <row r="2167">
      <c r="A2167" s="3">
        <v>2089.0</v>
      </c>
      <c r="B2167" s="4">
        <v>45325.26982638889</v>
      </c>
      <c r="C2167" s="3" t="s">
        <v>4</v>
      </c>
    </row>
    <row r="2168">
      <c r="A2168" s="3">
        <v>6833.0</v>
      </c>
      <c r="B2168" s="4">
        <v>45325.27329861111</v>
      </c>
      <c r="C2168" s="3" t="s">
        <v>6</v>
      </c>
    </row>
    <row r="2169">
      <c r="A2169" s="3">
        <v>4963.0</v>
      </c>
      <c r="B2169" s="4">
        <v>45325.2771875</v>
      </c>
      <c r="C2169" s="3" t="s">
        <v>3</v>
      </c>
    </row>
    <row r="2170">
      <c r="A2170" s="3">
        <v>4589.0</v>
      </c>
      <c r="B2170" s="4">
        <v>45325.29447916667</v>
      </c>
      <c r="C2170" s="3" t="s">
        <v>3</v>
      </c>
    </row>
    <row r="2171">
      <c r="A2171" s="3">
        <v>7646.0</v>
      </c>
      <c r="B2171" s="4">
        <v>45325.29472222222</v>
      </c>
      <c r="C2171" s="3" t="s">
        <v>3</v>
      </c>
    </row>
    <row r="2172">
      <c r="A2172" s="3">
        <v>5883.0</v>
      </c>
      <c r="B2172" s="4">
        <v>45325.33908564815</v>
      </c>
      <c r="C2172" s="3" t="s">
        <v>3</v>
      </c>
    </row>
    <row r="2173">
      <c r="A2173" s="3">
        <v>4075.0</v>
      </c>
      <c r="B2173" s="4">
        <v>45325.35511574074</v>
      </c>
      <c r="C2173" s="3" t="s">
        <v>4</v>
      </c>
    </row>
    <row r="2174">
      <c r="A2174" s="3">
        <v>5289.0</v>
      </c>
      <c r="B2174" s="4">
        <v>45325.36479166667</v>
      </c>
      <c r="C2174" s="3" t="s">
        <v>6</v>
      </c>
    </row>
    <row r="2175">
      <c r="A2175" s="3">
        <v>2127.0</v>
      </c>
      <c r="B2175" s="4">
        <v>45325.39701388889</v>
      </c>
      <c r="C2175" s="3" t="s">
        <v>7</v>
      </c>
    </row>
    <row r="2176">
      <c r="A2176" s="3">
        <v>697.0</v>
      </c>
      <c r="B2176" s="4">
        <v>45325.42325231482</v>
      </c>
      <c r="C2176" s="3" t="s">
        <v>3</v>
      </c>
    </row>
    <row r="2177">
      <c r="A2177" s="3">
        <v>1769.0</v>
      </c>
      <c r="B2177" s="4">
        <v>45325.431608796294</v>
      </c>
      <c r="C2177" s="3" t="s">
        <v>5</v>
      </c>
    </row>
    <row r="2178">
      <c r="A2178" s="3">
        <v>4261.0</v>
      </c>
      <c r="B2178" s="4">
        <v>45325.44100694444</v>
      </c>
      <c r="C2178" s="3" t="s">
        <v>4</v>
      </c>
    </row>
    <row r="2179">
      <c r="A2179" s="3">
        <v>2079.0</v>
      </c>
      <c r="B2179" s="4">
        <v>45325.442407407405</v>
      </c>
      <c r="C2179" s="3" t="s">
        <v>3</v>
      </c>
    </row>
    <row r="2180">
      <c r="A2180" s="3">
        <v>4406.0</v>
      </c>
      <c r="B2180" s="4">
        <v>45325.45296296296</v>
      </c>
      <c r="C2180" s="3" t="s">
        <v>4</v>
      </c>
    </row>
    <row r="2181">
      <c r="A2181" s="3">
        <v>2224.0</v>
      </c>
      <c r="B2181" s="4">
        <v>45325.482083333336</v>
      </c>
      <c r="C2181" s="3" t="s">
        <v>4</v>
      </c>
    </row>
    <row r="2182">
      <c r="A2182" s="3">
        <v>2224.0</v>
      </c>
      <c r="B2182" s="4">
        <v>45325.5158912037</v>
      </c>
      <c r="C2182" s="3" t="s">
        <v>5</v>
      </c>
    </row>
    <row r="2183">
      <c r="A2183" s="3">
        <v>2681.0</v>
      </c>
      <c r="B2183" s="4">
        <v>45325.53722222222</v>
      </c>
      <c r="C2183" s="3" t="s">
        <v>5</v>
      </c>
    </row>
    <row r="2184">
      <c r="A2184" s="3">
        <v>1889.0</v>
      </c>
      <c r="B2184" s="4">
        <v>45325.54766203704</v>
      </c>
      <c r="C2184" s="3" t="s">
        <v>5</v>
      </c>
    </row>
    <row r="2185">
      <c r="A2185" s="3">
        <v>1084.0</v>
      </c>
      <c r="B2185" s="4">
        <v>45325.55625</v>
      </c>
      <c r="C2185" s="3" t="s">
        <v>3</v>
      </c>
    </row>
    <row r="2186">
      <c r="A2186" s="3">
        <v>1233.0</v>
      </c>
      <c r="B2186" s="4">
        <v>45325.558530092596</v>
      </c>
      <c r="C2186" s="3" t="s">
        <v>3</v>
      </c>
    </row>
    <row r="2187">
      <c r="A2187" s="3">
        <v>5590.0</v>
      </c>
      <c r="B2187" s="4">
        <v>45325.56715277778</v>
      </c>
      <c r="C2187" s="3" t="s">
        <v>3</v>
      </c>
    </row>
    <row r="2188">
      <c r="A2188" s="3">
        <v>2378.0</v>
      </c>
      <c r="B2188" s="4">
        <v>45325.6137962963</v>
      </c>
      <c r="C2188" s="3" t="s">
        <v>3</v>
      </c>
    </row>
    <row r="2189">
      <c r="A2189" s="3">
        <v>4705.0</v>
      </c>
      <c r="B2189" s="4">
        <v>45325.62152777778</v>
      </c>
      <c r="C2189" s="3" t="s">
        <v>6</v>
      </c>
    </row>
    <row r="2190">
      <c r="A2190" s="3">
        <v>7979.0</v>
      </c>
      <c r="B2190" s="4">
        <v>45325.62212962963</v>
      </c>
      <c r="C2190" s="3" t="s">
        <v>7</v>
      </c>
    </row>
    <row r="2191">
      <c r="A2191" s="3">
        <v>5883.0</v>
      </c>
      <c r="B2191" s="4">
        <v>45325.62746527778</v>
      </c>
      <c r="C2191" s="3" t="s">
        <v>5</v>
      </c>
    </row>
    <row r="2192">
      <c r="A2192" s="3">
        <v>3275.0</v>
      </c>
      <c r="B2192" s="4">
        <v>45325.63650462963</v>
      </c>
      <c r="C2192" s="3" t="s">
        <v>3</v>
      </c>
    </row>
    <row r="2193">
      <c r="A2193" s="3">
        <v>4085.0</v>
      </c>
      <c r="B2193" s="4">
        <v>45325.65152777778</v>
      </c>
      <c r="C2193" s="3" t="s">
        <v>4</v>
      </c>
    </row>
    <row r="2194">
      <c r="A2194" s="3">
        <v>1663.0</v>
      </c>
      <c r="B2194" s="4">
        <v>45325.662986111114</v>
      </c>
      <c r="C2194" s="3" t="s">
        <v>6</v>
      </c>
    </row>
    <row r="2195">
      <c r="A2195" s="3">
        <v>7242.0</v>
      </c>
      <c r="B2195" s="4">
        <v>45325.67391203704</v>
      </c>
      <c r="C2195" s="3" t="s">
        <v>7</v>
      </c>
    </row>
    <row r="2196">
      <c r="A2196" s="3">
        <v>4002.0</v>
      </c>
      <c r="B2196" s="4">
        <v>45325.68561342593</v>
      </c>
      <c r="C2196" s="3" t="s">
        <v>5</v>
      </c>
    </row>
    <row r="2197">
      <c r="A2197" s="3">
        <v>6125.0</v>
      </c>
      <c r="B2197" s="4">
        <v>45325.707233796296</v>
      </c>
      <c r="C2197" s="3" t="s">
        <v>6</v>
      </c>
    </row>
    <row r="2198">
      <c r="A2198" s="3">
        <v>7224.0</v>
      </c>
      <c r="B2198" s="4">
        <v>45325.71841435185</v>
      </c>
      <c r="C2198" s="3" t="s">
        <v>5</v>
      </c>
    </row>
    <row r="2199">
      <c r="A2199" s="3">
        <v>6888.0</v>
      </c>
      <c r="B2199" s="4">
        <v>45325.772002314814</v>
      </c>
      <c r="C2199" s="3" t="s">
        <v>5</v>
      </c>
    </row>
    <row r="2200">
      <c r="A2200" s="3">
        <v>7894.0</v>
      </c>
      <c r="B2200" s="4">
        <v>45325.78728009259</v>
      </c>
      <c r="C2200" s="3" t="s">
        <v>3</v>
      </c>
    </row>
    <row r="2201">
      <c r="A2201" s="3">
        <v>4534.0</v>
      </c>
      <c r="B2201" s="4">
        <v>45325.78989583333</v>
      </c>
      <c r="C2201" s="3" t="s">
        <v>3</v>
      </c>
    </row>
    <row r="2202">
      <c r="A2202" s="3">
        <v>4955.0</v>
      </c>
      <c r="B2202" s="4">
        <v>45325.79193287037</v>
      </c>
      <c r="C2202" s="3" t="s">
        <v>3</v>
      </c>
    </row>
    <row r="2203">
      <c r="A2203" s="3">
        <v>4154.0</v>
      </c>
      <c r="B2203" s="4">
        <v>45325.79429398148</v>
      </c>
      <c r="C2203" s="3" t="s">
        <v>3</v>
      </c>
    </row>
    <row r="2204">
      <c r="A2204" s="3">
        <v>7122.0</v>
      </c>
      <c r="B2204" s="4">
        <v>45325.796319444446</v>
      </c>
      <c r="C2204" s="3" t="s">
        <v>3</v>
      </c>
    </row>
    <row r="2205">
      <c r="A2205" s="3">
        <v>2523.0</v>
      </c>
      <c r="B2205" s="4">
        <v>45325.81658564815</v>
      </c>
      <c r="C2205" s="3" t="s">
        <v>6</v>
      </c>
    </row>
    <row r="2206">
      <c r="A2206" s="3">
        <v>1130.0</v>
      </c>
      <c r="B2206" s="4">
        <v>45325.84581018519</v>
      </c>
      <c r="C2206" s="3" t="s">
        <v>6</v>
      </c>
    </row>
    <row r="2207">
      <c r="A2207" s="3">
        <v>101.0</v>
      </c>
      <c r="B2207" s="4">
        <v>45325.85451388889</v>
      </c>
      <c r="C2207" s="3" t="s">
        <v>4</v>
      </c>
    </row>
    <row r="2208">
      <c r="A2208" s="3">
        <v>6267.0</v>
      </c>
      <c r="B2208" s="4">
        <v>45325.86478009259</v>
      </c>
      <c r="C2208" s="3" t="s">
        <v>3</v>
      </c>
    </row>
    <row r="2209">
      <c r="A2209" s="3">
        <v>3039.0</v>
      </c>
      <c r="B2209" s="4">
        <v>45325.86814814815</v>
      </c>
      <c r="C2209" s="3" t="s">
        <v>3</v>
      </c>
    </row>
    <row r="2210">
      <c r="A2210" s="3">
        <v>6091.0</v>
      </c>
      <c r="B2210" s="4">
        <v>45325.88349537037</v>
      </c>
      <c r="C2210" s="3" t="s">
        <v>3</v>
      </c>
    </row>
    <row r="2211">
      <c r="A2211" s="3">
        <v>1293.0</v>
      </c>
      <c r="B2211" s="4">
        <v>45325.88394675926</v>
      </c>
      <c r="C2211" s="3" t="s">
        <v>3</v>
      </c>
    </row>
    <row r="2212">
      <c r="A2212" s="3">
        <v>7979.0</v>
      </c>
      <c r="B2212" s="4">
        <v>45325.89822916667</v>
      </c>
      <c r="C2212" s="3" t="s">
        <v>6</v>
      </c>
    </row>
    <row r="2213">
      <c r="A2213" s="3">
        <v>6091.0</v>
      </c>
      <c r="B2213" s="4">
        <v>45325.90479166667</v>
      </c>
      <c r="C2213" s="3" t="s">
        <v>4</v>
      </c>
    </row>
    <row r="2214">
      <c r="A2214" s="3">
        <v>6925.0</v>
      </c>
      <c r="B2214" s="4">
        <v>45325.937106481484</v>
      </c>
      <c r="C2214" s="3" t="s">
        <v>3</v>
      </c>
    </row>
    <row r="2215">
      <c r="A2215" s="3">
        <v>7266.0</v>
      </c>
      <c r="B2215" s="4">
        <v>45325.955729166664</v>
      </c>
      <c r="C2215" s="3" t="s">
        <v>7</v>
      </c>
    </row>
    <row r="2216">
      <c r="A2216" s="3">
        <v>1889.0</v>
      </c>
      <c r="B2216" s="4">
        <v>45325.95684027778</v>
      </c>
      <c r="C2216" s="3" t="s">
        <v>3</v>
      </c>
    </row>
    <row r="2217">
      <c r="A2217" s="3">
        <v>2988.0</v>
      </c>
      <c r="B2217" s="4">
        <v>45325.98800925926</v>
      </c>
      <c r="C2217" s="3" t="s">
        <v>7</v>
      </c>
    </row>
    <row r="2218">
      <c r="A2218" s="3">
        <v>2648.0</v>
      </c>
      <c r="B2218" s="4">
        <v>45325.994050925925</v>
      </c>
      <c r="C2218" s="3" t="s">
        <v>6</v>
      </c>
    </row>
    <row r="2219">
      <c r="A2219" s="3">
        <v>1202.0</v>
      </c>
      <c r="B2219" s="4">
        <v>45326.05268518518</v>
      </c>
      <c r="C2219" s="3" t="s">
        <v>6</v>
      </c>
    </row>
    <row r="2220">
      <c r="A2220" s="3">
        <v>697.0</v>
      </c>
      <c r="B2220" s="4">
        <v>45326.06181712963</v>
      </c>
      <c r="C2220" s="3" t="s">
        <v>4</v>
      </c>
    </row>
    <row r="2221">
      <c r="A2221" s="3">
        <v>5559.0</v>
      </c>
      <c r="B2221" s="4">
        <v>45326.073483796295</v>
      </c>
      <c r="C2221" s="3" t="s">
        <v>3</v>
      </c>
    </row>
    <row r="2222">
      <c r="A2222" s="3">
        <v>1351.0</v>
      </c>
      <c r="B2222" s="4">
        <v>45326.07571759259</v>
      </c>
      <c r="C2222" s="3" t="s">
        <v>3</v>
      </c>
    </row>
    <row r="2223">
      <c r="A2223" s="3">
        <v>1576.0</v>
      </c>
      <c r="B2223" s="4">
        <v>45326.117685185185</v>
      </c>
      <c r="C2223" s="3" t="s">
        <v>5</v>
      </c>
    </row>
    <row r="2224">
      <c r="A2224" s="3">
        <v>6986.0</v>
      </c>
      <c r="B2224" s="4">
        <v>45326.11975694444</v>
      </c>
      <c r="C2224" s="3" t="s">
        <v>5</v>
      </c>
    </row>
    <row r="2225">
      <c r="A2225" s="3">
        <v>4090.0</v>
      </c>
      <c r="B2225" s="4">
        <v>45326.14346064815</v>
      </c>
      <c r="C2225" s="3" t="s">
        <v>3</v>
      </c>
    </row>
    <row r="2226">
      <c r="A2226" s="3">
        <v>2231.0</v>
      </c>
      <c r="B2226" s="4">
        <v>45326.16190972222</v>
      </c>
      <c r="C2226" s="3" t="s">
        <v>4</v>
      </c>
    </row>
    <row r="2227">
      <c r="A2227" s="3">
        <v>706.0</v>
      </c>
      <c r="B2227" s="4">
        <v>45326.163148148145</v>
      </c>
      <c r="C2227" s="3" t="s">
        <v>6</v>
      </c>
    </row>
    <row r="2228">
      <c r="A2228" s="3">
        <v>6925.0</v>
      </c>
      <c r="B2228" s="4">
        <v>45326.16972222222</v>
      </c>
      <c r="C2228" s="3" t="s">
        <v>6</v>
      </c>
    </row>
    <row r="2229">
      <c r="A2229" s="3">
        <v>3817.0</v>
      </c>
      <c r="B2229" s="4">
        <v>45326.17974537037</v>
      </c>
      <c r="C2229" s="3" t="s">
        <v>4</v>
      </c>
    </row>
    <row r="2230">
      <c r="A2230" s="3">
        <v>2128.0</v>
      </c>
      <c r="B2230" s="4">
        <v>45326.19399305555</v>
      </c>
      <c r="C2230" s="3" t="s">
        <v>5</v>
      </c>
    </row>
    <row r="2231">
      <c r="A2231" s="3">
        <v>1576.0</v>
      </c>
      <c r="B2231" s="4">
        <v>45326.19752314815</v>
      </c>
      <c r="C2231" s="3" t="s">
        <v>6</v>
      </c>
    </row>
    <row r="2232">
      <c r="A2232" s="3">
        <v>5883.0</v>
      </c>
      <c r="B2232" s="4">
        <v>45326.215636574074</v>
      </c>
      <c r="C2232" s="3" t="s">
        <v>7</v>
      </c>
    </row>
    <row r="2233">
      <c r="A2233" s="3">
        <v>2231.0</v>
      </c>
      <c r="B2233" s="4">
        <v>45326.234502314815</v>
      </c>
      <c r="C2233" s="3" t="s">
        <v>3</v>
      </c>
    </row>
    <row r="2234">
      <c r="A2234" s="3">
        <v>7758.0</v>
      </c>
      <c r="B2234" s="4">
        <v>45326.247407407405</v>
      </c>
      <c r="C2234" s="3" t="s">
        <v>3</v>
      </c>
    </row>
    <row r="2235">
      <c r="A2235" s="3">
        <v>6727.0</v>
      </c>
      <c r="B2235" s="4">
        <v>45326.2653125</v>
      </c>
      <c r="C2235" s="3" t="s">
        <v>5</v>
      </c>
    </row>
    <row r="2236">
      <c r="A2236" s="3">
        <v>7948.0</v>
      </c>
      <c r="B2236" s="4">
        <v>45326.28909722222</v>
      </c>
      <c r="C2236" s="3" t="s">
        <v>4</v>
      </c>
    </row>
    <row r="2237">
      <c r="A2237" s="3">
        <v>3694.0</v>
      </c>
      <c r="B2237" s="4">
        <v>45326.291921296295</v>
      </c>
      <c r="C2237" s="3" t="s">
        <v>6</v>
      </c>
    </row>
    <row r="2238">
      <c r="A2238" s="3">
        <v>6445.0</v>
      </c>
      <c r="B2238" s="4">
        <v>45326.2996412037</v>
      </c>
      <c r="C2238" s="3" t="s">
        <v>3</v>
      </c>
    </row>
    <row r="2239">
      <c r="A2239" s="3">
        <v>4866.0</v>
      </c>
      <c r="B2239" s="4">
        <v>45326.30273148148</v>
      </c>
      <c r="C2239" s="3" t="s">
        <v>4</v>
      </c>
    </row>
    <row r="2240">
      <c r="A2240" s="3">
        <v>5931.0</v>
      </c>
      <c r="B2240" s="4">
        <v>45326.34107638889</v>
      </c>
      <c r="C2240" s="3" t="s">
        <v>6</v>
      </c>
    </row>
    <row r="2241">
      <c r="A2241" s="3">
        <v>7932.0</v>
      </c>
      <c r="B2241" s="4">
        <v>45326.360347222224</v>
      </c>
      <c r="C2241" s="3" t="s">
        <v>3</v>
      </c>
    </row>
    <row r="2242">
      <c r="A2242" s="3">
        <v>7019.0</v>
      </c>
      <c r="B2242" s="4">
        <v>45326.366122685184</v>
      </c>
      <c r="C2242" s="3" t="s">
        <v>3</v>
      </c>
    </row>
    <row r="2243">
      <c r="A2243" s="3">
        <v>2926.0</v>
      </c>
      <c r="B2243" s="4">
        <v>45326.382743055554</v>
      </c>
      <c r="C2243" s="3" t="s">
        <v>3</v>
      </c>
    </row>
    <row r="2244">
      <c r="A2244" s="3">
        <v>3507.0</v>
      </c>
      <c r="B2244" s="4">
        <v>45326.40251157407</v>
      </c>
      <c r="C2244" s="3" t="s">
        <v>3</v>
      </c>
    </row>
    <row r="2245">
      <c r="A2245" s="3">
        <v>4963.0</v>
      </c>
      <c r="B2245" s="4">
        <v>45326.41042824074</v>
      </c>
      <c r="C2245" s="3" t="s">
        <v>7</v>
      </c>
    </row>
    <row r="2246">
      <c r="A2246" s="3">
        <v>2441.0</v>
      </c>
      <c r="B2246" s="4">
        <v>45326.41917824074</v>
      </c>
      <c r="C2246" s="3" t="s">
        <v>3</v>
      </c>
    </row>
    <row r="2247">
      <c r="A2247" s="3">
        <v>4849.0</v>
      </c>
      <c r="B2247" s="4">
        <v>45326.455462962964</v>
      </c>
      <c r="C2247" s="3" t="s">
        <v>6</v>
      </c>
    </row>
    <row r="2248">
      <c r="A2248" s="3">
        <v>2127.0</v>
      </c>
      <c r="B2248" s="4">
        <v>45326.50508101852</v>
      </c>
      <c r="C2248" s="3" t="s">
        <v>6</v>
      </c>
    </row>
    <row r="2249">
      <c r="A2249" s="3">
        <v>995.0</v>
      </c>
      <c r="B2249" s="4">
        <v>45326.51075231482</v>
      </c>
      <c r="C2249" s="3" t="s">
        <v>6</v>
      </c>
    </row>
    <row r="2250">
      <c r="A2250" s="3">
        <v>101.0</v>
      </c>
      <c r="B2250" s="4">
        <v>45326.53053240741</v>
      </c>
      <c r="C2250" s="3" t="s">
        <v>7</v>
      </c>
    </row>
    <row r="2251">
      <c r="A2251" s="3">
        <v>4678.0</v>
      </c>
      <c r="B2251" s="4">
        <v>45326.54403935185</v>
      </c>
      <c r="C2251" s="3" t="s">
        <v>3</v>
      </c>
    </row>
    <row r="2252">
      <c r="A2252" s="3">
        <v>530.0</v>
      </c>
      <c r="B2252" s="4">
        <v>45326.57780092592</v>
      </c>
      <c r="C2252" s="3" t="s">
        <v>3</v>
      </c>
    </row>
    <row r="2253">
      <c r="A2253" s="3">
        <v>7224.0</v>
      </c>
      <c r="B2253" s="4">
        <v>45326.57900462963</v>
      </c>
      <c r="C2253" s="3" t="s">
        <v>7</v>
      </c>
    </row>
    <row r="2254">
      <c r="A2254" s="3">
        <v>1741.0</v>
      </c>
      <c r="B2254" s="4">
        <v>45326.58362268518</v>
      </c>
      <c r="C2254" s="3" t="s">
        <v>3</v>
      </c>
    </row>
    <row r="2255">
      <c r="A2255" s="3">
        <v>2128.0</v>
      </c>
      <c r="B2255" s="4">
        <v>45326.59502314815</v>
      </c>
      <c r="C2255" s="3" t="s">
        <v>7</v>
      </c>
    </row>
    <row r="2256">
      <c r="A2256" s="3">
        <v>2095.0</v>
      </c>
      <c r="B2256" s="4">
        <v>45326.62291666667</v>
      </c>
      <c r="C2256" s="3" t="s">
        <v>3</v>
      </c>
    </row>
    <row r="2257">
      <c r="A2257" s="3">
        <v>1451.0</v>
      </c>
      <c r="B2257" s="4">
        <v>45326.64603009259</v>
      </c>
      <c r="C2257" s="3" t="s">
        <v>3</v>
      </c>
    </row>
    <row r="2258">
      <c r="A2258" s="3">
        <v>7019.0</v>
      </c>
      <c r="B2258" s="4">
        <v>45326.64891203704</v>
      </c>
      <c r="C2258" s="3" t="s">
        <v>4</v>
      </c>
    </row>
    <row r="2259">
      <c r="A2259" s="3">
        <v>7788.0</v>
      </c>
      <c r="B2259" s="4">
        <v>45326.653449074074</v>
      </c>
      <c r="C2259" s="3" t="s">
        <v>3</v>
      </c>
    </row>
    <row r="2260">
      <c r="A2260" s="3">
        <v>2156.0</v>
      </c>
      <c r="B2260" s="4">
        <v>45326.673368055555</v>
      </c>
      <c r="C2260" s="3" t="s">
        <v>3</v>
      </c>
    </row>
    <row r="2261">
      <c r="A2261" s="3">
        <v>3968.0</v>
      </c>
      <c r="B2261" s="4">
        <v>45326.695856481485</v>
      </c>
      <c r="C2261" s="3" t="s">
        <v>3</v>
      </c>
    </row>
    <row r="2262">
      <c r="A2262" s="3">
        <v>747.0</v>
      </c>
      <c r="B2262" s="4">
        <v>45326.702314814815</v>
      </c>
      <c r="C2262" s="3" t="s">
        <v>7</v>
      </c>
    </row>
    <row r="2263">
      <c r="A2263" s="3">
        <v>4498.0</v>
      </c>
      <c r="B2263" s="4">
        <v>45326.718877314815</v>
      </c>
      <c r="C2263" s="3" t="s">
        <v>3</v>
      </c>
    </row>
    <row r="2264">
      <c r="A2264" s="3">
        <v>3586.0</v>
      </c>
      <c r="B2264" s="4">
        <v>45326.72225694444</v>
      </c>
      <c r="C2264" s="3" t="s">
        <v>3</v>
      </c>
    </row>
    <row r="2265">
      <c r="A2265" s="3">
        <v>5959.0</v>
      </c>
      <c r="B2265" s="4">
        <v>45326.74197916667</v>
      </c>
      <c r="C2265" s="3" t="s">
        <v>6</v>
      </c>
    </row>
    <row r="2266">
      <c r="A2266" s="3">
        <v>4931.0</v>
      </c>
      <c r="B2266" s="4">
        <v>45326.75996527778</v>
      </c>
      <c r="C2266" s="3" t="s">
        <v>3</v>
      </c>
    </row>
    <row r="2267">
      <c r="A2267" s="3">
        <v>2347.0</v>
      </c>
      <c r="B2267" s="4">
        <v>45326.7615625</v>
      </c>
      <c r="C2267" s="3" t="s">
        <v>3</v>
      </c>
    </row>
    <row r="2268">
      <c r="A2268" s="3">
        <v>5610.0</v>
      </c>
      <c r="B2268" s="4">
        <v>45326.77982638889</v>
      </c>
      <c r="C2268" s="3" t="s">
        <v>3</v>
      </c>
    </row>
    <row r="2269">
      <c r="A2269" s="3">
        <v>6926.0</v>
      </c>
      <c r="B2269" s="4">
        <v>45326.80167824074</v>
      </c>
      <c r="C2269" s="3" t="s">
        <v>7</v>
      </c>
    </row>
    <row r="2270">
      <c r="A2270" s="3">
        <v>53.0</v>
      </c>
      <c r="B2270" s="4">
        <v>45326.81611111111</v>
      </c>
      <c r="C2270" s="3" t="s">
        <v>4</v>
      </c>
    </row>
    <row r="2271">
      <c r="A2271" s="3">
        <v>3039.0</v>
      </c>
      <c r="B2271" s="4">
        <v>45326.8228125</v>
      </c>
      <c r="C2271" s="3" t="s">
        <v>4</v>
      </c>
    </row>
    <row r="2272">
      <c r="A2272" s="3">
        <v>6986.0</v>
      </c>
      <c r="B2272" s="4">
        <v>45326.834756944445</v>
      </c>
      <c r="C2272" s="3" t="s">
        <v>7</v>
      </c>
    </row>
    <row r="2273">
      <c r="A2273" s="3">
        <v>1057.0</v>
      </c>
      <c r="B2273" s="4">
        <v>45326.845300925925</v>
      </c>
      <c r="C2273" s="3" t="s">
        <v>6</v>
      </c>
    </row>
    <row r="2274">
      <c r="A2274" s="3">
        <v>6125.0</v>
      </c>
      <c r="B2274" s="4">
        <v>45326.86267361111</v>
      </c>
      <c r="C2274" s="3" t="s">
        <v>7</v>
      </c>
    </row>
    <row r="2275">
      <c r="A2275" s="3">
        <v>3356.0</v>
      </c>
      <c r="B2275" s="4">
        <v>45326.872453703705</v>
      </c>
      <c r="C2275" s="3" t="s">
        <v>7</v>
      </c>
    </row>
    <row r="2276">
      <c r="A2276" s="3">
        <v>2692.0</v>
      </c>
      <c r="B2276" s="4">
        <v>45326.877546296295</v>
      </c>
      <c r="C2276" s="3" t="s">
        <v>7</v>
      </c>
    </row>
    <row r="2277">
      <c r="A2277" s="3">
        <v>3817.0</v>
      </c>
      <c r="B2277" s="4">
        <v>45326.90332175926</v>
      </c>
      <c r="C2277" s="3" t="s">
        <v>7</v>
      </c>
    </row>
    <row r="2278">
      <c r="A2278" s="3">
        <v>7182.0</v>
      </c>
      <c r="B2278" s="4">
        <v>45326.91439814815</v>
      </c>
      <c r="C2278" s="3" t="s">
        <v>3</v>
      </c>
    </row>
    <row r="2279">
      <c r="A2279" s="3">
        <v>6926.0</v>
      </c>
      <c r="B2279" s="4">
        <v>45326.92221064815</v>
      </c>
      <c r="C2279" s="3" t="s">
        <v>5</v>
      </c>
    </row>
    <row r="2280">
      <c r="A2280" s="3">
        <v>319.0</v>
      </c>
      <c r="B2280" s="4">
        <v>45326.93540509259</v>
      </c>
      <c r="C2280" s="3" t="s">
        <v>3</v>
      </c>
    </row>
    <row r="2281">
      <c r="A2281" s="3">
        <v>5976.0</v>
      </c>
      <c r="B2281" s="4">
        <v>45326.93636574074</v>
      </c>
      <c r="C2281" s="3" t="s">
        <v>3</v>
      </c>
    </row>
    <row r="2282">
      <c r="A2282" s="3">
        <v>3356.0</v>
      </c>
      <c r="B2282" s="4">
        <v>45326.938113425924</v>
      </c>
      <c r="C2282" s="3" t="s">
        <v>6</v>
      </c>
    </row>
    <row r="2283">
      <c r="A2283" s="3">
        <v>53.0</v>
      </c>
      <c r="B2283" s="4">
        <v>45326.940300925926</v>
      </c>
      <c r="C2283" s="3" t="s">
        <v>3</v>
      </c>
    </row>
    <row r="2284">
      <c r="A2284" s="3">
        <v>6283.0</v>
      </c>
      <c r="B2284" s="4">
        <v>45326.97796296296</v>
      </c>
      <c r="C2284" s="3" t="s">
        <v>6</v>
      </c>
    </row>
    <row r="2285">
      <c r="A2285" s="3">
        <v>5863.0</v>
      </c>
      <c r="B2285" s="4">
        <v>45327.01540509259</v>
      </c>
      <c r="C2285" s="3" t="s">
        <v>5</v>
      </c>
    </row>
    <row r="2286">
      <c r="A2286" s="3">
        <v>4678.0</v>
      </c>
      <c r="B2286" s="4">
        <v>45327.054189814815</v>
      </c>
      <c r="C2286" s="3" t="s">
        <v>4</v>
      </c>
    </row>
    <row r="2287">
      <c r="A2287" s="3">
        <v>4787.0</v>
      </c>
      <c r="B2287" s="4">
        <v>45327.05734953703</v>
      </c>
      <c r="C2287" s="3" t="s">
        <v>3</v>
      </c>
    </row>
    <row r="2288">
      <c r="A2288" s="3">
        <v>133.0</v>
      </c>
      <c r="B2288" s="4">
        <v>45327.060069444444</v>
      </c>
      <c r="C2288" s="3" t="s">
        <v>5</v>
      </c>
    </row>
    <row r="2289">
      <c r="A2289" s="3">
        <v>5547.0</v>
      </c>
      <c r="B2289" s="4">
        <v>45327.06964120371</v>
      </c>
      <c r="C2289" s="3" t="s">
        <v>3</v>
      </c>
    </row>
    <row r="2290">
      <c r="A2290" s="3">
        <v>3182.0</v>
      </c>
      <c r="B2290" s="4">
        <v>45327.0955787037</v>
      </c>
      <c r="C2290" s="3" t="s">
        <v>5</v>
      </c>
    </row>
    <row r="2291">
      <c r="A2291" s="3">
        <v>2692.0</v>
      </c>
      <c r="B2291" s="4">
        <v>45327.12384259259</v>
      </c>
      <c r="C2291" s="3" t="s">
        <v>6</v>
      </c>
    </row>
    <row r="2292">
      <c r="A2292" s="3">
        <v>5858.0</v>
      </c>
      <c r="B2292" s="4">
        <v>45327.12793981482</v>
      </c>
      <c r="C2292" s="3" t="s">
        <v>4</v>
      </c>
    </row>
    <row r="2293">
      <c r="A2293" s="3">
        <v>7687.0</v>
      </c>
      <c r="B2293" s="4">
        <v>45327.13439814815</v>
      </c>
      <c r="C2293" s="3" t="s">
        <v>4</v>
      </c>
    </row>
    <row r="2294">
      <c r="A2294" s="3">
        <v>291.0</v>
      </c>
      <c r="B2294" s="4">
        <v>45327.19396990741</v>
      </c>
      <c r="C2294" s="3" t="s">
        <v>3</v>
      </c>
    </row>
    <row r="2295">
      <c r="A2295" s="3">
        <v>6925.0</v>
      </c>
      <c r="B2295" s="4">
        <v>45327.19725694445</v>
      </c>
      <c r="C2295" s="3" t="s">
        <v>5</v>
      </c>
    </row>
    <row r="2296">
      <c r="A2296" s="3">
        <v>2926.0</v>
      </c>
      <c r="B2296" s="4">
        <v>45327.200370370374</v>
      </c>
      <c r="C2296" s="3" t="s">
        <v>6</v>
      </c>
    </row>
    <row r="2297">
      <c r="A2297" s="3">
        <v>1329.0</v>
      </c>
      <c r="B2297" s="4">
        <v>45327.21934027778</v>
      </c>
      <c r="C2297" s="3" t="s">
        <v>3</v>
      </c>
    </row>
    <row r="2298">
      <c r="A2298" s="3">
        <v>7266.0</v>
      </c>
      <c r="B2298" s="4">
        <v>45327.242800925924</v>
      </c>
      <c r="C2298" s="3" t="s">
        <v>6</v>
      </c>
    </row>
    <row r="2299">
      <c r="A2299" s="3">
        <v>3182.0</v>
      </c>
      <c r="B2299" s="4">
        <v>45327.24637731481</v>
      </c>
      <c r="C2299" s="3" t="s">
        <v>4</v>
      </c>
    </row>
    <row r="2300">
      <c r="A2300" s="3">
        <v>5863.0</v>
      </c>
      <c r="B2300" s="4">
        <v>45327.24854166667</v>
      </c>
      <c r="C2300" s="3" t="s">
        <v>3</v>
      </c>
    </row>
    <row r="2301">
      <c r="A2301" s="3">
        <v>6129.0</v>
      </c>
      <c r="B2301" s="4">
        <v>45327.26699074074</v>
      </c>
      <c r="C2301" s="3" t="s">
        <v>3</v>
      </c>
    </row>
    <row r="2302">
      <c r="A2302" s="3">
        <v>1081.0</v>
      </c>
      <c r="B2302" s="4">
        <v>45327.27344907408</v>
      </c>
      <c r="C2302" s="3" t="s">
        <v>3</v>
      </c>
    </row>
    <row r="2303">
      <c r="A2303" s="3">
        <v>464.0</v>
      </c>
      <c r="B2303" s="4">
        <v>45327.30427083333</v>
      </c>
      <c r="C2303" s="3" t="s">
        <v>3</v>
      </c>
    </row>
    <row r="2304">
      <c r="A2304" s="3">
        <v>6478.0</v>
      </c>
      <c r="B2304" s="4">
        <v>45327.313125</v>
      </c>
      <c r="C2304" s="3" t="s">
        <v>3</v>
      </c>
    </row>
    <row r="2305">
      <c r="A2305" s="3">
        <v>5035.0</v>
      </c>
      <c r="B2305" s="4">
        <v>45327.33789351852</v>
      </c>
      <c r="C2305" s="3" t="s">
        <v>3</v>
      </c>
    </row>
    <row r="2306">
      <c r="A2306" s="3">
        <v>4471.0</v>
      </c>
      <c r="B2306" s="4">
        <v>45327.348969907405</v>
      </c>
      <c r="C2306" s="3" t="s">
        <v>3</v>
      </c>
    </row>
    <row r="2307">
      <c r="A2307" s="3">
        <v>4002.0</v>
      </c>
      <c r="B2307" s="4">
        <v>45327.352013888885</v>
      </c>
      <c r="C2307" s="3" t="s">
        <v>6</v>
      </c>
    </row>
    <row r="2308">
      <c r="A2308" s="3">
        <v>7642.0</v>
      </c>
      <c r="B2308" s="4">
        <v>45327.35841435185</v>
      </c>
      <c r="C2308" s="3" t="s">
        <v>6</v>
      </c>
    </row>
    <row r="2309">
      <c r="A2309" s="3">
        <v>7758.0</v>
      </c>
      <c r="B2309" s="4">
        <v>45327.38248842592</v>
      </c>
      <c r="C2309" s="3" t="s">
        <v>4</v>
      </c>
    </row>
    <row r="2310">
      <c r="A2310" s="3">
        <v>7277.0</v>
      </c>
      <c r="B2310" s="4">
        <v>45327.38761574074</v>
      </c>
      <c r="C2310" s="3" t="s">
        <v>4</v>
      </c>
    </row>
    <row r="2311">
      <c r="A2311" s="3">
        <v>320.0</v>
      </c>
      <c r="B2311" s="4">
        <v>45327.39923611111</v>
      </c>
      <c r="C2311" s="3" t="s">
        <v>6</v>
      </c>
    </row>
    <row r="2312">
      <c r="A2312" s="3">
        <v>203.0</v>
      </c>
      <c r="B2312" s="4">
        <v>45327.41349537037</v>
      </c>
      <c r="C2312" s="3" t="s">
        <v>3</v>
      </c>
    </row>
    <row r="2313">
      <c r="A2313" s="3">
        <v>1060.0</v>
      </c>
      <c r="B2313" s="4">
        <v>45327.417719907404</v>
      </c>
      <c r="C2313" s="3" t="s">
        <v>4</v>
      </c>
    </row>
    <row r="2314">
      <c r="A2314" s="3">
        <v>1824.0</v>
      </c>
      <c r="B2314" s="4">
        <v>45327.4374537037</v>
      </c>
      <c r="C2314" s="3" t="s">
        <v>3</v>
      </c>
    </row>
    <row r="2315">
      <c r="A2315" s="3">
        <v>7687.0</v>
      </c>
      <c r="B2315" s="4">
        <v>45327.44076388889</v>
      </c>
      <c r="C2315" s="3" t="s">
        <v>3</v>
      </c>
    </row>
    <row r="2316">
      <c r="A2316" s="3">
        <v>1889.0</v>
      </c>
      <c r="B2316" s="4">
        <v>45327.44967592593</v>
      </c>
      <c r="C2316" s="3" t="s">
        <v>4</v>
      </c>
    </row>
    <row r="2317">
      <c r="A2317" s="3">
        <v>4090.0</v>
      </c>
      <c r="B2317" s="4">
        <v>45327.47489583334</v>
      </c>
      <c r="C2317" s="3" t="s">
        <v>4</v>
      </c>
    </row>
    <row r="2318">
      <c r="A2318" s="3">
        <v>3356.0</v>
      </c>
      <c r="B2318" s="4">
        <v>45327.48217592593</v>
      </c>
      <c r="C2318" s="3" t="s">
        <v>5</v>
      </c>
    </row>
    <row r="2319">
      <c r="A2319" s="3">
        <v>1012.0</v>
      </c>
      <c r="B2319" s="4">
        <v>45327.48855324074</v>
      </c>
      <c r="C2319" s="3" t="s">
        <v>3</v>
      </c>
    </row>
    <row r="2320">
      <c r="A2320" s="3">
        <v>4787.0</v>
      </c>
      <c r="B2320" s="4">
        <v>45327.498240740744</v>
      </c>
      <c r="C2320" s="3" t="s">
        <v>4</v>
      </c>
    </row>
    <row r="2321">
      <c r="A2321" s="3">
        <v>3817.0</v>
      </c>
      <c r="B2321" s="4">
        <v>45327.5137962963</v>
      </c>
      <c r="C2321" s="3" t="s">
        <v>5</v>
      </c>
    </row>
    <row r="2322">
      <c r="A2322" s="3">
        <v>1741.0</v>
      </c>
      <c r="B2322" s="4">
        <v>45327.598587962966</v>
      </c>
      <c r="C2322" s="3" t="s">
        <v>4</v>
      </c>
    </row>
    <row r="2323">
      <c r="A2323" s="3">
        <v>6060.0</v>
      </c>
      <c r="B2323" s="4">
        <v>45327.61153935185</v>
      </c>
      <c r="C2323" s="3" t="s">
        <v>3</v>
      </c>
    </row>
    <row r="2324">
      <c r="A2324" s="3">
        <v>1601.0</v>
      </c>
      <c r="B2324" s="4">
        <v>45327.62118055556</v>
      </c>
      <c r="C2324" s="3" t="s">
        <v>3</v>
      </c>
    </row>
    <row r="2325">
      <c r="A2325" s="3">
        <v>3188.0</v>
      </c>
      <c r="B2325" s="4">
        <v>45327.63402777778</v>
      </c>
      <c r="C2325" s="3" t="s">
        <v>6</v>
      </c>
    </row>
    <row r="2326">
      <c r="A2326" s="3">
        <v>2692.0</v>
      </c>
      <c r="B2326" s="4">
        <v>45327.64542824074</v>
      </c>
      <c r="C2326" s="3" t="s">
        <v>5</v>
      </c>
    </row>
    <row r="2327">
      <c r="A2327" s="3">
        <v>7758.0</v>
      </c>
      <c r="B2327" s="4">
        <v>45327.66200231481</v>
      </c>
      <c r="C2327" s="3" t="s">
        <v>6</v>
      </c>
    </row>
    <row r="2328">
      <c r="A2328" s="3">
        <v>5547.0</v>
      </c>
      <c r="B2328" s="4">
        <v>45327.68195601852</v>
      </c>
      <c r="C2328" s="3" t="s">
        <v>5</v>
      </c>
    </row>
    <row r="2329">
      <c r="A2329" s="3">
        <v>7754.0</v>
      </c>
      <c r="B2329" s="4">
        <v>45327.68556712963</v>
      </c>
      <c r="C2329" s="3" t="s">
        <v>6</v>
      </c>
    </row>
    <row r="2330">
      <c r="A2330" s="3">
        <v>101.0</v>
      </c>
      <c r="B2330" s="4">
        <v>45327.68798611111</v>
      </c>
      <c r="C2330" s="3" t="s">
        <v>5</v>
      </c>
    </row>
    <row r="2331">
      <c r="A2331" s="3">
        <v>1233.0</v>
      </c>
      <c r="B2331" s="4">
        <v>45327.70038194444</v>
      </c>
      <c r="C2331" s="3" t="s">
        <v>4</v>
      </c>
    </row>
    <row r="2332">
      <c r="A2332" s="3">
        <v>3296.0</v>
      </c>
      <c r="B2332" s="4">
        <v>45327.701875</v>
      </c>
      <c r="C2332" s="3" t="s">
        <v>3</v>
      </c>
    </row>
    <row r="2333">
      <c r="A2333" s="3">
        <v>1451.0</v>
      </c>
      <c r="B2333" s="4">
        <v>45327.72216435185</v>
      </c>
      <c r="C2333" s="3" t="s">
        <v>5</v>
      </c>
    </row>
    <row r="2334">
      <c r="A2334" s="3">
        <v>6986.0</v>
      </c>
      <c r="B2334" s="4">
        <v>45327.72597222222</v>
      </c>
      <c r="C2334" s="3" t="s">
        <v>6</v>
      </c>
    </row>
    <row r="2335">
      <c r="A2335" s="3">
        <v>5858.0</v>
      </c>
      <c r="B2335" s="4">
        <v>45327.7359375</v>
      </c>
      <c r="C2335" s="3" t="s">
        <v>3</v>
      </c>
    </row>
    <row r="2336">
      <c r="A2336" s="3">
        <v>4075.0</v>
      </c>
      <c r="B2336" s="4">
        <v>45327.74230324074</v>
      </c>
      <c r="C2336" s="3" t="s">
        <v>5</v>
      </c>
    </row>
    <row r="2337">
      <c r="A2337" s="3">
        <v>3275.0</v>
      </c>
      <c r="B2337" s="4">
        <v>45327.7427662037</v>
      </c>
      <c r="C2337" s="3" t="s">
        <v>4</v>
      </c>
    </row>
    <row r="2338">
      <c r="A2338" s="3">
        <v>5863.0</v>
      </c>
      <c r="B2338" s="4">
        <v>45327.74302083333</v>
      </c>
      <c r="C2338" s="3" t="s">
        <v>4</v>
      </c>
    </row>
    <row r="2339">
      <c r="A2339" s="3">
        <v>1060.0</v>
      </c>
      <c r="B2339" s="4">
        <v>45327.77123842593</v>
      </c>
      <c r="C2339" s="3" t="s">
        <v>3</v>
      </c>
    </row>
    <row r="2340">
      <c r="A2340" s="3">
        <v>3275.0</v>
      </c>
      <c r="B2340" s="4">
        <v>45327.77851851852</v>
      </c>
      <c r="C2340" s="3" t="s">
        <v>5</v>
      </c>
    </row>
    <row r="2341">
      <c r="A2341" s="3">
        <v>4767.0</v>
      </c>
      <c r="B2341" s="4">
        <v>45327.84675925926</v>
      </c>
      <c r="C2341" s="3" t="s">
        <v>6</v>
      </c>
    </row>
    <row r="2342">
      <c r="A2342" s="3">
        <v>2089.0</v>
      </c>
      <c r="B2342" s="4">
        <v>45327.85425925926</v>
      </c>
      <c r="C2342" s="3" t="s">
        <v>5</v>
      </c>
    </row>
    <row r="2343">
      <c r="A2343" s="3">
        <v>6703.0</v>
      </c>
      <c r="B2343" s="4">
        <v>45327.86136574074</v>
      </c>
      <c r="C2343" s="3" t="s">
        <v>6</v>
      </c>
    </row>
    <row r="2344">
      <c r="A2344" s="3">
        <v>5860.0</v>
      </c>
      <c r="B2344" s="4">
        <v>45327.869791666664</v>
      </c>
      <c r="C2344" s="3" t="s">
        <v>3</v>
      </c>
    </row>
    <row r="2345">
      <c r="A2345" s="3">
        <v>2859.0</v>
      </c>
      <c r="B2345" s="4">
        <v>45327.87662037037</v>
      </c>
      <c r="C2345" s="3" t="s">
        <v>5</v>
      </c>
    </row>
    <row r="2346">
      <c r="A2346" s="3">
        <v>4702.0</v>
      </c>
      <c r="B2346" s="4">
        <v>45327.88234953704</v>
      </c>
      <c r="C2346" s="3" t="s">
        <v>4</v>
      </c>
    </row>
    <row r="2347">
      <c r="A2347" s="3">
        <v>1293.0</v>
      </c>
      <c r="B2347" s="4">
        <v>45327.886400462965</v>
      </c>
      <c r="C2347" s="3" t="s">
        <v>4</v>
      </c>
    </row>
    <row r="2348">
      <c r="A2348" s="3">
        <v>4702.0</v>
      </c>
      <c r="B2348" s="4">
        <v>45327.886516203704</v>
      </c>
      <c r="C2348" s="3" t="s">
        <v>3</v>
      </c>
    </row>
    <row r="2349">
      <c r="A2349" s="3">
        <v>747.0</v>
      </c>
      <c r="B2349" s="4">
        <v>45327.88815972222</v>
      </c>
      <c r="C2349" s="3" t="s">
        <v>6</v>
      </c>
    </row>
    <row r="2350">
      <c r="A2350" s="3">
        <v>3722.0</v>
      </c>
      <c r="B2350" s="4">
        <v>45327.909780092596</v>
      </c>
      <c r="C2350" s="3" t="s">
        <v>6</v>
      </c>
    </row>
    <row r="2351">
      <c r="A2351" s="3">
        <v>7758.0</v>
      </c>
      <c r="B2351" s="4">
        <v>45327.913136574076</v>
      </c>
      <c r="C2351" s="3" t="s">
        <v>5</v>
      </c>
    </row>
    <row r="2352">
      <c r="A2352" s="3">
        <v>790.0</v>
      </c>
      <c r="B2352" s="4">
        <v>45327.91584490741</v>
      </c>
      <c r="C2352" s="3" t="s">
        <v>3</v>
      </c>
    </row>
    <row r="2353">
      <c r="A2353" s="3">
        <v>2189.0</v>
      </c>
      <c r="B2353" s="4">
        <v>45327.91886574074</v>
      </c>
      <c r="C2353" s="3" t="s">
        <v>3</v>
      </c>
    </row>
    <row r="2354">
      <c r="A2354" s="3">
        <v>1343.0</v>
      </c>
      <c r="B2354" s="4">
        <v>45327.92597222222</v>
      </c>
      <c r="C2354" s="3" t="s">
        <v>4</v>
      </c>
    </row>
    <row r="2355">
      <c r="A2355" s="3">
        <v>1081.0</v>
      </c>
      <c r="B2355" s="4">
        <v>45327.930763888886</v>
      </c>
      <c r="C2355" s="3" t="s">
        <v>4</v>
      </c>
    </row>
    <row r="2356">
      <c r="A2356" s="3">
        <v>4589.0</v>
      </c>
      <c r="B2356" s="4">
        <v>45327.93693287037</v>
      </c>
      <c r="C2356" s="3" t="s">
        <v>7</v>
      </c>
    </row>
    <row r="2357">
      <c r="A2357" s="3">
        <v>5860.0</v>
      </c>
      <c r="B2357" s="4">
        <v>45327.942407407405</v>
      </c>
      <c r="C2357" s="3" t="s">
        <v>4</v>
      </c>
    </row>
    <row r="2358">
      <c r="A2358" s="3">
        <v>3777.0</v>
      </c>
      <c r="B2358" s="4">
        <v>45327.951689814814</v>
      </c>
      <c r="C2358" s="3" t="s">
        <v>4</v>
      </c>
    </row>
    <row r="2359">
      <c r="A2359" s="3">
        <v>203.0</v>
      </c>
      <c r="B2359" s="4">
        <v>45328.024722222224</v>
      </c>
      <c r="C2359" s="3" t="s">
        <v>4</v>
      </c>
    </row>
    <row r="2360">
      <c r="A2360" s="3">
        <v>697.0</v>
      </c>
      <c r="B2360" s="4">
        <v>45328.03619212963</v>
      </c>
      <c r="C2360" s="3" t="s">
        <v>5</v>
      </c>
    </row>
    <row r="2361">
      <c r="A2361" s="3">
        <v>2224.0</v>
      </c>
      <c r="B2361" s="4">
        <v>45328.05447916667</v>
      </c>
      <c r="C2361" s="3" t="s">
        <v>7</v>
      </c>
    </row>
    <row r="2362">
      <c r="A2362" s="3">
        <v>1601.0</v>
      </c>
      <c r="B2362" s="4">
        <v>45328.06434027778</v>
      </c>
      <c r="C2362" s="3" t="s">
        <v>6</v>
      </c>
    </row>
    <row r="2363">
      <c r="A2363" s="3">
        <v>3976.0</v>
      </c>
      <c r="B2363" s="4">
        <v>45328.069918981484</v>
      </c>
      <c r="C2363" s="3" t="s">
        <v>3</v>
      </c>
    </row>
    <row r="2364">
      <c r="A2364" s="3">
        <v>1741.0</v>
      </c>
      <c r="B2364" s="4">
        <v>45328.09501157407</v>
      </c>
      <c r="C2364" s="3" t="s">
        <v>6</v>
      </c>
    </row>
    <row r="2365">
      <c r="A2365" s="3">
        <v>7788.0</v>
      </c>
      <c r="B2365" s="4">
        <v>45328.09989583334</v>
      </c>
      <c r="C2365" s="3" t="s">
        <v>5</v>
      </c>
    </row>
    <row r="2366">
      <c r="A2366" s="3">
        <v>7932.0</v>
      </c>
      <c r="B2366" s="4">
        <v>45328.10240740741</v>
      </c>
      <c r="C2366" s="3" t="s">
        <v>5</v>
      </c>
    </row>
    <row r="2367">
      <c r="A2367" s="3">
        <v>1451.0</v>
      </c>
      <c r="B2367" s="4">
        <v>45328.132361111115</v>
      </c>
      <c r="C2367" s="3" t="s">
        <v>4</v>
      </c>
    </row>
    <row r="2368">
      <c r="A2368" s="3">
        <v>1359.0</v>
      </c>
      <c r="B2368" s="4">
        <v>45328.135567129626</v>
      </c>
      <c r="C2368" s="3" t="s">
        <v>3</v>
      </c>
    </row>
    <row r="2369">
      <c r="A2369" s="3">
        <v>1601.0</v>
      </c>
      <c r="B2369" s="4">
        <v>45328.13653935185</v>
      </c>
      <c r="C2369" s="3" t="s">
        <v>4</v>
      </c>
    </row>
    <row r="2370">
      <c r="A2370" s="3">
        <v>6129.0</v>
      </c>
      <c r="B2370" s="4">
        <v>45328.138715277775</v>
      </c>
      <c r="C2370" s="3" t="s">
        <v>4</v>
      </c>
    </row>
    <row r="2371">
      <c r="A2371" s="3">
        <v>3097.0</v>
      </c>
      <c r="B2371" s="4">
        <v>45328.1505787037</v>
      </c>
      <c r="C2371" s="3" t="s">
        <v>3</v>
      </c>
    </row>
    <row r="2372">
      <c r="A2372" s="3">
        <v>1494.0</v>
      </c>
      <c r="B2372" s="4">
        <v>45328.16844907407</v>
      </c>
      <c r="C2372" s="3" t="s">
        <v>4</v>
      </c>
    </row>
    <row r="2373">
      <c r="A2373" s="3">
        <v>5904.0</v>
      </c>
      <c r="B2373" s="4">
        <v>45328.18769675926</v>
      </c>
      <c r="C2373" s="3" t="s">
        <v>3</v>
      </c>
    </row>
    <row r="2374">
      <c r="A2374" s="3">
        <v>2079.0</v>
      </c>
      <c r="B2374" s="4">
        <v>45328.20490740741</v>
      </c>
      <c r="C2374" s="3" t="s">
        <v>4</v>
      </c>
    </row>
    <row r="2375">
      <c r="A2375" s="3">
        <v>249.0</v>
      </c>
      <c r="B2375" s="4">
        <v>45328.21114583333</v>
      </c>
      <c r="C2375" s="3" t="s">
        <v>3</v>
      </c>
    </row>
    <row r="2376">
      <c r="A2376" s="3">
        <v>3976.0</v>
      </c>
      <c r="B2376" s="4">
        <v>45328.233935185184</v>
      </c>
      <c r="C2376" s="3" t="s">
        <v>4</v>
      </c>
    </row>
    <row r="2377">
      <c r="A2377" s="3">
        <v>1692.0</v>
      </c>
      <c r="B2377" s="4">
        <v>45328.240590277775</v>
      </c>
      <c r="C2377" s="3" t="s">
        <v>3</v>
      </c>
    </row>
    <row r="2378">
      <c r="A2378" s="3">
        <v>6129.0</v>
      </c>
      <c r="B2378" s="4">
        <v>45328.273888888885</v>
      </c>
      <c r="C2378" s="3" t="s">
        <v>5</v>
      </c>
    </row>
    <row r="2379">
      <c r="A2379" s="3">
        <v>4085.0</v>
      </c>
      <c r="B2379" s="4">
        <v>45328.275775462964</v>
      </c>
      <c r="C2379" s="3" t="s">
        <v>6</v>
      </c>
    </row>
    <row r="2380">
      <c r="A2380" s="3">
        <v>7699.0</v>
      </c>
      <c r="B2380" s="4">
        <v>45328.280335648145</v>
      </c>
      <c r="C2380" s="3" t="s">
        <v>5</v>
      </c>
    </row>
    <row r="2381">
      <c r="A2381" s="3">
        <v>4589.0</v>
      </c>
      <c r="B2381" s="4">
        <v>45328.29357638889</v>
      </c>
      <c r="C2381" s="3" t="s">
        <v>5</v>
      </c>
    </row>
    <row r="2382">
      <c r="A2382" s="3">
        <v>2752.0</v>
      </c>
      <c r="B2382" s="4">
        <v>45328.306076388886</v>
      </c>
      <c r="C2382" s="3" t="s">
        <v>3</v>
      </c>
    </row>
    <row r="2383">
      <c r="A2383" s="3">
        <v>7699.0</v>
      </c>
      <c r="B2383" s="4">
        <v>45328.31025462963</v>
      </c>
      <c r="C2383" s="3" t="s">
        <v>3</v>
      </c>
    </row>
    <row r="2384">
      <c r="A2384" s="3">
        <v>3140.0</v>
      </c>
      <c r="B2384" s="4">
        <v>45328.314351851855</v>
      </c>
      <c r="C2384" s="3" t="s">
        <v>6</v>
      </c>
    </row>
    <row r="2385">
      <c r="A2385" s="3">
        <v>4710.0</v>
      </c>
      <c r="B2385" s="4">
        <v>45328.35460648148</v>
      </c>
      <c r="C2385" s="3" t="s">
        <v>6</v>
      </c>
    </row>
    <row r="2386">
      <c r="A2386" s="3">
        <v>3507.0</v>
      </c>
      <c r="B2386" s="4">
        <v>45328.36170138889</v>
      </c>
      <c r="C2386" s="3" t="s">
        <v>4</v>
      </c>
    </row>
    <row r="2387">
      <c r="A2387" s="3">
        <v>2732.0</v>
      </c>
      <c r="B2387" s="4">
        <v>45328.36954861111</v>
      </c>
      <c r="C2387" s="3" t="s">
        <v>3</v>
      </c>
    </row>
    <row r="2388">
      <c r="A2388" s="3">
        <v>5364.0</v>
      </c>
      <c r="B2388" s="4">
        <v>45328.37469907408</v>
      </c>
      <c r="C2388" s="3" t="s">
        <v>3</v>
      </c>
    </row>
    <row r="2389">
      <c r="A2389" s="3">
        <v>187.0</v>
      </c>
      <c r="B2389" s="4">
        <v>45328.397511574076</v>
      </c>
      <c r="C2389" s="3" t="s">
        <v>3</v>
      </c>
    </row>
    <row r="2390">
      <c r="A2390" s="3">
        <v>5931.0</v>
      </c>
      <c r="B2390" s="4">
        <v>45328.43103009259</v>
      </c>
      <c r="C2390" s="3" t="s">
        <v>7</v>
      </c>
    </row>
    <row r="2391">
      <c r="A2391" s="3">
        <v>4075.0</v>
      </c>
      <c r="B2391" s="4">
        <v>45328.431608796294</v>
      </c>
      <c r="C2391" s="3" t="s">
        <v>6</v>
      </c>
    </row>
    <row r="2392">
      <c r="A2392" s="3">
        <v>1188.0</v>
      </c>
      <c r="B2392" s="4">
        <v>45328.46056712963</v>
      </c>
      <c r="C2392" s="3" t="s">
        <v>3</v>
      </c>
    </row>
    <row r="2393">
      <c r="A2393" s="3">
        <v>7769.0</v>
      </c>
      <c r="B2393" s="4">
        <v>45328.462430555555</v>
      </c>
      <c r="C2393" s="3" t="s">
        <v>3</v>
      </c>
    </row>
    <row r="2394">
      <c r="A2394" s="3">
        <v>7687.0</v>
      </c>
      <c r="B2394" s="4">
        <v>45328.4731712963</v>
      </c>
      <c r="C2394" s="3" t="s">
        <v>7</v>
      </c>
    </row>
    <row r="2395">
      <c r="A2395" s="3">
        <v>7932.0</v>
      </c>
      <c r="B2395" s="4">
        <v>45328.491631944446</v>
      </c>
      <c r="C2395" s="3" t="s">
        <v>4</v>
      </c>
    </row>
    <row r="2396">
      <c r="A2396" s="3">
        <v>2337.0</v>
      </c>
      <c r="B2396" s="4">
        <v>45328.492800925924</v>
      </c>
      <c r="C2396" s="3" t="s">
        <v>4</v>
      </c>
    </row>
    <row r="2397">
      <c r="A2397" s="3">
        <v>1859.0</v>
      </c>
      <c r="B2397" s="4">
        <v>45328.49722222222</v>
      </c>
      <c r="C2397" s="3" t="s">
        <v>3</v>
      </c>
    </row>
    <row r="2398">
      <c r="A2398" s="3">
        <v>4702.0</v>
      </c>
      <c r="B2398" s="4">
        <v>45328.51563657408</v>
      </c>
      <c r="C2398" s="3" t="s">
        <v>7</v>
      </c>
    </row>
    <row r="2399">
      <c r="A2399" s="3">
        <v>2684.0</v>
      </c>
      <c r="B2399" s="4">
        <v>45328.53931712963</v>
      </c>
      <c r="C2399" s="3" t="s">
        <v>3</v>
      </c>
    </row>
    <row r="2400">
      <c r="A2400" s="3">
        <v>706.0</v>
      </c>
      <c r="B2400" s="4">
        <v>45328.54520833334</v>
      </c>
      <c r="C2400" s="3" t="s">
        <v>5</v>
      </c>
    </row>
    <row r="2401">
      <c r="A2401" s="3">
        <v>4702.0</v>
      </c>
      <c r="B2401" s="4">
        <v>45328.55390046296</v>
      </c>
      <c r="C2401" s="3" t="s">
        <v>5</v>
      </c>
    </row>
    <row r="2402">
      <c r="A2402" s="3">
        <v>6463.0</v>
      </c>
      <c r="B2402" s="4">
        <v>45328.57445601852</v>
      </c>
      <c r="C2402" s="3" t="s">
        <v>3</v>
      </c>
    </row>
    <row r="2403">
      <c r="A2403" s="3">
        <v>17.0</v>
      </c>
      <c r="B2403" s="4">
        <v>45328.595</v>
      </c>
      <c r="C2403" s="3" t="s">
        <v>3</v>
      </c>
    </row>
    <row r="2404">
      <c r="A2404" s="3">
        <v>7224.0</v>
      </c>
      <c r="B2404" s="4">
        <v>45328.596134259256</v>
      </c>
      <c r="C2404" s="3" t="s">
        <v>6</v>
      </c>
    </row>
    <row r="2405">
      <c r="A2405" s="3">
        <v>4953.0</v>
      </c>
      <c r="B2405" s="4">
        <v>45328.601956018516</v>
      </c>
      <c r="C2405" s="3" t="s">
        <v>3</v>
      </c>
    </row>
    <row r="2406">
      <c r="A2406" s="3">
        <v>3833.0</v>
      </c>
      <c r="B2406" s="4">
        <v>45328.65012731482</v>
      </c>
      <c r="C2406" s="3" t="s">
        <v>3</v>
      </c>
    </row>
    <row r="2407">
      <c r="A2407" s="3">
        <v>2681.0</v>
      </c>
      <c r="B2407" s="4">
        <v>45328.651041666664</v>
      </c>
      <c r="C2407" s="3" t="s">
        <v>6</v>
      </c>
    </row>
    <row r="2408">
      <c r="A2408" s="3">
        <v>6719.0</v>
      </c>
      <c r="B2408" s="4">
        <v>45328.66123842593</v>
      </c>
      <c r="C2408" s="3" t="s">
        <v>3</v>
      </c>
    </row>
    <row r="2409">
      <c r="A2409" s="3">
        <v>2089.0</v>
      </c>
      <c r="B2409" s="4">
        <v>45328.67162037037</v>
      </c>
      <c r="C2409" s="3" t="s">
        <v>7</v>
      </c>
    </row>
    <row r="2410">
      <c r="A2410" s="3">
        <v>5329.0</v>
      </c>
      <c r="B2410" s="4">
        <v>45328.69459490741</v>
      </c>
      <c r="C2410" s="3" t="s">
        <v>4</v>
      </c>
    </row>
    <row r="2411">
      <c r="A2411" s="3">
        <v>3296.0</v>
      </c>
      <c r="B2411" s="4">
        <v>45328.73652777778</v>
      </c>
      <c r="C2411" s="3" t="s">
        <v>4</v>
      </c>
    </row>
    <row r="2412">
      <c r="A2412" s="3">
        <v>5329.0</v>
      </c>
      <c r="B2412" s="4">
        <v>45328.76726851852</v>
      </c>
      <c r="C2412" s="3" t="s">
        <v>3</v>
      </c>
    </row>
    <row r="2413">
      <c r="A2413" s="3">
        <v>2992.0</v>
      </c>
      <c r="B2413" s="4">
        <v>45328.84270833333</v>
      </c>
      <c r="C2413" s="3" t="s">
        <v>3</v>
      </c>
    </row>
    <row r="2414">
      <c r="A2414" s="3">
        <v>2128.0</v>
      </c>
      <c r="B2414" s="4">
        <v>45328.86199074074</v>
      </c>
      <c r="C2414" s="3" t="s">
        <v>6</v>
      </c>
    </row>
    <row r="2415">
      <c r="A2415" s="3">
        <v>6719.0</v>
      </c>
      <c r="B2415" s="4">
        <v>45328.873125</v>
      </c>
      <c r="C2415" s="3" t="s">
        <v>4</v>
      </c>
    </row>
    <row r="2416">
      <c r="A2416" s="3">
        <v>5712.0</v>
      </c>
      <c r="B2416" s="4">
        <v>45328.89457175926</v>
      </c>
      <c r="C2416" s="3" t="s">
        <v>5</v>
      </c>
    </row>
    <row r="2417">
      <c r="A2417" s="3">
        <v>2776.0</v>
      </c>
      <c r="B2417" s="4">
        <v>45328.896840277775</v>
      </c>
      <c r="C2417" s="3" t="s">
        <v>3</v>
      </c>
    </row>
    <row r="2418">
      <c r="A2418" s="3">
        <v>2926.0</v>
      </c>
      <c r="B2418" s="4">
        <v>45328.90572916667</v>
      </c>
      <c r="C2418" s="3" t="s">
        <v>4</v>
      </c>
    </row>
    <row r="2419">
      <c r="A2419" s="3">
        <v>4955.0</v>
      </c>
      <c r="B2419" s="4">
        <v>45328.94238425926</v>
      </c>
      <c r="C2419" s="3" t="s">
        <v>4</v>
      </c>
    </row>
    <row r="2420">
      <c r="A2420" s="3">
        <v>4498.0</v>
      </c>
      <c r="B2420" s="4">
        <v>45328.953993055555</v>
      </c>
      <c r="C2420" s="3" t="s">
        <v>4</v>
      </c>
    </row>
    <row r="2421">
      <c r="A2421" s="3">
        <v>2158.0</v>
      </c>
      <c r="B2421" s="4">
        <v>45328.96763888889</v>
      </c>
      <c r="C2421" s="3" t="s">
        <v>7</v>
      </c>
    </row>
    <row r="2422">
      <c r="A2422" s="3">
        <v>3097.0</v>
      </c>
      <c r="B2422" s="4">
        <v>45328.96890046296</v>
      </c>
      <c r="C2422" s="3" t="s">
        <v>5</v>
      </c>
    </row>
    <row r="2423">
      <c r="A2423" s="3">
        <v>7894.0</v>
      </c>
      <c r="B2423" s="4">
        <v>45328.97493055555</v>
      </c>
      <c r="C2423" s="3" t="s">
        <v>5</v>
      </c>
    </row>
    <row r="2424">
      <c r="A2424" s="3">
        <v>6727.0</v>
      </c>
      <c r="B2424" s="4">
        <v>45328.986122685186</v>
      </c>
      <c r="C2424" s="3" t="s">
        <v>6</v>
      </c>
    </row>
    <row r="2425">
      <c r="A2425" s="3">
        <v>88.0</v>
      </c>
      <c r="B2425" s="4">
        <v>45329.00440972222</v>
      </c>
      <c r="C2425" s="3" t="s">
        <v>5</v>
      </c>
    </row>
    <row r="2426">
      <c r="A2426" s="3">
        <v>4921.0</v>
      </c>
      <c r="B2426" s="4">
        <v>45329.00666666667</v>
      </c>
      <c r="C2426" s="3" t="s">
        <v>3</v>
      </c>
    </row>
    <row r="2427">
      <c r="A2427" s="3">
        <v>2352.0</v>
      </c>
      <c r="B2427" s="4">
        <v>45329.035844907405</v>
      </c>
      <c r="C2427" s="3" t="s">
        <v>3</v>
      </c>
    </row>
    <row r="2428">
      <c r="A2428" s="3">
        <v>611.0</v>
      </c>
      <c r="B2428" s="4">
        <v>45329.05739583333</v>
      </c>
      <c r="C2428" s="3" t="s">
        <v>3</v>
      </c>
    </row>
    <row r="2429">
      <c r="A2429" s="3">
        <v>3545.0</v>
      </c>
      <c r="B2429" s="4">
        <v>45329.063425925924</v>
      </c>
      <c r="C2429" s="3" t="s">
        <v>6</v>
      </c>
    </row>
    <row r="2430">
      <c r="A2430" s="3">
        <v>790.0</v>
      </c>
      <c r="B2430" s="4">
        <v>45329.09159722222</v>
      </c>
      <c r="C2430" s="3" t="s">
        <v>6</v>
      </c>
    </row>
    <row r="2431">
      <c r="A2431" s="3">
        <v>5372.0</v>
      </c>
      <c r="B2431" s="4">
        <v>45329.12422453704</v>
      </c>
      <c r="C2431" s="3" t="s">
        <v>3</v>
      </c>
    </row>
    <row r="2432">
      <c r="A2432" s="3">
        <v>173.0</v>
      </c>
      <c r="B2432" s="4">
        <v>45329.15126157407</v>
      </c>
      <c r="C2432" s="3" t="s">
        <v>3</v>
      </c>
    </row>
    <row r="2433">
      <c r="A2433" s="3">
        <v>7687.0</v>
      </c>
      <c r="B2433" s="4">
        <v>45329.16579861111</v>
      </c>
      <c r="C2433" s="3" t="s">
        <v>6</v>
      </c>
    </row>
    <row r="2434">
      <c r="A2434" s="3">
        <v>3182.0</v>
      </c>
      <c r="B2434" s="4">
        <v>45329.168171296296</v>
      </c>
      <c r="C2434" s="3" t="s">
        <v>7</v>
      </c>
    </row>
    <row r="2435">
      <c r="A2435" s="3">
        <v>3914.0</v>
      </c>
      <c r="B2435" s="4">
        <v>45329.189733796295</v>
      </c>
      <c r="C2435" s="3" t="s">
        <v>3</v>
      </c>
    </row>
    <row r="2436">
      <c r="A2436" s="3">
        <v>3059.0</v>
      </c>
      <c r="B2436" s="4">
        <v>45329.20642361111</v>
      </c>
      <c r="C2436" s="3" t="s">
        <v>3</v>
      </c>
    </row>
    <row r="2437">
      <c r="A2437" s="3">
        <v>3227.0</v>
      </c>
      <c r="B2437" s="4">
        <v>45329.215462962966</v>
      </c>
      <c r="C2437" s="3" t="s">
        <v>3</v>
      </c>
    </row>
    <row r="2438">
      <c r="A2438" s="3">
        <v>2026.0</v>
      </c>
      <c r="B2438" s="4">
        <v>45329.218622685185</v>
      </c>
      <c r="C2438" s="3" t="s">
        <v>3</v>
      </c>
    </row>
    <row r="2439">
      <c r="A2439" s="3">
        <v>2185.0</v>
      </c>
      <c r="B2439" s="4">
        <v>45329.22467592593</v>
      </c>
      <c r="C2439" s="3" t="s">
        <v>4</v>
      </c>
    </row>
    <row r="2440">
      <c r="A2440" s="3">
        <v>7894.0</v>
      </c>
      <c r="B2440" s="4">
        <v>45329.25690972222</v>
      </c>
      <c r="C2440" s="3" t="s">
        <v>6</v>
      </c>
    </row>
    <row r="2441">
      <c r="A2441" s="3">
        <v>3914.0</v>
      </c>
      <c r="B2441" s="4">
        <v>45329.26331018518</v>
      </c>
      <c r="C2441" s="3" t="s">
        <v>4</v>
      </c>
    </row>
    <row r="2442">
      <c r="A2442" s="3">
        <v>4551.0</v>
      </c>
      <c r="B2442" s="4">
        <v>45329.288831018515</v>
      </c>
      <c r="C2442" s="3" t="s">
        <v>3</v>
      </c>
    </row>
    <row r="2443">
      <c r="A2443" s="3">
        <v>2752.0</v>
      </c>
      <c r="B2443" s="4">
        <v>45329.314791666664</v>
      </c>
      <c r="C2443" s="3" t="s">
        <v>4</v>
      </c>
    </row>
    <row r="2444">
      <c r="A2444" s="3">
        <v>3846.0</v>
      </c>
      <c r="B2444" s="4">
        <v>45329.336689814816</v>
      </c>
      <c r="C2444" s="3" t="s">
        <v>4</v>
      </c>
    </row>
    <row r="2445">
      <c r="A2445" s="3">
        <v>6925.0</v>
      </c>
      <c r="B2445" s="4">
        <v>45329.34328703704</v>
      </c>
      <c r="C2445" s="3" t="s">
        <v>7</v>
      </c>
    </row>
    <row r="2446">
      <c r="A2446" s="3">
        <v>4817.0</v>
      </c>
      <c r="B2446" s="4">
        <v>45329.36355324074</v>
      </c>
      <c r="C2446" s="3" t="s">
        <v>5</v>
      </c>
    </row>
    <row r="2447">
      <c r="A2447" s="3">
        <v>4492.0</v>
      </c>
      <c r="B2447" s="4">
        <v>45329.36375</v>
      </c>
      <c r="C2447" s="3" t="s">
        <v>3</v>
      </c>
    </row>
    <row r="2448">
      <c r="A2448" s="3">
        <v>7982.0</v>
      </c>
      <c r="B2448" s="4">
        <v>45329.38107638889</v>
      </c>
      <c r="C2448" s="3" t="s">
        <v>6</v>
      </c>
    </row>
    <row r="2449">
      <c r="A2449" s="3">
        <v>6926.0</v>
      </c>
      <c r="B2449" s="4">
        <v>45329.382361111115</v>
      </c>
      <c r="C2449" s="3" t="s">
        <v>6</v>
      </c>
    </row>
    <row r="2450">
      <c r="A2450" s="3">
        <v>2185.0</v>
      </c>
      <c r="B2450" s="4">
        <v>45329.38553240741</v>
      </c>
      <c r="C2450" s="3" t="s">
        <v>3</v>
      </c>
    </row>
    <row r="2451">
      <c r="A2451" s="3">
        <v>3039.0</v>
      </c>
      <c r="B2451" s="4">
        <v>45329.39806712963</v>
      </c>
      <c r="C2451" s="3" t="s">
        <v>6</v>
      </c>
    </row>
    <row r="2452">
      <c r="A2452" s="3">
        <v>4787.0</v>
      </c>
      <c r="B2452" s="4">
        <v>45329.398414351854</v>
      </c>
      <c r="C2452" s="3" t="s">
        <v>5</v>
      </c>
    </row>
    <row r="2453">
      <c r="A2453" s="3">
        <v>17.0</v>
      </c>
      <c r="B2453" s="4">
        <v>45329.412569444445</v>
      </c>
      <c r="C2453" s="3" t="s">
        <v>4</v>
      </c>
    </row>
    <row r="2454">
      <c r="A2454" s="3">
        <v>2032.0</v>
      </c>
      <c r="B2454" s="4">
        <v>45329.418217592596</v>
      </c>
      <c r="C2454" s="3" t="s">
        <v>3</v>
      </c>
    </row>
    <row r="2455">
      <c r="A2455" s="3">
        <v>4053.0</v>
      </c>
      <c r="B2455" s="4">
        <v>45329.427824074075</v>
      </c>
      <c r="C2455" s="3" t="s">
        <v>4</v>
      </c>
    </row>
    <row r="2456">
      <c r="A2456" s="3">
        <v>2926.0</v>
      </c>
      <c r="B2456" s="4">
        <v>45329.43209490741</v>
      </c>
      <c r="C2456" s="3" t="s">
        <v>5</v>
      </c>
    </row>
    <row r="2457">
      <c r="A2457" s="3">
        <v>4963.0</v>
      </c>
      <c r="B2457" s="4">
        <v>45329.4422337963</v>
      </c>
      <c r="C2457" s="3" t="s">
        <v>6</v>
      </c>
    </row>
    <row r="2458">
      <c r="A2458" s="3">
        <v>790.0</v>
      </c>
      <c r="B2458" s="4">
        <v>45329.47719907408</v>
      </c>
      <c r="C2458" s="3" t="s">
        <v>4</v>
      </c>
    </row>
    <row r="2459">
      <c r="A2459" s="3">
        <v>3846.0</v>
      </c>
      <c r="B2459" s="4">
        <v>45329.49171296296</v>
      </c>
      <c r="C2459" s="3" t="s">
        <v>3</v>
      </c>
    </row>
    <row r="2460">
      <c r="A2460" s="3">
        <v>5745.0</v>
      </c>
      <c r="B2460" s="4">
        <v>45329.499814814815</v>
      </c>
      <c r="C2460" s="3" t="s">
        <v>3</v>
      </c>
    </row>
    <row r="2461">
      <c r="A2461" s="3">
        <v>2378.0</v>
      </c>
      <c r="B2461" s="4">
        <v>45329.50195601852</v>
      </c>
      <c r="C2461" s="3" t="s">
        <v>4</v>
      </c>
    </row>
    <row r="2462">
      <c r="A2462" s="3">
        <v>3039.0</v>
      </c>
      <c r="B2462" s="4">
        <v>45329.51168981481</v>
      </c>
      <c r="C2462" s="3" t="s">
        <v>7</v>
      </c>
    </row>
    <row r="2463">
      <c r="A2463" s="3">
        <v>3414.0</v>
      </c>
      <c r="B2463" s="4">
        <v>45329.52207175926</v>
      </c>
      <c r="C2463" s="3" t="s">
        <v>3</v>
      </c>
    </row>
    <row r="2464">
      <c r="A2464" s="3">
        <v>7699.0</v>
      </c>
      <c r="B2464" s="4">
        <v>45329.530069444445</v>
      </c>
      <c r="C2464" s="3" t="s">
        <v>4</v>
      </c>
    </row>
    <row r="2465">
      <c r="A2465" s="3">
        <v>7509.0</v>
      </c>
      <c r="B2465" s="4">
        <v>45329.53108796296</v>
      </c>
      <c r="C2465" s="3" t="s">
        <v>6</v>
      </c>
    </row>
    <row r="2466">
      <c r="A2466" s="3">
        <v>249.0</v>
      </c>
      <c r="B2466" s="4">
        <v>45329.55068287037</v>
      </c>
      <c r="C2466" s="3" t="s">
        <v>4</v>
      </c>
    </row>
    <row r="2467">
      <c r="A2467" s="3">
        <v>5412.0</v>
      </c>
      <c r="B2467" s="4">
        <v>45329.55762731482</v>
      </c>
      <c r="C2467" s="3" t="s">
        <v>5</v>
      </c>
    </row>
    <row r="2468">
      <c r="A2468" s="3">
        <v>5904.0</v>
      </c>
      <c r="B2468" s="4">
        <v>45329.58113425926</v>
      </c>
      <c r="C2468" s="3" t="s">
        <v>5</v>
      </c>
    </row>
    <row r="2469">
      <c r="A2469" s="3">
        <v>7392.0</v>
      </c>
      <c r="B2469" s="4">
        <v>45329.587372685186</v>
      </c>
      <c r="C2469" s="3" t="s">
        <v>3</v>
      </c>
    </row>
    <row r="2470">
      <c r="A2470" s="3">
        <v>6060.0</v>
      </c>
      <c r="B2470" s="4">
        <v>45329.60335648148</v>
      </c>
      <c r="C2470" s="3" t="s">
        <v>4</v>
      </c>
    </row>
    <row r="2471">
      <c r="A2471" s="3">
        <v>4817.0</v>
      </c>
      <c r="B2471" s="4">
        <v>45329.61571759259</v>
      </c>
      <c r="C2471" s="3" t="s">
        <v>3</v>
      </c>
    </row>
    <row r="2472">
      <c r="A2472" s="3">
        <v>2992.0</v>
      </c>
      <c r="B2472" s="4">
        <v>45329.61849537037</v>
      </c>
      <c r="C2472" s="3" t="s">
        <v>6</v>
      </c>
    </row>
    <row r="2473">
      <c r="A2473" s="3">
        <v>6727.0</v>
      </c>
      <c r="B2473" s="4">
        <v>45329.62384259259</v>
      </c>
      <c r="C2473" s="3" t="s">
        <v>7</v>
      </c>
    </row>
    <row r="2474">
      <c r="A2474" s="3">
        <v>4953.0</v>
      </c>
      <c r="B2474" s="4">
        <v>45329.63181712963</v>
      </c>
      <c r="C2474" s="3" t="s">
        <v>5</v>
      </c>
    </row>
    <row r="2475">
      <c r="A2475" s="3">
        <v>4534.0</v>
      </c>
      <c r="B2475" s="4">
        <v>45329.64236111111</v>
      </c>
      <c r="C2475" s="3" t="s">
        <v>4</v>
      </c>
    </row>
    <row r="2476">
      <c r="A2476" s="3">
        <v>5364.0</v>
      </c>
      <c r="B2476" s="4">
        <v>45329.65179398148</v>
      </c>
      <c r="C2476" s="3" t="s">
        <v>6</v>
      </c>
    </row>
    <row r="2477">
      <c r="A2477" s="3">
        <v>319.0</v>
      </c>
      <c r="B2477" s="4">
        <v>45329.65280092593</v>
      </c>
      <c r="C2477" s="3" t="s">
        <v>7</v>
      </c>
    </row>
    <row r="2478">
      <c r="A2478" s="3">
        <v>2032.0</v>
      </c>
      <c r="B2478" s="4">
        <v>45329.68828703704</v>
      </c>
      <c r="C2478" s="3" t="s">
        <v>4</v>
      </c>
    </row>
    <row r="2479">
      <c r="A2479" s="3">
        <v>5883.0</v>
      </c>
      <c r="B2479" s="4">
        <v>45329.69118055556</v>
      </c>
      <c r="C2479" s="3" t="s">
        <v>6</v>
      </c>
    </row>
    <row r="2480">
      <c r="A2480" s="3">
        <v>1042.0</v>
      </c>
      <c r="B2480" s="4">
        <v>45329.74586805556</v>
      </c>
      <c r="C2480" s="3" t="s">
        <v>7</v>
      </c>
    </row>
    <row r="2481">
      <c r="A2481" s="3">
        <v>2926.0</v>
      </c>
      <c r="B2481" s="4">
        <v>45329.765231481484</v>
      </c>
      <c r="C2481" s="3" t="s">
        <v>7</v>
      </c>
    </row>
    <row r="2482">
      <c r="A2482" s="3">
        <v>6132.0</v>
      </c>
      <c r="B2482" s="4">
        <v>45329.7655787037</v>
      </c>
      <c r="C2482" s="3" t="s">
        <v>6</v>
      </c>
    </row>
    <row r="2483">
      <c r="A2483" s="3">
        <v>7758.0</v>
      </c>
      <c r="B2483" s="4">
        <v>45329.77355324074</v>
      </c>
      <c r="C2483" s="3" t="s">
        <v>7</v>
      </c>
    </row>
    <row r="2484">
      <c r="A2484" s="3">
        <v>2992.0</v>
      </c>
      <c r="B2484" s="4">
        <v>45329.77847222222</v>
      </c>
      <c r="C2484" s="3" t="s">
        <v>4</v>
      </c>
    </row>
    <row r="2485">
      <c r="A2485" s="3">
        <v>1116.0</v>
      </c>
      <c r="B2485" s="4">
        <v>45329.80318287037</v>
      </c>
      <c r="C2485" s="3" t="s">
        <v>6</v>
      </c>
    </row>
    <row r="2486">
      <c r="A2486" s="3">
        <v>3671.0</v>
      </c>
      <c r="B2486" s="4">
        <v>45329.804375</v>
      </c>
      <c r="C2486" s="3" t="s">
        <v>3</v>
      </c>
    </row>
    <row r="2487">
      <c r="A2487" s="3">
        <v>4408.0</v>
      </c>
      <c r="B2487" s="4">
        <v>45329.80570601852</v>
      </c>
      <c r="C2487" s="3" t="s">
        <v>3</v>
      </c>
    </row>
    <row r="2488">
      <c r="A2488" s="3">
        <v>6993.0</v>
      </c>
      <c r="B2488" s="4">
        <v>45329.80972222222</v>
      </c>
      <c r="C2488" s="3" t="s">
        <v>3</v>
      </c>
    </row>
    <row r="2489">
      <c r="A2489" s="3">
        <v>88.0</v>
      </c>
      <c r="B2489" s="4">
        <v>45329.82525462963</v>
      </c>
      <c r="C2489" s="3" t="s">
        <v>3</v>
      </c>
    </row>
    <row r="2490">
      <c r="A2490" s="3">
        <v>3097.0</v>
      </c>
      <c r="B2490" s="4">
        <v>45329.82982638889</v>
      </c>
      <c r="C2490" s="3" t="s">
        <v>6</v>
      </c>
    </row>
    <row r="2491">
      <c r="A2491" s="3">
        <v>4589.0</v>
      </c>
      <c r="B2491" s="4">
        <v>45329.831712962965</v>
      </c>
      <c r="C2491" s="3" t="s">
        <v>6</v>
      </c>
    </row>
    <row r="2492">
      <c r="A2492" s="3">
        <v>7788.0</v>
      </c>
      <c r="B2492" s="4">
        <v>45329.83383101852</v>
      </c>
      <c r="C2492" s="3" t="s">
        <v>7</v>
      </c>
    </row>
    <row r="2493">
      <c r="A2493" s="3">
        <v>1732.0</v>
      </c>
      <c r="B2493" s="4">
        <v>45329.86508101852</v>
      </c>
      <c r="C2493" s="3" t="s">
        <v>3</v>
      </c>
    </row>
    <row r="2494">
      <c r="A2494" s="3">
        <v>5412.0</v>
      </c>
      <c r="B2494" s="4">
        <v>45329.865648148145</v>
      </c>
      <c r="C2494" s="3" t="s">
        <v>4</v>
      </c>
    </row>
    <row r="2495">
      <c r="A2495" s="3">
        <v>3650.0</v>
      </c>
      <c r="B2495" s="4">
        <v>45329.88071759259</v>
      </c>
      <c r="C2495" s="3" t="s">
        <v>6</v>
      </c>
    </row>
    <row r="2496">
      <c r="A2496" s="3">
        <v>5364.0</v>
      </c>
      <c r="B2496" s="4">
        <v>45329.88783564815</v>
      </c>
      <c r="C2496" s="3" t="s">
        <v>5</v>
      </c>
    </row>
    <row r="2497">
      <c r="A2497" s="3">
        <v>6060.0</v>
      </c>
      <c r="B2497" s="4">
        <v>45329.89879629629</v>
      </c>
      <c r="C2497" s="3" t="s">
        <v>6</v>
      </c>
    </row>
    <row r="2498">
      <c r="A2498" s="3">
        <v>4053.0</v>
      </c>
      <c r="B2498" s="4">
        <v>45329.89896990741</v>
      </c>
      <c r="C2498" s="3" t="s">
        <v>3</v>
      </c>
    </row>
    <row r="2499">
      <c r="A2499" s="3">
        <v>823.0</v>
      </c>
      <c r="B2499" s="4">
        <v>45329.90069444444</v>
      </c>
      <c r="C2499" s="3" t="s">
        <v>3</v>
      </c>
    </row>
    <row r="2500">
      <c r="A2500" s="3">
        <v>822.0</v>
      </c>
      <c r="B2500" s="4">
        <v>45329.92736111111</v>
      </c>
      <c r="C2500" s="3" t="s">
        <v>3</v>
      </c>
    </row>
    <row r="2501">
      <c r="A2501" s="3">
        <v>5698.0</v>
      </c>
      <c r="B2501" s="4">
        <v>45329.92869212963</v>
      </c>
      <c r="C2501" s="3" t="s">
        <v>3</v>
      </c>
    </row>
    <row r="2502">
      <c r="A2502" s="3">
        <v>6267.0</v>
      </c>
      <c r="B2502" s="4">
        <v>45329.93194444444</v>
      </c>
      <c r="C2502" s="3" t="s">
        <v>5</v>
      </c>
    </row>
    <row r="2503">
      <c r="A2503" s="3">
        <v>7165.0</v>
      </c>
      <c r="B2503" s="4">
        <v>45329.935578703706</v>
      </c>
      <c r="C2503" s="3" t="s">
        <v>3</v>
      </c>
    </row>
    <row r="2504">
      <c r="A2504" s="3">
        <v>3979.0</v>
      </c>
      <c r="B2504" s="4">
        <v>45329.955300925925</v>
      </c>
      <c r="C2504" s="3" t="s">
        <v>3</v>
      </c>
    </row>
    <row r="2505">
      <c r="A2505" s="3">
        <v>136.0</v>
      </c>
      <c r="B2505" s="4">
        <v>45329.95915509259</v>
      </c>
      <c r="C2505" s="3" t="s">
        <v>3</v>
      </c>
    </row>
    <row r="2506">
      <c r="A2506" s="3">
        <v>5329.0</v>
      </c>
      <c r="B2506" s="4">
        <v>45329.96859953704</v>
      </c>
      <c r="C2506" s="3" t="s">
        <v>5</v>
      </c>
    </row>
    <row r="2507">
      <c r="A2507" s="3">
        <v>145.0</v>
      </c>
      <c r="B2507" s="4">
        <v>45329.97959490741</v>
      </c>
      <c r="C2507" s="3" t="s">
        <v>3</v>
      </c>
    </row>
    <row r="2508">
      <c r="A2508" s="3">
        <v>5412.0</v>
      </c>
      <c r="B2508" s="4">
        <v>45329.980671296296</v>
      </c>
      <c r="C2508" s="3" t="s">
        <v>3</v>
      </c>
    </row>
    <row r="2509">
      <c r="A2509" s="3">
        <v>1042.0</v>
      </c>
      <c r="B2509" s="4">
        <v>45329.981458333335</v>
      </c>
      <c r="C2509" s="3" t="s">
        <v>6</v>
      </c>
    </row>
    <row r="2510">
      <c r="A2510" s="3">
        <v>7932.0</v>
      </c>
      <c r="B2510" s="4">
        <v>45330.01466435185</v>
      </c>
      <c r="C2510" s="3" t="s">
        <v>6</v>
      </c>
    </row>
    <row r="2511">
      <c r="A2511" s="3">
        <v>7019.0</v>
      </c>
      <c r="B2511" s="4">
        <v>45330.04591435185</v>
      </c>
      <c r="C2511" s="3" t="s">
        <v>5</v>
      </c>
    </row>
    <row r="2512">
      <c r="A2512" s="3">
        <v>5922.0</v>
      </c>
      <c r="B2512" s="4">
        <v>45330.04802083333</v>
      </c>
      <c r="C2512" s="3" t="s">
        <v>6</v>
      </c>
    </row>
    <row r="2513">
      <c r="A2513" s="3">
        <v>2945.0</v>
      </c>
      <c r="B2513" s="4">
        <v>45330.09104166667</v>
      </c>
      <c r="C2513" s="3" t="s">
        <v>3</v>
      </c>
    </row>
    <row r="2514">
      <c r="A2514" s="3">
        <v>790.0</v>
      </c>
      <c r="B2514" s="4">
        <v>45330.11335648148</v>
      </c>
      <c r="C2514" s="3" t="s">
        <v>5</v>
      </c>
    </row>
    <row r="2515">
      <c r="A2515" s="3">
        <v>7948.0</v>
      </c>
      <c r="B2515" s="4">
        <v>45330.12824074074</v>
      </c>
      <c r="C2515" s="3" t="s">
        <v>6</v>
      </c>
    </row>
    <row r="2516">
      <c r="A2516" s="3">
        <v>6899.0</v>
      </c>
      <c r="B2516" s="4">
        <v>45330.14556712963</v>
      </c>
      <c r="C2516" s="3" t="s">
        <v>3</v>
      </c>
    </row>
    <row r="2517">
      <c r="A2517" s="3">
        <v>6058.0</v>
      </c>
      <c r="B2517" s="4">
        <v>45330.19027777778</v>
      </c>
      <c r="C2517" s="3" t="s">
        <v>3</v>
      </c>
    </row>
    <row r="2518">
      <c r="A2518" s="3">
        <v>4767.0</v>
      </c>
      <c r="B2518" s="4">
        <v>45330.20171296296</v>
      </c>
      <c r="C2518" s="3" t="s">
        <v>7</v>
      </c>
    </row>
    <row r="2519">
      <c r="A2519" s="3">
        <v>4953.0</v>
      </c>
      <c r="B2519" s="4">
        <v>45330.206655092596</v>
      </c>
      <c r="C2519" s="3" t="s">
        <v>4</v>
      </c>
    </row>
    <row r="2520">
      <c r="A2520" s="3">
        <v>3414.0</v>
      </c>
      <c r="B2520" s="4">
        <v>45330.22758101852</v>
      </c>
      <c r="C2520" s="3" t="s">
        <v>5</v>
      </c>
    </row>
    <row r="2521">
      <c r="A2521" s="3">
        <v>1262.0</v>
      </c>
      <c r="B2521" s="4">
        <v>45330.270370370374</v>
      </c>
      <c r="C2521" s="3" t="s">
        <v>3</v>
      </c>
    </row>
    <row r="2522">
      <c r="A2522" s="3">
        <v>1741.0</v>
      </c>
      <c r="B2522" s="4">
        <v>45330.28921296296</v>
      </c>
      <c r="C2522" s="3" t="s">
        <v>5</v>
      </c>
    </row>
    <row r="2523">
      <c r="A2523" s="3">
        <v>5863.0</v>
      </c>
      <c r="B2523" s="4">
        <v>45330.29361111111</v>
      </c>
      <c r="C2523" s="3" t="s">
        <v>7</v>
      </c>
    </row>
    <row r="2524">
      <c r="A2524" s="3">
        <v>5418.0</v>
      </c>
      <c r="B2524" s="4">
        <v>45330.29378472222</v>
      </c>
      <c r="C2524" s="3" t="s">
        <v>3</v>
      </c>
    </row>
    <row r="2525">
      <c r="A2525" s="3">
        <v>1769.0</v>
      </c>
      <c r="B2525" s="4">
        <v>45330.32738425926</v>
      </c>
      <c r="C2525" s="3" t="s">
        <v>6</v>
      </c>
    </row>
    <row r="2526">
      <c r="A2526" s="3">
        <v>4817.0</v>
      </c>
      <c r="B2526" s="4">
        <v>45330.33515046296</v>
      </c>
      <c r="C2526" s="3" t="s">
        <v>4</v>
      </c>
    </row>
    <row r="2527">
      <c r="A2527" s="3">
        <v>1845.0</v>
      </c>
      <c r="B2527" s="4">
        <v>45330.350798611114</v>
      </c>
      <c r="C2527" s="3" t="s">
        <v>4</v>
      </c>
    </row>
    <row r="2528">
      <c r="A2528" s="3">
        <v>2095.0</v>
      </c>
      <c r="B2528" s="4">
        <v>45330.359247685185</v>
      </c>
      <c r="C2528" s="3" t="s">
        <v>6</v>
      </c>
    </row>
    <row r="2529">
      <c r="A2529" s="3">
        <v>5494.0</v>
      </c>
      <c r="B2529" s="4">
        <v>45330.390543981484</v>
      </c>
      <c r="C2529" s="3" t="s">
        <v>3</v>
      </c>
    </row>
    <row r="2530">
      <c r="A2530" s="3">
        <v>2035.0</v>
      </c>
      <c r="B2530" s="4">
        <v>45330.41385416667</v>
      </c>
      <c r="C2530" s="3" t="s">
        <v>3</v>
      </c>
    </row>
    <row r="2531">
      <c r="A2531" s="3">
        <v>697.0</v>
      </c>
      <c r="B2531" s="4">
        <v>45330.46329861111</v>
      </c>
      <c r="C2531" s="3" t="s">
        <v>6</v>
      </c>
    </row>
    <row r="2532">
      <c r="A2532" s="3">
        <v>790.0</v>
      </c>
      <c r="B2532" s="4">
        <v>45330.463472222225</v>
      </c>
      <c r="C2532" s="3" t="s">
        <v>7</v>
      </c>
    </row>
    <row r="2533">
      <c r="A2533" s="3">
        <v>5169.0</v>
      </c>
      <c r="B2533" s="4">
        <v>45330.488229166665</v>
      </c>
      <c r="C2533" s="3" t="s">
        <v>3</v>
      </c>
    </row>
    <row r="2534">
      <c r="A2534" s="3">
        <v>5372.0</v>
      </c>
      <c r="B2534" s="4">
        <v>45330.53675925926</v>
      </c>
      <c r="C2534" s="3" t="s">
        <v>4</v>
      </c>
    </row>
    <row r="2535">
      <c r="A2535" s="3">
        <v>6373.0</v>
      </c>
      <c r="B2535" s="4">
        <v>45330.57828703704</v>
      </c>
      <c r="C2535" s="3" t="s">
        <v>4</v>
      </c>
    </row>
    <row r="2536">
      <c r="A2536" s="3">
        <v>1845.0</v>
      </c>
      <c r="B2536" s="4">
        <v>45330.578993055555</v>
      </c>
      <c r="C2536" s="3" t="s">
        <v>3</v>
      </c>
    </row>
    <row r="2537">
      <c r="A2537" s="3">
        <v>5608.0</v>
      </c>
      <c r="B2537" s="4">
        <v>45330.59232638889</v>
      </c>
      <c r="C2537" s="3" t="s">
        <v>3</v>
      </c>
    </row>
    <row r="2538">
      <c r="A2538" s="3">
        <v>1613.0</v>
      </c>
      <c r="B2538" s="4">
        <v>45330.60019675926</v>
      </c>
      <c r="C2538" s="3" t="s">
        <v>3</v>
      </c>
    </row>
    <row r="2539">
      <c r="A2539" s="3">
        <v>4492.0</v>
      </c>
      <c r="B2539" s="4">
        <v>45330.63145833334</v>
      </c>
      <c r="C2539" s="3" t="s">
        <v>4</v>
      </c>
    </row>
    <row r="2540">
      <c r="A2540" s="3">
        <v>6373.0</v>
      </c>
      <c r="B2540" s="4">
        <v>45330.63715277778</v>
      </c>
      <c r="C2540" s="3" t="s">
        <v>3</v>
      </c>
    </row>
    <row r="2541">
      <c r="A2541" s="3">
        <v>939.0</v>
      </c>
      <c r="B2541" s="4">
        <v>45330.653402777774</v>
      </c>
      <c r="C2541" s="3" t="s">
        <v>3</v>
      </c>
    </row>
    <row r="2542">
      <c r="A2542" s="3">
        <v>6478.0</v>
      </c>
      <c r="B2542" s="4">
        <v>45330.74048611111</v>
      </c>
      <c r="C2542" s="3" t="s">
        <v>4</v>
      </c>
    </row>
    <row r="2543">
      <c r="A2543" s="3">
        <v>1889.0</v>
      </c>
      <c r="B2543" s="4">
        <v>45330.774664351855</v>
      </c>
      <c r="C2543" s="3" t="s">
        <v>7</v>
      </c>
    </row>
    <row r="2544">
      <c r="A2544" s="3">
        <v>1262.0</v>
      </c>
      <c r="B2544" s="4">
        <v>45330.78053240741</v>
      </c>
      <c r="C2544" s="3" t="s">
        <v>5</v>
      </c>
    </row>
    <row r="2545">
      <c r="A2545" s="3">
        <v>2330.0</v>
      </c>
      <c r="B2545" s="4">
        <v>45330.79770833333</v>
      </c>
      <c r="C2545" s="3" t="s">
        <v>3</v>
      </c>
    </row>
    <row r="2546">
      <c r="A2546" s="3">
        <v>1618.0</v>
      </c>
      <c r="B2546" s="4">
        <v>45330.81317129629</v>
      </c>
      <c r="C2546" s="3" t="s">
        <v>3</v>
      </c>
    </row>
    <row r="2547">
      <c r="A2547" s="3">
        <v>7245.0</v>
      </c>
      <c r="B2547" s="4">
        <v>45330.85084490741</v>
      </c>
      <c r="C2547" s="3" t="s">
        <v>3</v>
      </c>
    </row>
    <row r="2548">
      <c r="A2548" s="3">
        <v>3235.0</v>
      </c>
      <c r="B2548" s="4">
        <v>45330.866689814815</v>
      </c>
      <c r="C2548" s="3" t="s">
        <v>3</v>
      </c>
    </row>
    <row r="2549">
      <c r="A2549" s="3">
        <v>5785.0</v>
      </c>
      <c r="B2549" s="4">
        <v>45330.91216435185</v>
      </c>
      <c r="C2549" s="3" t="s">
        <v>3</v>
      </c>
    </row>
    <row r="2550">
      <c r="A2550" s="3">
        <v>7815.0</v>
      </c>
      <c r="B2550" s="4">
        <v>45330.93378472222</v>
      </c>
      <c r="C2550" s="3" t="s">
        <v>3</v>
      </c>
    </row>
    <row r="2551">
      <c r="A2551" s="3">
        <v>1518.0</v>
      </c>
      <c r="B2551" s="4">
        <v>45330.93853009259</v>
      </c>
      <c r="C2551" s="3" t="s">
        <v>3</v>
      </c>
    </row>
    <row r="2552">
      <c r="A2552" s="3">
        <v>4702.0</v>
      </c>
      <c r="B2552" s="4">
        <v>45330.94650462963</v>
      </c>
      <c r="C2552" s="3" t="s">
        <v>6</v>
      </c>
    </row>
    <row r="2553">
      <c r="A2553" s="3">
        <v>2330.0</v>
      </c>
      <c r="B2553" s="4">
        <v>45330.946967592594</v>
      </c>
      <c r="C2553" s="3" t="s">
        <v>4</v>
      </c>
    </row>
    <row r="2554">
      <c r="A2554" s="3">
        <v>4649.0</v>
      </c>
      <c r="B2554" s="4">
        <v>45330.99302083333</v>
      </c>
      <c r="C2554" s="3" t="s">
        <v>3</v>
      </c>
    </row>
    <row r="2555">
      <c r="A2555" s="3">
        <v>7245.0</v>
      </c>
      <c r="B2555" s="4">
        <v>45330.99517361111</v>
      </c>
      <c r="C2555" s="3" t="s">
        <v>4</v>
      </c>
    </row>
    <row r="2556">
      <c r="A2556" s="3">
        <v>2776.0</v>
      </c>
      <c r="B2556" s="4">
        <v>45331.003587962965</v>
      </c>
      <c r="C2556" s="3" t="s">
        <v>4</v>
      </c>
    </row>
    <row r="2557">
      <c r="A2557" s="3">
        <v>185.0</v>
      </c>
      <c r="B2557" s="4">
        <v>45331.00603009259</v>
      </c>
      <c r="C2557" s="3" t="s">
        <v>3</v>
      </c>
    </row>
    <row r="2558">
      <c r="A2558" s="3">
        <v>7597.0</v>
      </c>
      <c r="B2558" s="4">
        <v>45331.01291666667</v>
      </c>
      <c r="C2558" s="3" t="s">
        <v>4</v>
      </c>
    </row>
    <row r="2559">
      <c r="A2559" s="3">
        <v>6773.0</v>
      </c>
      <c r="B2559" s="4">
        <v>45331.0384375</v>
      </c>
      <c r="C2559" s="3" t="s">
        <v>3</v>
      </c>
    </row>
    <row r="2560">
      <c r="A2560" s="3">
        <v>3902.0</v>
      </c>
      <c r="B2560" s="4">
        <v>45331.04431712963</v>
      </c>
      <c r="C2560" s="3" t="s">
        <v>3</v>
      </c>
    </row>
    <row r="2561">
      <c r="A2561" s="3">
        <v>1199.0</v>
      </c>
      <c r="B2561" s="4">
        <v>45331.05847222222</v>
      </c>
      <c r="C2561" s="3" t="s">
        <v>3</v>
      </c>
    </row>
    <row r="2562">
      <c r="A2562" s="3">
        <v>2038.0</v>
      </c>
      <c r="B2562" s="4">
        <v>45331.068240740744</v>
      </c>
      <c r="C2562" s="3" t="s">
        <v>4</v>
      </c>
    </row>
    <row r="2563">
      <c r="A2563" s="3">
        <v>3414.0</v>
      </c>
      <c r="B2563" s="4">
        <v>45331.07277777778</v>
      </c>
      <c r="C2563" s="3" t="s">
        <v>4</v>
      </c>
    </row>
    <row r="2564">
      <c r="A2564" s="3">
        <v>101.0</v>
      </c>
      <c r="B2564" s="4">
        <v>45331.08572916667</v>
      </c>
      <c r="C2564" s="3" t="s">
        <v>6</v>
      </c>
    </row>
    <row r="2565">
      <c r="A2565" s="3">
        <v>4094.0</v>
      </c>
      <c r="B2565" s="4">
        <v>45331.09637731482</v>
      </c>
      <c r="C2565" s="3" t="s">
        <v>3</v>
      </c>
    </row>
    <row r="2566">
      <c r="A2566" s="3">
        <v>2729.0</v>
      </c>
      <c r="B2566" s="4">
        <v>45331.151967592596</v>
      </c>
      <c r="C2566" s="3" t="s">
        <v>3</v>
      </c>
    </row>
    <row r="2567">
      <c r="A2567" s="3">
        <v>1741.0</v>
      </c>
      <c r="B2567" s="4">
        <v>45331.16899305556</v>
      </c>
      <c r="C2567" s="3" t="s">
        <v>7</v>
      </c>
    </row>
    <row r="2568">
      <c r="A2568" s="3">
        <v>5494.0</v>
      </c>
      <c r="B2568" s="4">
        <v>45331.19215277778</v>
      </c>
      <c r="C2568" s="3" t="s">
        <v>4</v>
      </c>
    </row>
    <row r="2569">
      <c r="A2569" s="3">
        <v>7662.0</v>
      </c>
      <c r="B2569" s="4">
        <v>45331.20491898148</v>
      </c>
      <c r="C2569" s="3" t="s">
        <v>3</v>
      </c>
    </row>
    <row r="2570">
      <c r="A2570" s="3">
        <v>7788.0</v>
      </c>
      <c r="B2570" s="4">
        <v>45331.23510416667</v>
      </c>
      <c r="C2570" s="3" t="s">
        <v>6</v>
      </c>
    </row>
    <row r="2571">
      <c r="A2571" s="3">
        <v>6892.0</v>
      </c>
      <c r="B2571" s="4">
        <v>45331.2421875</v>
      </c>
      <c r="C2571" s="3" t="s">
        <v>3</v>
      </c>
    </row>
    <row r="2572">
      <c r="A2572" s="3">
        <v>514.0</v>
      </c>
      <c r="B2572" s="4">
        <v>45331.250625</v>
      </c>
      <c r="C2572" s="3" t="s">
        <v>3</v>
      </c>
    </row>
    <row r="2573">
      <c r="A2573" s="3">
        <v>1732.0</v>
      </c>
      <c r="B2573" s="4">
        <v>45331.253275462965</v>
      </c>
      <c r="C2573" s="3" t="s">
        <v>4</v>
      </c>
    </row>
    <row r="2574">
      <c r="A2574" s="3">
        <v>2248.0</v>
      </c>
      <c r="B2574" s="4">
        <v>45331.2575462963</v>
      </c>
      <c r="C2574" s="3" t="s">
        <v>3</v>
      </c>
    </row>
    <row r="2575">
      <c r="A2575" s="3">
        <v>7650.0</v>
      </c>
      <c r="B2575" s="4">
        <v>45331.26849537037</v>
      </c>
      <c r="C2575" s="3" t="s">
        <v>3</v>
      </c>
    </row>
    <row r="2576">
      <c r="A2576" s="3">
        <v>5841.0</v>
      </c>
      <c r="B2576" s="4">
        <v>45331.28150462963</v>
      </c>
      <c r="C2576" s="3" t="s">
        <v>3</v>
      </c>
    </row>
    <row r="2577">
      <c r="A2577" s="3">
        <v>871.0</v>
      </c>
      <c r="B2577" s="4">
        <v>45331.30983796297</v>
      </c>
      <c r="C2577" s="3" t="s">
        <v>3</v>
      </c>
    </row>
    <row r="2578">
      <c r="A2578" s="3">
        <v>88.0</v>
      </c>
      <c r="B2578" s="4">
        <v>45331.330972222226</v>
      </c>
      <c r="C2578" s="3" t="s">
        <v>4</v>
      </c>
    </row>
    <row r="2579">
      <c r="A2579" s="3">
        <v>3222.0</v>
      </c>
      <c r="B2579" s="4">
        <v>45331.33576388889</v>
      </c>
      <c r="C2579" s="3" t="s">
        <v>4</v>
      </c>
    </row>
    <row r="2580">
      <c r="A2580" s="3">
        <v>2945.0</v>
      </c>
      <c r="B2580" s="4">
        <v>45331.337858796294</v>
      </c>
      <c r="C2580" s="3" t="s">
        <v>5</v>
      </c>
    </row>
    <row r="2581">
      <c r="A2581" s="3">
        <v>2859.0</v>
      </c>
      <c r="B2581" s="4">
        <v>45331.37637731482</v>
      </c>
      <c r="C2581" s="3" t="s">
        <v>6</v>
      </c>
    </row>
    <row r="2582">
      <c r="A2582" s="3">
        <v>448.0</v>
      </c>
      <c r="B2582" s="4">
        <v>45331.380381944444</v>
      </c>
      <c r="C2582" s="3" t="s">
        <v>3</v>
      </c>
    </row>
    <row r="2583">
      <c r="A2583" s="3">
        <v>7815.0</v>
      </c>
      <c r="B2583" s="4">
        <v>45331.41674768519</v>
      </c>
      <c r="C2583" s="3" t="s">
        <v>4</v>
      </c>
    </row>
    <row r="2584">
      <c r="A2584" s="3">
        <v>5364.0</v>
      </c>
      <c r="B2584" s="4">
        <v>45331.42395833333</v>
      </c>
      <c r="C2584" s="3" t="s">
        <v>7</v>
      </c>
    </row>
    <row r="2585">
      <c r="A2585" s="3">
        <v>4921.0</v>
      </c>
      <c r="B2585" s="4">
        <v>45331.432905092595</v>
      </c>
      <c r="C2585" s="3" t="s">
        <v>4</v>
      </c>
    </row>
    <row r="2586">
      <c r="A2586" s="3">
        <v>2038.0</v>
      </c>
      <c r="B2586" s="4">
        <v>45331.45233796296</v>
      </c>
      <c r="C2586" s="3" t="s">
        <v>3</v>
      </c>
    </row>
    <row r="2587">
      <c r="A2587" s="3">
        <v>4295.0</v>
      </c>
      <c r="B2587" s="4">
        <v>45331.46980324074</v>
      </c>
      <c r="C2587" s="3" t="s">
        <v>3</v>
      </c>
    </row>
    <row r="2588">
      <c r="A2588" s="3">
        <v>2185.0</v>
      </c>
      <c r="B2588" s="4">
        <v>45331.496828703705</v>
      </c>
      <c r="C2588" s="3" t="s">
        <v>5</v>
      </c>
    </row>
    <row r="2589">
      <c r="A2589" s="3">
        <v>7832.0</v>
      </c>
      <c r="B2589" s="4">
        <v>45331.500289351854</v>
      </c>
      <c r="C2589" s="3" t="s">
        <v>3</v>
      </c>
    </row>
    <row r="2590">
      <c r="A2590" s="3">
        <v>3978.0</v>
      </c>
      <c r="B2590" s="4">
        <v>45331.50509259259</v>
      </c>
      <c r="C2590" s="3" t="s">
        <v>3</v>
      </c>
    </row>
    <row r="2591">
      <c r="A2591" s="3">
        <v>2440.0</v>
      </c>
      <c r="B2591" s="4">
        <v>45331.506261574075</v>
      </c>
      <c r="C2591" s="3" t="s">
        <v>3</v>
      </c>
    </row>
    <row r="2592">
      <c r="A2592" s="3">
        <v>1451.0</v>
      </c>
      <c r="B2592" s="4">
        <v>45331.51138888889</v>
      </c>
      <c r="C2592" s="3" t="s">
        <v>7</v>
      </c>
    </row>
    <row r="2593">
      <c r="A2593" s="3">
        <v>6985.0</v>
      </c>
      <c r="B2593" s="4">
        <v>45331.51474537037</v>
      </c>
      <c r="C2593" s="3" t="s">
        <v>3</v>
      </c>
    </row>
    <row r="2594">
      <c r="A2594" s="3">
        <v>2185.0</v>
      </c>
      <c r="B2594" s="4">
        <v>45331.52701388889</v>
      </c>
      <c r="C2594" s="3" t="s">
        <v>7</v>
      </c>
    </row>
    <row r="2595">
      <c r="A2595" s="3">
        <v>669.0</v>
      </c>
      <c r="B2595" s="4">
        <v>45331.52715277778</v>
      </c>
      <c r="C2595" s="3" t="s">
        <v>3</v>
      </c>
    </row>
    <row r="2596">
      <c r="A2596" s="3">
        <v>4700.0</v>
      </c>
      <c r="B2596" s="4">
        <v>45331.541030092594</v>
      </c>
      <c r="C2596" s="3" t="s">
        <v>3</v>
      </c>
    </row>
    <row r="2597">
      <c r="A2597" s="3">
        <v>3668.0</v>
      </c>
      <c r="B2597" s="4">
        <v>45331.5441087963</v>
      </c>
      <c r="C2597" s="3" t="s">
        <v>3</v>
      </c>
    </row>
    <row r="2598">
      <c r="A2598" s="3">
        <v>1746.0</v>
      </c>
      <c r="B2598" s="4">
        <v>45331.55006944444</v>
      </c>
      <c r="C2598" s="3" t="s">
        <v>3</v>
      </c>
    </row>
    <row r="2599">
      <c r="A2599" s="3">
        <v>5035.0</v>
      </c>
      <c r="B2599" s="4">
        <v>45331.561574074076</v>
      </c>
      <c r="C2599" s="3" t="s">
        <v>4</v>
      </c>
    </row>
    <row r="2600">
      <c r="A2600" s="3">
        <v>2352.0</v>
      </c>
      <c r="B2600" s="4">
        <v>45331.574525462966</v>
      </c>
      <c r="C2600" s="3" t="s">
        <v>4</v>
      </c>
    </row>
    <row r="2601">
      <c r="A2601" s="3">
        <v>1601.0</v>
      </c>
      <c r="B2601" s="4">
        <v>45331.58679398148</v>
      </c>
      <c r="C2601" s="3" t="s">
        <v>5</v>
      </c>
    </row>
    <row r="2602">
      <c r="A2602" s="3">
        <v>5169.0</v>
      </c>
      <c r="B2602" s="4">
        <v>45331.627071759256</v>
      </c>
      <c r="C2602" s="3" t="s">
        <v>6</v>
      </c>
    </row>
    <row r="2603">
      <c r="A2603" s="3">
        <v>5575.0</v>
      </c>
      <c r="B2603" s="4">
        <v>45331.63224537037</v>
      </c>
      <c r="C2603" s="3" t="s">
        <v>3</v>
      </c>
    </row>
    <row r="2604">
      <c r="A2604" s="3">
        <v>5605.0</v>
      </c>
      <c r="B2604" s="4">
        <v>45331.63263888889</v>
      </c>
      <c r="C2604" s="3" t="s">
        <v>3</v>
      </c>
    </row>
    <row r="2605">
      <c r="A2605" s="3">
        <v>5502.0</v>
      </c>
      <c r="B2605" s="4">
        <v>45331.64083333333</v>
      </c>
      <c r="C2605" s="3" t="s">
        <v>3</v>
      </c>
    </row>
    <row r="2606">
      <c r="A2606" s="3">
        <v>7019.0</v>
      </c>
      <c r="B2606" s="4">
        <v>45331.644791666666</v>
      </c>
      <c r="C2606" s="3" t="s">
        <v>7</v>
      </c>
    </row>
    <row r="2607">
      <c r="A2607" s="3">
        <v>3365.0</v>
      </c>
      <c r="B2607" s="4">
        <v>45331.651400462964</v>
      </c>
      <c r="C2607" s="3" t="s">
        <v>4</v>
      </c>
    </row>
    <row r="2608">
      <c r="A2608" s="3">
        <v>6519.0</v>
      </c>
      <c r="B2608" s="4">
        <v>45331.663136574076</v>
      </c>
      <c r="C2608" s="3" t="s">
        <v>3</v>
      </c>
    </row>
    <row r="2609">
      <c r="A2609" s="3">
        <v>3414.0</v>
      </c>
      <c r="B2609" s="4">
        <v>45331.68204861111</v>
      </c>
      <c r="C2609" s="3" t="s">
        <v>6</v>
      </c>
    </row>
    <row r="2610">
      <c r="A2610" s="3">
        <v>5707.0</v>
      </c>
      <c r="B2610" s="4">
        <v>45331.69096064815</v>
      </c>
      <c r="C2610" s="3" t="s">
        <v>6</v>
      </c>
    </row>
    <row r="2611">
      <c r="A2611" s="3">
        <v>738.0</v>
      </c>
      <c r="B2611" s="4">
        <v>45331.704097222224</v>
      </c>
      <c r="C2611" s="3" t="s">
        <v>3</v>
      </c>
    </row>
    <row r="2612">
      <c r="A2612" s="3">
        <v>165.0</v>
      </c>
      <c r="B2612" s="4">
        <v>45331.71224537037</v>
      </c>
      <c r="C2612" s="3" t="s">
        <v>3</v>
      </c>
    </row>
    <row r="2613">
      <c r="A2613" s="3">
        <v>3365.0</v>
      </c>
      <c r="B2613" s="4">
        <v>45331.72918981482</v>
      </c>
      <c r="C2613" s="3" t="s">
        <v>3</v>
      </c>
    </row>
    <row r="2614">
      <c r="A2614" s="3">
        <v>3976.0</v>
      </c>
      <c r="B2614" s="4">
        <v>45331.73174768518</v>
      </c>
      <c r="C2614" s="3" t="s">
        <v>5</v>
      </c>
    </row>
    <row r="2615">
      <c r="A2615" s="3">
        <v>2288.0</v>
      </c>
      <c r="B2615" s="4">
        <v>45331.763553240744</v>
      </c>
      <c r="C2615" s="3" t="s">
        <v>3</v>
      </c>
    </row>
    <row r="2616">
      <c r="A2616" s="3">
        <v>7050.0</v>
      </c>
      <c r="B2616" s="4">
        <v>45331.78099537037</v>
      </c>
      <c r="C2616" s="3" t="s">
        <v>3</v>
      </c>
    </row>
    <row r="2617">
      <c r="A2617" s="3">
        <v>7597.0</v>
      </c>
      <c r="B2617" s="4">
        <v>45331.78450231482</v>
      </c>
      <c r="C2617" s="3" t="s">
        <v>3</v>
      </c>
    </row>
    <row r="2618">
      <c r="A2618" s="3">
        <v>133.0</v>
      </c>
      <c r="B2618" s="4">
        <v>45331.797685185185</v>
      </c>
      <c r="C2618" s="3" t="s">
        <v>6</v>
      </c>
    </row>
    <row r="2619">
      <c r="A2619" s="3">
        <v>319.0</v>
      </c>
      <c r="B2619" s="4">
        <v>45331.80137731481</v>
      </c>
      <c r="C2619" s="3" t="s">
        <v>6</v>
      </c>
    </row>
    <row r="2620">
      <c r="A2620" s="3">
        <v>1211.0</v>
      </c>
      <c r="B2620" s="4">
        <v>45331.801840277774</v>
      </c>
      <c r="C2620" s="3" t="s">
        <v>3</v>
      </c>
    </row>
    <row r="2621">
      <c r="A2621" s="3">
        <v>4547.0</v>
      </c>
      <c r="B2621" s="4">
        <v>45331.81668981481</v>
      </c>
      <c r="C2621" s="3" t="s">
        <v>3</v>
      </c>
    </row>
    <row r="2622">
      <c r="A2622" s="3">
        <v>3222.0</v>
      </c>
      <c r="B2622" s="4">
        <v>45331.82478009259</v>
      </c>
      <c r="C2622" s="3" t="s">
        <v>3</v>
      </c>
    </row>
    <row r="2623">
      <c r="A2623" s="3">
        <v>738.0</v>
      </c>
      <c r="B2623" s="4">
        <v>45331.86002314815</v>
      </c>
      <c r="C2623" s="3" t="s">
        <v>4</v>
      </c>
    </row>
    <row r="2624">
      <c r="A2624" s="3">
        <v>2766.0</v>
      </c>
      <c r="B2624" s="4">
        <v>45331.88261574074</v>
      </c>
      <c r="C2624" s="3" t="s">
        <v>3</v>
      </c>
    </row>
    <row r="2625">
      <c r="A2625" s="3">
        <v>2158.0</v>
      </c>
      <c r="B2625" s="4">
        <v>45331.89716435185</v>
      </c>
      <c r="C2625" s="3" t="s">
        <v>6</v>
      </c>
    </row>
    <row r="2626">
      <c r="A2626" s="3">
        <v>448.0</v>
      </c>
      <c r="B2626" s="4">
        <v>45331.90311342593</v>
      </c>
      <c r="C2626" s="3" t="s">
        <v>4</v>
      </c>
    </row>
    <row r="2627">
      <c r="A2627" s="3">
        <v>1845.0</v>
      </c>
      <c r="B2627" s="4">
        <v>45331.92371527778</v>
      </c>
      <c r="C2627" s="3" t="s">
        <v>5</v>
      </c>
    </row>
    <row r="2628">
      <c r="A2628" s="3">
        <v>2785.0</v>
      </c>
      <c r="B2628" s="4">
        <v>45331.92505787037</v>
      </c>
      <c r="C2628" s="3" t="s">
        <v>3</v>
      </c>
    </row>
    <row r="2629">
      <c r="A2629" s="3">
        <v>2400.0</v>
      </c>
      <c r="B2629" s="4">
        <v>45331.934224537035</v>
      </c>
      <c r="C2629" s="3" t="s">
        <v>3</v>
      </c>
    </row>
    <row r="2630">
      <c r="A2630" s="3">
        <v>2026.0</v>
      </c>
      <c r="B2630" s="4">
        <v>45332.0216087963</v>
      </c>
      <c r="C2630" s="3" t="s">
        <v>4</v>
      </c>
    </row>
    <row r="2631">
      <c r="A2631" s="3">
        <v>7131.0</v>
      </c>
      <c r="B2631" s="4">
        <v>45332.0450462963</v>
      </c>
      <c r="C2631" s="3" t="s">
        <v>3</v>
      </c>
    </row>
    <row r="2632">
      <c r="A2632" s="3">
        <v>5575.0</v>
      </c>
      <c r="B2632" s="4">
        <v>45332.04696759259</v>
      </c>
      <c r="C2632" s="3" t="s">
        <v>4</v>
      </c>
    </row>
    <row r="2633">
      <c r="A2633" s="3">
        <v>2095.0</v>
      </c>
      <c r="B2633" s="4">
        <v>45332.099178240744</v>
      </c>
      <c r="C2633" s="3" t="s">
        <v>7</v>
      </c>
    </row>
    <row r="2634">
      <c r="A2634" s="3">
        <v>6988.0</v>
      </c>
      <c r="B2634" s="4">
        <v>45332.12611111111</v>
      </c>
      <c r="C2634" s="3" t="s">
        <v>3</v>
      </c>
    </row>
    <row r="2635">
      <c r="A2635" s="3">
        <v>7769.0</v>
      </c>
      <c r="B2635" s="4">
        <v>45332.13663194444</v>
      </c>
      <c r="C2635" s="3" t="s">
        <v>4</v>
      </c>
    </row>
    <row r="2636">
      <c r="A2636" s="3">
        <v>5014.0</v>
      </c>
      <c r="B2636" s="4">
        <v>45332.17190972222</v>
      </c>
      <c r="C2636" s="3" t="s">
        <v>3</v>
      </c>
    </row>
    <row r="2637">
      <c r="A2637" s="3">
        <v>2752.0</v>
      </c>
      <c r="B2637" s="4">
        <v>45332.18362268519</v>
      </c>
      <c r="C2637" s="3" t="s">
        <v>5</v>
      </c>
    </row>
    <row r="2638">
      <c r="A2638" s="3">
        <v>3275.0</v>
      </c>
      <c r="B2638" s="4">
        <v>45332.202210648145</v>
      </c>
      <c r="C2638" s="3" t="s">
        <v>6</v>
      </c>
    </row>
    <row r="2639">
      <c r="A2639" s="3">
        <v>3901.0</v>
      </c>
      <c r="B2639" s="4">
        <v>45332.21292824074</v>
      </c>
      <c r="C2639" s="3" t="s">
        <v>3</v>
      </c>
    </row>
    <row r="2640">
      <c r="A2640" s="3">
        <v>5468.0</v>
      </c>
      <c r="B2640" s="4">
        <v>45332.246666666666</v>
      </c>
      <c r="C2640" s="3" t="s">
        <v>3</v>
      </c>
    </row>
    <row r="2641">
      <c r="A2641" s="3">
        <v>6329.0</v>
      </c>
      <c r="B2641" s="4">
        <v>45332.27217592593</v>
      </c>
      <c r="C2641" s="3" t="s">
        <v>3</v>
      </c>
    </row>
    <row r="2642">
      <c r="A2642" s="3">
        <v>7320.0</v>
      </c>
      <c r="B2642" s="4">
        <v>45332.27741898148</v>
      </c>
      <c r="C2642" s="3" t="s">
        <v>4</v>
      </c>
    </row>
    <row r="2643">
      <c r="A2643" s="3">
        <v>6373.0</v>
      </c>
      <c r="B2643" s="4">
        <v>45332.28023148148</v>
      </c>
      <c r="C2643" s="3" t="s">
        <v>6</v>
      </c>
    </row>
    <row r="2644">
      <c r="A2644" s="3">
        <v>1262.0</v>
      </c>
      <c r="B2644" s="4">
        <v>45332.29478009259</v>
      </c>
      <c r="C2644" s="3" t="s">
        <v>4</v>
      </c>
    </row>
    <row r="2645">
      <c r="A2645" s="3">
        <v>2089.0</v>
      </c>
      <c r="B2645" s="4">
        <v>45332.324895833335</v>
      </c>
      <c r="C2645" s="3" t="s">
        <v>6</v>
      </c>
    </row>
    <row r="2646">
      <c r="A2646" s="3">
        <v>2224.0</v>
      </c>
      <c r="B2646" s="4">
        <v>45332.32550925926</v>
      </c>
      <c r="C2646" s="3" t="s">
        <v>6</v>
      </c>
    </row>
    <row r="2647">
      <c r="A2647" s="3">
        <v>6730.0</v>
      </c>
      <c r="B2647" s="4">
        <v>45332.33170138889</v>
      </c>
      <c r="C2647" s="3" t="s">
        <v>3</v>
      </c>
    </row>
    <row r="2648">
      <c r="A2648" s="3">
        <v>3167.0</v>
      </c>
      <c r="B2648" s="4">
        <v>45332.334548611114</v>
      </c>
      <c r="C2648" s="3" t="s">
        <v>3</v>
      </c>
    </row>
    <row r="2649">
      <c r="A2649" s="3">
        <v>7832.0</v>
      </c>
      <c r="B2649" s="4">
        <v>45332.353368055556</v>
      </c>
      <c r="C2649" s="3" t="s">
        <v>4</v>
      </c>
    </row>
    <row r="2650">
      <c r="A2650" s="3">
        <v>312.0</v>
      </c>
      <c r="B2650" s="4">
        <v>45332.362974537034</v>
      </c>
      <c r="C2650" s="3" t="s">
        <v>3</v>
      </c>
    </row>
    <row r="2651">
      <c r="A2651" s="3">
        <v>2992.0</v>
      </c>
      <c r="B2651" s="4">
        <v>45332.374502314815</v>
      </c>
      <c r="C2651" s="3" t="s">
        <v>7</v>
      </c>
    </row>
    <row r="2652">
      <c r="A2652" s="3">
        <v>1790.0</v>
      </c>
      <c r="B2652" s="4">
        <v>45332.38482638889</v>
      </c>
      <c r="C2652" s="3" t="s">
        <v>4</v>
      </c>
    </row>
    <row r="2653">
      <c r="A2653" s="3">
        <v>1509.0</v>
      </c>
      <c r="B2653" s="4">
        <v>45332.41994212963</v>
      </c>
      <c r="C2653" s="3" t="s">
        <v>3</v>
      </c>
    </row>
    <row r="2654">
      <c r="A2654" s="3">
        <v>1618.0</v>
      </c>
      <c r="B2654" s="4">
        <v>45332.41994212963</v>
      </c>
      <c r="C2654" s="3" t="s">
        <v>4</v>
      </c>
    </row>
    <row r="2655">
      <c r="A2655" s="3">
        <v>2794.0</v>
      </c>
      <c r="B2655" s="4">
        <v>45332.439467592594</v>
      </c>
      <c r="C2655" s="3" t="s">
        <v>3</v>
      </c>
    </row>
    <row r="2656">
      <c r="A2656" s="3">
        <v>7699.0</v>
      </c>
      <c r="B2656" s="4">
        <v>45332.44118055556</v>
      </c>
      <c r="C2656" s="3" t="s">
        <v>7</v>
      </c>
    </row>
    <row r="2657">
      <c r="A2657" s="3">
        <v>5347.0</v>
      </c>
      <c r="B2657" s="4">
        <v>45332.44844907407</v>
      </c>
      <c r="C2657" s="3" t="s">
        <v>3</v>
      </c>
    </row>
    <row r="2658">
      <c r="A2658" s="3">
        <v>2400.0</v>
      </c>
      <c r="B2658" s="4">
        <v>45332.45006944444</v>
      </c>
      <c r="C2658" s="3" t="s">
        <v>4</v>
      </c>
    </row>
    <row r="2659">
      <c r="A2659" s="3">
        <v>5063.0</v>
      </c>
      <c r="B2659" s="4">
        <v>45332.47246527778</v>
      </c>
      <c r="C2659" s="3" t="s">
        <v>3</v>
      </c>
    </row>
    <row r="2660">
      <c r="A2660" s="3">
        <v>2575.0</v>
      </c>
      <c r="B2660" s="4">
        <v>45332.478055555555</v>
      </c>
      <c r="C2660" s="3" t="s">
        <v>3</v>
      </c>
    </row>
    <row r="2661">
      <c r="A2661" s="3">
        <v>5096.0</v>
      </c>
      <c r="B2661" s="4">
        <v>45332.482199074075</v>
      </c>
      <c r="C2661" s="3" t="s">
        <v>3</v>
      </c>
    </row>
    <row r="2662">
      <c r="A2662" s="3">
        <v>1317.0</v>
      </c>
      <c r="B2662" s="4">
        <v>45332.50329861111</v>
      </c>
      <c r="C2662" s="3" t="s">
        <v>3</v>
      </c>
    </row>
    <row r="2663">
      <c r="A2663" s="3">
        <v>2271.0</v>
      </c>
      <c r="B2663" s="4">
        <v>45332.510775462964</v>
      </c>
      <c r="C2663" s="3" t="s">
        <v>3</v>
      </c>
    </row>
    <row r="2664">
      <c r="A2664" s="3">
        <v>5841.0</v>
      </c>
      <c r="B2664" s="4">
        <v>45332.51388888889</v>
      </c>
      <c r="C2664" s="3" t="s">
        <v>4</v>
      </c>
    </row>
    <row r="2665">
      <c r="A2665" s="3">
        <v>136.0</v>
      </c>
      <c r="B2665" s="4">
        <v>45332.52092592593</v>
      </c>
      <c r="C2665" s="3" t="s">
        <v>4</v>
      </c>
    </row>
    <row r="2666">
      <c r="A2666" s="3">
        <v>6267.0</v>
      </c>
      <c r="B2666" s="4">
        <v>45332.521840277775</v>
      </c>
      <c r="C2666" s="3" t="s">
        <v>6</v>
      </c>
    </row>
    <row r="2667">
      <c r="A2667" s="3">
        <v>1329.0</v>
      </c>
      <c r="B2667" s="4">
        <v>45332.52972222222</v>
      </c>
      <c r="C2667" s="3" t="s">
        <v>7</v>
      </c>
    </row>
    <row r="2668">
      <c r="A2668" s="3">
        <v>6995.0</v>
      </c>
      <c r="B2668" s="4">
        <v>45332.53733796296</v>
      </c>
      <c r="C2668" s="3" t="s">
        <v>3</v>
      </c>
    </row>
    <row r="2669">
      <c r="A2669" s="3">
        <v>869.0</v>
      </c>
      <c r="B2669" s="4">
        <v>45332.54413194444</v>
      </c>
      <c r="C2669" s="3" t="s">
        <v>3</v>
      </c>
    </row>
    <row r="2670">
      <c r="A2670" s="3">
        <v>157.0</v>
      </c>
      <c r="B2670" s="4">
        <v>45332.58505787037</v>
      </c>
      <c r="C2670" s="3" t="s">
        <v>3</v>
      </c>
    </row>
    <row r="2671">
      <c r="A2671" s="3">
        <v>1329.0</v>
      </c>
      <c r="B2671" s="4">
        <v>45332.592835648145</v>
      </c>
      <c r="C2671" s="3" t="s">
        <v>6</v>
      </c>
    </row>
    <row r="2672">
      <c r="A2672" s="3">
        <v>3978.0</v>
      </c>
      <c r="B2672" s="4">
        <v>45332.60052083333</v>
      </c>
      <c r="C2672" s="3" t="s">
        <v>4</v>
      </c>
    </row>
    <row r="2673">
      <c r="A2673" s="3">
        <v>1618.0</v>
      </c>
      <c r="B2673" s="4">
        <v>45332.622395833336</v>
      </c>
      <c r="C2673" s="3" t="s">
        <v>5</v>
      </c>
    </row>
    <row r="2674">
      <c r="A2674" s="3">
        <v>1422.0</v>
      </c>
      <c r="B2674" s="4">
        <v>45332.62815972222</v>
      </c>
      <c r="C2674" s="3" t="s">
        <v>6</v>
      </c>
    </row>
    <row r="2675">
      <c r="A2675" s="3">
        <v>85.0</v>
      </c>
      <c r="B2675" s="4">
        <v>45332.6296875</v>
      </c>
      <c r="C2675" s="3" t="s">
        <v>4</v>
      </c>
    </row>
    <row r="2676">
      <c r="A2676" s="3">
        <v>6060.0</v>
      </c>
      <c r="B2676" s="4">
        <v>45332.6337037037</v>
      </c>
      <c r="C2676" s="3" t="s">
        <v>7</v>
      </c>
    </row>
    <row r="2677">
      <c r="A2677" s="3">
        <v>5494.0</v>
      </c>
      <c r="B2677" s="4">
        <v>45332.63421296296</v>
      </c>
      <c r="C2677" s="3" t="s">
        <v>6</v>
      </c>
    </row>
    <row r="2678">
      <c r="A2678" s="3">
        <v>2752.0</v>
      </c>
      <c r="B2678" s="4">
        <v>45332.6578125</v>
      </c>
      <c r="C2678" s="3" t="s">
        <v>6</v>
      </c>
    </row>
    <row r="2679">
      <c r="A2679" s="3">
        <v>5608.0</v>
      </c>
      <c r="B2679" s="4">
        <v>45332.663125</v>
      </c>
      <c r="C2679" s="3" t="s">
        <v>4</v>
      </c>
    </row>
    <row r="2680">
      <c r="A2680" s="3">
        <v>1188.0</v>
      </c>
      <c r="B2680" s="4">
        <v>45332.68054398148</v>
      </c>
      <c r="C2680" s="3" t="s">
        <v>4</v>
      </c>
    </row>
    <row r="2681">
      <c r="A2681" s="3">
        <v>1451.0</v>
      </c>
      <c r="B2681" s="4">
        <v>45332.68445601852</v>
      </c>
      <c r="C2681" s="3" t="s">
        <v>6</v>
      </c>
    </row>
    <row r="2682">
      <c r="A2682" s="3">
        <v>5547.0</v>
      </c>
      <c r="B2682" s="4">
        <v>45332.689780092594</v>
      </c>
      <c r="C2682" s="3" t="s">
        <v>6</v>
      </c>
    </row>
    <row r="2683">
      <c r="A2683" s="3">
        <v>2032.0</v>
      </c>
      <c r="B2683" s="4">
        <v>45332.69099537037</v>
      </c>
      <c r="C2683" s="3" t="s">
        <v>6</v>
      </c>
    </row>
    <row r="2684">
      <c r="A2684" s="3">
        <v>2440.0</v>
      </c>
      <c r="B2684" s="4">
        <v>45332.69287037037</v>
      </c>
      <c r="C2684" s="3" t="s">
        <v>4</v>
      </c>
    </row>
    <row r="2685">
      <c r="A2685" s="3">
        <v>2785.0</v>
      </c>
      <c r="B2685" s="4">
        <v>45332.69351851852</v>
      </c>
      <c r="C2685" s="3" t="s">
        <v>4</v>
      </c>
    </row>
    <row r="2686">
      <c r="A2686" s="3">
        <v>1859.0</v>
      </c>
      <c r="B2686" s="4">
        <v>45332.69582175926</v>
      </c>
      <c r="C2686" s="3" t="s">
        <v>7</v>
      </c>
    </row>
    <row r="2687">
      <c r="A2687" s="3">
        <v>2689.0</v>
      </c>
      <c r="B2687" s="4">
        <v>45332.70894675926</v>
      </c>
      <c r="C2687" s="3" t="s">
        <v>3</v>
      </c>
    </row>
    <row r="2688">
      <c r="A2688" s="3">
        <v>5929.0</v>
      </c>
      <c r="B2688" s="4">
        <v>45332.7103125</v>
      </c>
      <c r="C2688" s="3" t="s">
        <v>3</v>
      </c>
    </row>
    <row r="2689">
      <c r="A2689" s="3">
        <v>7392.0</v>
      </c>
      <c r="B2689" s="4">
        <v>45332.712233796294</v>
      </c>
      <c r="C2689" s="3" t="s">
        <v>4</v>
      </c>
    </row>
    <row r="2690">
      <c r="A2690" s="3">
        <v>1546.0</v>
      </c>
      <c r="B2690" s="4">
        <v>45332.74376157407</v>
      </c>
      <c r="C2690" s="3" t="s">
        <v>3</v>
      </c>
    </row>
    <row r="2691">
      <c r="A2691" s="3">
        <v>5716.0</v>
      </c>
      <c r="B2691" s="4">
        <v>45332.74916666667</v>
      </c>
      <c r="C2691" s="3" t="s">
        <v>3</v>
      </c>
    </row>
    <row r="2692">
      <c r="A2692" s="3">
        <v>4649.0</v>
      </c>
      <c r="B2692" s="4">
        <v>45332.76409722222</v>
      </c>
      <c r="C2692" s="3" t="s">
        <v>4</v>
      </c>
    </row>
    <row r="2693">
      <c r="A2693" s="3">
        <v>3717.0</v>
      </c>
      <c r="B2693" s="4">
        <v>45332.76980324074</v>
      </c>
      <c r="C2693" s="3" t="s">
        <v>3</v>
      </c>
    </row>
    <row r="2694">
      <c r="A2694" s="3">
        <v>4425.0</v>
      </c>
      <c r="B2694" s="4">
        <v>45332.79069444445</v>
      </c>
      <c r="C2694" s="3" t="s">
        <v>3</v>
      </c>
    </row>
    <row r="2695">
      <c r="A2695" s="3">
        <v>5014.0</v>
      </c>
      <c r="B2695" s="4">
        <v>45332.827152777776</v>
      </c>
      <c r="C2695" s="3" t="s">
        <v>4</v>
      </c>
    </row>
    <row r="2696">
      <c r="A2696" s="3">
        <v>1746.0</v>
      </c>
      <c r="B2696" s="4">
        <v>45332.8275</v>
      </c>
      <c r="C2696" s="3" t="s">
        <v>4</v>
      </c>
    </row>
    <row r="2697">
      <c r="A2697" s="3">
        <v>3976.0</v>
      </c>
      <c r="B2697" s="4">
        <v>45332.82957175926</v>
      </c>
      <c r="C2697" s="3" t="s">
        <v>7</v>
      </c>
    </row>
    <row r="2698">
      <c r="A2698" s="3">
        <v>7019.0</v>
      </c>
      <c r="B2698" s="4">
        <v>45332.83961805556</v>
      </c>
      <c r="C2698" s="3" t="s">
        <v>6</v>
      </c>
    </row>
    <row r="2699">
      <c r="A2699" s="3">
        <v>2440.0</v>
      </c>
      <c r="B2699" s="4">
        <v>45332.840219907404</v>
      </c>
      <c r="C2699" s="3" t="s">
        <v>5</v>
      </c>
    </row>
    <row r="2700">
      <c r="A2700" s="3">
        <v>3901.0</v>
      </c>
      <c r="B2700" s="4">
        <v>45332.85229166667</v>
      </c>
      <c r="C2700" s="3" t="s">
        <v>4</v>
      </c>
    </row>
    <row r="2701">
      <c r="A2701" s="3">
        <v>3543.0</v>
      </c>
      <c r="B2701" s="4">
        <v>45332.85283564815</v>
      </c>
      <c r="C2701" s="3" t="s">
        <v>3</v>
      </c>
    </row>
    <row r="2702">
      <c r="A2702" s="3">
        <v>2945.0</v>
      </c>
      <c r="B2702" s="4">
        <v>45332.85799768518</v>
      </c>
      <c r="C2702" s="3" t="s">
        <v>6</v>
      </c>
    </row>
    <row r="2703">
      <c r="A2703" s="3">
        <v>1088.0</v>
      </c>
      <c r="B2703" s="4">
        <v>45332.8749537037</v>
      </c>
      <c r="C2703" s="3" t="s">
        <v>3</v>
      </c>
    </row>
    <row r="2704">
      <c r="A2704" s="3">
        <v>6150.0</v>
      </c>
      <c r="B2704" s="4">
        <v>45332.87636574074</v>
      </c>
      <c r="C2704" s="3" t="s">
        <v>3</v>
      </c>
    </row>
    <row r="2705">
      <c r="A2705" s="3">
        <v>2575.0</v>
      </c>
      <c r="B2705" s="4">
        <v>45332.89199074074</v>
      </c>
      <c r="C2705" s="3" t="s">
        <v>4</v>
      </c>
    </row>
    <row r="2706">
      <c r="A2706" s="3">
        <v>5929.0</v>
      </c>
      <c r="B2706" s="4">
        <v>45332.893692129626</v>
      </c>
      <c r="C2706" s="3" t="s">
        <v>4</v>
      </c>
    </row>
    <row r="2707">
      <c r="A2707" s="3">
        <v>1790.0</v>
      </c>
      <c r="B2707" s="4">
        <v>45332.898877314816</v>
      </c>
      <c r="C2707" s="3" t="s">
        <v>3</v>
      </c>
    </row>
    <row r="2708">
      <c r="A2708" s="3">
        <v>85.0</v>
      </c>
      <c r="B2708" s="4">
        <v>45332.91355324074</v>
      </c>
      <c r="C2708" s="3" t="s">
        <v>3</v>
      </c>
    </row>
    <row r="2709">
      <c r="A2709" s="3">
        <v>4399.0</v>
      </c>
      <c r="B2709" s="4">
        <v>45332.93021990741</v>
      </c>
      <c r="C2709" s="3" t="s">
        <v>3</v>
      </c>
    </row>
    <row r="2710">
      <c r="A2710" s="3">
        <v>5575.0</v>
      </c>
      <c r="B2710" s="4">
        <v>45332.93523148148</v>
      </c>
      <c r="C2710" s="3" t="s">
        <v>5</v>
      </c>
    </row>
    <row r="2711">
      <c r="A2711" s="3">
        <v>2069.0</v>
      </c>
      <c r="B2711" s="4">
        <v>45332.935752314814</v>
      </c>
      <c r="C2711" s="3" t="s">
        <v>3</v>
      </c>
    </row>
    <row r="2712">
      <c r="A2712" s="3">
        <v>1889.0</v>
      </c>
      <c r="B2712" s="4">
        <v>45332.93591435185</v>
      </c>
      <c r="C2712" s="3" t="s">
        <v>6</v>
      </c>
    </row>
    <row r="2713">
      <c r="A2713" s="3">
        <v>7320.0</v>
      </c>
      <c r="B2713" s="4">
        <v>45332.9565162037</v>
      </c>
      <c r="C2713" s="3" t="s">
        <v>3</v>
      </c>
    </row>
    <row r="2714">
      <c r="A2714" s="3">
        <v>3414.0</v>
      </c>
      <c r="B2714" s="4">
        <v>45332.971666666665</v>
      </c>
      <c r="C2714" s="3" t="s">
        <v>7</v>
      </c>
    </row>
    <row r="2715">
      <c r="A2715" s="3">
        <v>3543.0</v>
      </c>
      <c r="B2715" s="4">
        <v>45332.975173611114</v>
      </c>
      <c r="C2715" s="3" t="s">
        <v>4</v>
      </c>
    </row>
    <row r="2716">
      <c r="A2716" s="3">
        <v>2400.0</v>
      </c>
      <c r="B2716" s="4">
        <v>45332.982083333336</v>
      </c>
      <c r="C2716" s="3" t="s">
        <v>5</v>
      </c>
    </row>
    <row r="2717">
      <c r="A2717" s="3">
        <v>1358.0</v>
      </c>
      <c r="B2717" s="4">
        <v>45332.99240740741</v>
      </c>
      <c r="C2717" s="3" t="s">
        <v>3</v>
      </c>
    </row>
    <row r="2718">
      <c r="A2718" s="3">
        <v>3817.0</v>
      </c>
      <c r="B2718" s="4">
        <v>45332.99270833333</v>
      </c>
      <c r="C2718" s="3" t="s">
        <v>6</v>
      </c>
    </row>
    <row r="2719">
      <c r="A2719" s="3">
        <v>2423.0</v>
      </c>
      <c r="B2719" s="4">
        <v>45333.01055555556</v>
      </c>
      <c r="C2719" s="3" t="s">
        <v>3</v>
      </c>
    </row>
    <row r="2720">
      <c r="A2720" s="3">
        <v>2492.0</v>
      </c>
      <c r="B2720" s="4">
        <v>45333.017280092594</v>
      </c>
      <c r="C2720" s="3" t="s">
        <v>3</v>
      </c>
    </row>
    <row r="2721">
      <c r="A2721" s="3">
        <v>3052.0</v>
      </c>
      <c r="B2721" s="4">
        <v>45333.023148148146</v>
      </c>
      <c r="C2721" s="3" t="s">
        <v>3</v>
      </c>
    </row>
    <row r="2722">
      <c r="A2722" s="3">
        <v>1211.0</v>
      </c>
      <c r="B2722" s="4">
        <v>45333.027719907404</v>
      </c>
      <c r="C2722" s="3" t="s">
        <v>4</v>
      </c>
    </row>
    <row r="2723">
      <c r="A2723" s="3">
        <v>4121.0</v>
      </c>
      <c r="B2723" s="4">
        <v>45333.14635416667</v>
      </c>
      <c r="C2723" s="3" t="s">
        <v>3</v>
      </c>
    </row>
    <row r="2724">
      <c r="A2724" s="3">
        <v>2459.0</v>
      </c>
      <c r="B2724" s="4">
        <v>45333.156805555554</v>
      </c>
      <c r="C2724" s="3" t="s">
        <v>4</v>
      </c>
    </row>
    <row r="2725">
      <c r="A2725" s="3">
        <v>6345.0</v>
      </c>
      <c r="B2725" s="4">
        <v>45333.17974537037</v>
      </c>
      <c r="C2725" s="3" t="s">
        <v>3</v>
      </c>
    </row>
    <row r="2726">
      <c r="A2726" s="3">
        <v>1573.0</v>
      </c>
      <c r="B2726" s="4">
        <v>45333.18017361111</v>
      </c>
      <c r="C2726" s="3" t="s">
        <v>3</v>
      </c>
    </row>
    <row r="2727">
      <c r="A2727" s="3">
        <v>4895.0</v>
      </c>
      <c r="B2727" s="4">
        <v>45333.19614583333</v>
      </c>
      <c r="C2727" s="3" t="s">
        <v>3</v>
      </c>
    </row>
    <row r="2728">
      <c r="A2728" s="3">
        <v>4425.0</v>
      </c>
      <c r="B2728" s="4">
        <v>45333.197696759256</v>
      </c>
      <c r="C2728" s="3" t="s">
        <v>6</v>
      </c>
    </row>
    <row r="2729">
      <c r="A2729" s="3">
        <v>6707.0</v>
      </c>
      <c r="B2729" s="4">
        <v>45333.199583333335</v>
      </c>
      <c r="C2729" s="3" t="s">
        <v>3</v>
      </c>
    </row>
    <row r="2730">
      <c r="A2730" s="3">
        <v>514.0</v>
      </c>
      <c r="B2730" s="4">
        <v>45333.20547453704</v>
      </c>
      <c r="C2730" s="3" t="s">
        <v>4</v>
      </c>
    </row>
    <row r="2731">
      <c r="A2731" s="3">
        <v>6988.0</v>
      </c>
      <c r="B2731" s="4">
        <v>45333.225810185184</v>
      </c>
      <c r="C2731" s="3" t="s">
        <v>4</v>
      </c>
    </row>
    <row r="2732">
      <c r="A2732" s="3">
        <v>7547.0</v>
      </c>
      <c r="B2732" s="4">
        <v>45333.2346412037</v>
      </c>
      <c r="C2732" s="3" t="s">
        <v>3</v>
      </c>
    </row>
    <row r="2733">
      <c r="A2733" s="3">
        <v>4408.0</v>
      </c>
      <c r="B2733" s="4">
        <v>45333.23601851852</v>
      </c>
      <c r="C2733" s="3" t="s">
        <v>4</v>
      </c>
    </row>
    <row r="2734">
      <c r="A2734" s="3">
        <v>2288.0</v>
      </c>
      <c r="B2734" s="4">
        <v>45333.238854166666</v>
      </c>
      <c r="C2734" s="3" t="s">
        <v>6</v>
      </c>
    </row>
    <row r="2735">
      <c r="A2735" s="3">
        <v>738.0</v>
      </c>
      <c r="B2735" s="4">
        <v>45333.246203703704</v>
      </c>
      <c r="C2735" s="3" t="s">
        <v>5</v>
      </c>
    </row>
    <row r="2736">
      <c r="A2736" s="3">
        <v>6855.0</v>
      </c>
      <c r="B2736" s="4">
        <v>45333.292592592596</v>
      </c>
      <c r="C2736" s="3" t="s">
        <v>3</v>
      </c>
    </row>
    <row r="2737">
      <c r="A2737" s="3">
        <v>7815.0</v>
      </c>
      <c r="B2737" s="4">
        <v>45333.358194444445</v>
      </c>
      <c r="C2737" s="3" t="s">
        <v>5</v>
      </c>
    </row>
    <row r="2738">
      <c r="A2738" s="3">
        <v>387.0</v>
      </c>
      <c r="B2738" s="4">
        <v>45333.372407407405</v>
      </c>
      <c r="C2738" s="3" t="s">
        <v>3</v>
      </c>
    </row>
    <row r="2739">
      <c r="A2739" s="3">
        <v>7131.0</v>
      </c>
      <c r="B2739" s="4">
        <v>45333.37721064815</v>
      </c>
      <c r="C2739" s="3" t="s">
        <v>4</v>
      </c>
    </row>
    <row r="2740">
      <c r="A2740" s="3">
        <v>2459.0</v>
      </c>
      <c r="B2740" s="4">
        <v>45333.383877314816</v>
      </c>
      <c r="C2740" s="3" t="s">
        <v>3</v>
      </c>
    </row>
    <row r="2741">
      <c r="A2741" s="3">
        <v>3902.0</v>
      </c>
      <c r="B2741" s="4">
        <v>45333.398252314815</v>
      </c>
      <c r="C2741" s="3" t="s">
        <v>6</v>
      </c>
    </row>
    <row r="2742">
      <c r="A2742" s="3">
        <v>1618.0</v>
      </c>
      <c r="B2742" s="4">
        <v>45333.398506944446</v>
      </c>
      <c r="C2742" s="3" t="s">
        <v>7</v>
      </c>
    </row>
    <row r="2743">
      <c r="A2743" s="3">
        <v>2032.0</v>
      </c>
      <c r="B2743" s="4">
        <v>45333.43670138889</v>
      </c>
      <c r="C2743" s="3" t="s">
        <v>5</v>
      </c>
    </row>
    <row r="2744">
      <c r="A2744" s="3">
        <v>4922.0</v>
      </c>
      <c r="B2744" s="4">
        <v>45333.4372337963</v>
      </c>
      <c r="C2744" s="3" t="s">
        <v>3</v>
      </c>
    </row>
    <row r="2745">
      <c r="A2745" s="3">
        <v>3465.0</v>
      </c>
      <c r="B2745" s="4">
        <v>45333.453148148146</v>
      </c>
      <c r="C2745" s="3" t="s">
        <v>3</v>
      </c>
    </row>
    <row r="2746">
      <c r="A2746" s="3">
        <v>7597.0</v>
      </c>
      <c r="B2746" s="4">
        <v>45333.46324074074</v>
      </c>
      <c r="C2746" s="3" t="s">
        <v>7</v>
      </c>
    </row>
    <row r="2747">
      <c r="A2747" s="3">
        <v>3833.0</v>
      </c>
      <c r="B2747" s="4">
        <v>45333.4825</v>
      </c>
      <c r="C2747" s="3" t="s">
        <v>6</v>
      </c>
    </row>
    <row r="2748">
      <c r="A2748" s="3">
        <v>6985.0</v>
      </c>
      <c r="B2748" s="4">
        <v>45333.49125</v>
      </c>
      <c r="C2748" s="3" t="s">
        <v>4</v>
      </c>
    </row>
    <row r="2749">
      <c r="A2749" s="3">
        <v>4551.0</v>
      </c>
      <c r="B2749" s="4">
        <v>45333.49334490741</v>
      </c>
      <c r="C2749" s="3" t="s">
        <v>5</v>
      </c>
    </row>
    <row r="2750">
      <c r="A2750" s="3">
        <v>4953.0</v>
      </c>
      <c r="B2750" s="4">
        <v>45333.5</v>
      </c>
      <c r="C2750" s="3" t="s">
        <v>6</v>
      </c>
    </row>
    <row r="2751">
      <c r="A2751" s="3">
        <v>4568.0</v>
      </c>
      <c r="B2751" s="4">
        <v>45333.534166666665</v>
      </c>
      <c r="C2751" s="3" t="s">
        <v>3</v>
      </c>
    </row>
    <row r="2752">
      <c r="A2752" s="3">
        <v>7245.0</v>
      </c>
      <c r="B2752" s="4">
        <v>45333.53576388889</v>
      </c>
      <c r="C2752" s="3" t="s">
        <v>6</v>
      </c>
    </row>
    <row r="2753">
      <c r="A2753" s="3">
        <v>869.0</v>
      </c>
      <c r="B2753" s="4">
        <v>45333.54770833333</v>
      </c>
      <c r="C2753" s="3" t="s">
        <v>4</v>
      </c>
    </row>
    <row r="2754">
      <c r="A2754" s="3">
        <v>6927.0</v>
      </c>
      <c r="B2754" s="4">
        <v>45333.564988425926</v>
      </c>
      <c r="C2754" s="3" t="s">
        <v>3</v>
      </c>
    </row>
    <row r="2755">
      <c r="A2755" s="3">
        <v>2527.0</v>
      </c>
      <c r="B2755" s="4">
        <v>45333.5746875</v>
      </c>
      <c r="C2755" s="3" t="s">
        <v>3</v>
      </c>
    </row>
    <row r="2756">
      <c r="A2756" s="3">
        <v>1517.0</v>
      </c>
      <c r="B2756" s="4">
        <v>45333.577199074076</v>
      </c>
      <c r="C2756" s="3" t="s">
        <v>3</v>
      </c>
    </row>
    <row r="2757">
      <c r="A2757" s="3">
        <v>173.0</v>
      </c>
      <c r="B2757" s="4">
        <v>45333.59113425926</v>
      </c>
      <c r="C2757" s="3" t="s">
        <v>7</v>
      </c>
    </row>
    <row r="2758">
      <c r="A2758" s="3">
        <v>5608.0</v>
      </c>
      <c r="B2758" s="4">
        <v>45333.602476851855</v>
      </c>
      <c r="C2758" s="3" t="s">
        <v>7</v>
      </c>
    </row>
    <row r="2759">
      <c r="A2759" s="3">
        <v>5575.0</v>
      </c>
      <c r="B2759" s="4">
        <v>45333.625069444446</v>
      </c>
      <c r="C2759" s="3" t="s">
        <v>7</v>
      </c>
    </row>
    <row r="2760">
      <c r="A2760" s="3">
        <v>4376.0</v>
      </c>
      <c r="B2760" s="4">
        <v>45333.643275462964</v>
      </c>
      <c r="C2760" s="3" t="s">
        <v>3</v>
      </c>
    </row>
    <row r="2761">
      <c r="A2761" s="3">
        <v>4921.0</v>
      </c>
      <c r="B2761" s="4">
        <v>45333.65710648148</v>
      </c>
      <c r="C2761" s="3" t="s">
        <v>7</v>
      </c>
    </row>
    <row r="2762">
      <c r="A2762" s="3">
        <v>6037.0</v>
      </c>
      <c r="B2762" s="4">
        <v>45333.69665509259</v>
      </c>
      <c r="C2762" s="3" t="s">
        <v>3</v>
      </c>
    </row>
    <row r="2763">
      <c r="A2763" s="3">
        <v>1601.0</v>
      </c>
      <c r="B2763" s="4">
        <v>45333.70590277778</v>
      </c>
      <c r="C2763" s="3" t="s">
        <v>7</v>
      </c>
    </row>
    <row r="2764">
      <c r="A2764" s="3">
        <v>6373.0</v>
      </c>
      <c r="B2764" s="4">
        <v>45333.70883101852</v>
      </c>
      <c r="C2764" s="3" t="s">
        <v>7</v>
      </c>
    </row>
    <row r="2765">
      <c r="A2765" s="3">
        <v>7131.0</v>
      </c>
      <c r="B2765" s="4">
        <v>45333.73229166667</v>
      </c>
      <c r="C2765" s="3" t="s">
        <v>7</v>
      </c>
    </row>
    <row r="2766">
      <c r="A2766" s="3">
        <v>6927.0</v>
      </c>
      <c r="B2766" s="4">
        <v>45333.75299768519</v>
      </c>
      <c r="C2766" s="3" t="s">
        <v>4</v>
      </c>
    </row>
    <row r="2767">
      <c r="A2767" s="3">
        <v>7206.0</v>
      </c>
      <c r="B2767" s="4">
        <v>45333.757060185184</v>
      </c>
      <c r="C2767" s="3" t="s">
        <v>3</v>
      </c>
    </row>
    <row r="2768">
      <c r="A2768" s="3">
        <v>6899.0</v>
      </c>
      <c r="B2768" s="4">
        <v>45333.76305555556</v>
      </c>
      <c r="C2768" s="3" t="s">
        <v>4</v>
      </c>
    </row>
    <row r="2769">
      <c r="A2769" s="3">
        <v>3833.0</v>
      </c>
      <c r="B2769" s="4">
        <v>45333.763449074075</v>
      </c>
      <c r="C2769" s="3" t="s">
        <v>7</v>
      </c>
    </row>
    <row r="2770">
      <c r="A2770" s="3">
        <v>3222.0</v>
      </c>
      <c r="B2770" s="4">
        <v>45333.76619212963</v>
      </c>
      <c r="C2770" s="3" t="s">
        <v>7</v>
      </c>
    </row>
    <row r="2771">
      <c r="A2771" s="3">
        <v>2288.0</v>
      </c>
      <c r="B2771" s="4">
        <v>45333.808842592596</v>
      </c>
      <c r="C2771" s="3" t="s">
        <v>4</v>
      </c>
    </row>
    <row r="2772">
      <c r="A2772" s="3">
        <v>5000.0</v>
      </c>
      <c r="B2772" s="4">
        <v>45333.81725694444</v>
      </c>
      <c r="C2772" s="3" t="s">
        <v>3</v>
      </c>
    </row>
    <row r="2773">
      <c r="A2773" s="3">
        <v>4295.0</v>
      </c>
      <c r="B2773" s="4">
        <v>45333.817407407405</v>
      </c>
      <c r="C2773" s="3" t="s">
        <v>4</v>
      </c>
    </row>
    <row r="2774">
      <c r="A2774" s="3">
        <v>4921.0</v>
      </c>
      <c r="B2774" s="4">
        <v>45333.827881944446</v>
      </c>
      <c r="C2774" s="3" t="s">
        <v>5</v>
      </c>
    </row>
    <row r="2775">
      <c r="A2775" s="3">
        <v>5665.0</v>
      </c>
      <c r="B2775" s="4">
        <v>45333.86005787037</v>
      </c>
      <c r="C2775" s="3" t="s">
        <v>3</v>
      </c>
    </row>
    <row r="2776">
      <c r="A2776" s="3">
        <v>932.0</v>
      </c>
      <c r="B2776" s="4">
        <v>45333.86050925926</v>
      </c>
      <c r="C2776" s="3" t="s">
        <v>3</v>
      </c>
    </row>
    <row r="2777">
      <c r="A2777" s="3">
        <v>92.0</v>
      </c>
      <c r="B2777" s="4">
        <v>45333.86886574074</v>
      </c>
      <c r="C2777" s="3" t="s">
        <v>3</v>
      </c>
    </row>
    <row r="2778">
      <c r="A2778" s="3">
        <v>823.0</v>
      </c>
      <c r="B2778" s="4">
        <v>45333.88789351852</v>
      </c>
      <c r="C2778" s="3" t="s">
        <v>4</v>
      </c>
    </row>
    <row r="2779">
      <c r="A2779" s="3">
        <v>2032.0</v>
      </c>
      <c r="B2779" s="4">
        <v>45333.888819444444</v>
      </c>
      <c r="C2779" s="3" t="s">
        <v>7</v>
      </c>
    </row>
    <row r="2780">
      <c r="A2780" s="3">
        <v>7249.0</v>
      </c>
      <c r="B2780" s="4">
        <v>45333.89709490741</v>
      </c>
      <c r="C2780" s="3" t="s">
        <v>3</v>
      </c>
    </row>
    <row r="2781">
      <c r="A2781" s="3">
        <v>5712.0</v>
      </c>
      <c r="B2781" s="4">
        <v>45333.92346064815</v>
      </c>
      <c r="C2781" s="3" t="s">
        <v>6</v>
      </c>
    </row>
    <row r="2782">
      <c r="A2782" s="3">
        <v>1517.0</v>
      </c>
      <c r="B2782" s="4">
        <v>45333.95439814815</v>
      </c>
      <c r="C2782" s="3" t="s">
        <v>4</v>
      </c>
    </row>
    <row r="2783">
      <c r="A2783" s="3">
        <v>3296.0</v>
      </c>
      <c r="B2783" s="4">
        <v>45333.97306712963</v>
      </c>
      <c r="C2783" s="3" t="s">
        <v>7</v>
      </c>
    </row>
    <row r="2784">
      <c r="A2784" s="3">
        <v>7206.0</v>
      </c>
      <c r="B2784" s="4">
        <v>45334.00817129629</v>
      </c>
      <c r="C2784" s="3" t="s">
        <v>4</v>
      </c>
    </row>
    <row r="2785">
      <c r="A2785" s="3">
        <v>4787.0</v>
      </c>
      <c r="B2785" s="4">
        <v>45334.01219907407</v>
      </c>
      <c r="C2785" s="3" t="s">
        <v>6</v>
      </c>
    </row>
    <row r="2786">
      <c r="A2786" s="3">
        <v>5615.0</v>
      </c>
      <c r="B2786" s="4">
        <v>45334.07344907407</v>
      </c>
      <c r="C2786" s="3" t="s">
        <v>3</v>
      </c>
    </row>
    <row r="2787">
      <c r="A2787" s="3">
        <v>7050.0</v>
      </c>
      <c r="B2787" s="4">
        <v>45334.09180555555</v>
      </c>
      <c r="C2787" s="3" t="s">
        <v>5</v>
      </c>
    </row>
    <row r="2788">
      <c r="A2788" s="3">
        <v>2528.0</v>
      </c>
      <c r="B2788" s="4">
        <v>45334.099594907406</v>
      </c>
      <c r="C2788" s="3" t="s">
        <v>3</v>
      </c>
    </row>
    <row r="2789">
      <c r="A2789" s="3">
        <v>6590.0</v>
      </c>
      <c r="B2789" s="4">
        <v>45334.11004629629</v>
      </c>
      <c r="C2789" s="3" t="s">
        <v>3</v>
      </c>
    </row>
    <row r="2790">
      <c r="A2790" s="3">
        <v>1546.0</v>
      </c>
      <c r="B2790" s="4">
        <v>45334.11046296296</v>
      </c>
      <c r="C2790" s="3" t="s">
        <v>5</v>
      </c>
    </row>
    <row r="2791">
      <c r="A2791" s="3">
        <v>1678.0</v>
      </c>
      <c r="B2791" s="4">
        <v>45334.12076388889</v>
      </c>
      <c r="C2791" s="3" t="s">
        <v>5</v>
      </c>
    </row>
    <row r="2792">
      <c r="A2792" s="3">
        <v>3182.0</v>
      </c>
      <c r="B2792" s="4">
        <v>45334.12777777778</v>
      </c>
      <c r="C2792" s="3" t="s">
        <v>6</v>
      </c>
    </row>
    <row r="2793">
      <c r="A2793" s="3">
        <v>5928.0</v>
      </c>
      <c r="B2793" s="4">
        <v>45334.14273148148</v>
      </c>
      <c r="C2793" s="3" t="s">
        <v>3</v>
      </c>
    </row>
    <row r="2794">
      <c r="A2794" s="3">
        <v>4922.0</v>
      </c>
      <c r="B2794" s="4">
        <v>45334.14497685185</v>
      </c>
      <c r="C2794" s="3" t="s">
        <v>7</v>
      </c>
    </row>
    <row r="2795">
      <c r="A2795" s="3">
        <v>4895.0</v>
      </c>
      <c r="B2795" s="4">
        <v>45334.17690972222</v>
      </c>
      <c r="C2795" s="3" t="s">
        <v>4</v>
      </c>
    </row>
    <row r="2796">
      <c r="A2796" s="3">
        <v>3994.0</v>
      </c>
      <c r="B2796" s="4">
        <v>45334.17702546297</v>
      </c>
      <c r="C2796" s="3" t="s">
        <v>3</v>
      </c>
    </row>
    <row r="2797">
      <c r="A2797" s="3">
        <v>6855.0</v>
      </c>
      <c r="B2797" s="4">
        <v>45334.20408564815</v>
      </c>
      <c r="C2797" s="3" t="s">
        <v>4</v>
      </c>
    </row>
    <row r="2798">
      <c r="A2798" s="3">
        <v>2216.0</v>
      </c>
      <c r="B2798" s="4">
        <v>45334.221550925926</v>
      </c>
      <c r="C2798" s="3" t="s">
        <v>3</v>
      </c>
    </row>
    <row r="2799">
      <c r="A2799" s="3">
        <v>7249.0</v>
      </c>
      <c r="B2799" s="4">
        <v>45334.2346412037</v>
      </c>
      <c r="C2799" s="3" t="s">
        <v>4</v>
      </c>
    </row>
    <row r="2800">
      <c r="A2800" s="3">
        <v>85.0</v>
      </c>
      <c r="B2800" s="4">
        <v>45334.235300925924</v>
      </c>
      <c r="C2800" s="3" t="s">
        <v>6</v>
      </c>
    </row>
    <row r="2801">
      <c r="A2801" s="3">
        <v>7336.0</v>
      </c>
      <c r="B2801" s="4">
        <v>45334.23751157407</v>
      </c>
      <c r="C2801" s="3" t="s">
        <v>4</v>
      </c>
    </row>
    <row r="2802">
      <c r="A2802" s="3">
        <v>873.0</v>
      </c>
      <c r="B2802" s="4">
        <v>45334.241643518515</v>
      </c>
      <c r="C2802" s="3" t="s">
        <v>3</v>
      </c>
    </row>
    <row r="2803">
      <c r="A2803" s="3">
        <v>5665.0</v>
      </c>
      <c r="B2803" s="4">
        <v>45334.24253472222</v>
      </c>
      <c r="C2803" s="3" t="s">
        <v>7</v>
      </c>
    </row>
    <row r="2804">
      <c r="A2804" s="3">
        <v>6923.0</v>
      </c>
      <c r="B2804" s="4">
        <v>45334.258472222224</v>
      </c>
      <c r="C2804" s="3" t="s">
        <v>3</v>
      </c>
    </row>
    <row r="2805">
      <c r="A2805" s="3">
        <v>6995.0</v>
      </c>
      <c r="B2805" s="4">
        <v>45334.31008101852</v>
      </c>
      <c r="C2805" s="3" t="s">
        <v>4</v>
      </c>
    </row>
    <row r="2806">
      <c r="A2806" s="3">
        <v>2185.0</v>
      </c>
      <c r="B2806" s="4">
        <v>45334.31240740741</v>
      </c>
      <c r="C2806" s="3" t="s">
        <v>6</v>
      </c>
    </row>
    <row r="2807">
      <c r="A2807" s="3">
        <v>2575.0</v>
      </c>
      <c r="B2807" s="4">
        <v>45334.31607638889</v>
      </c>
      <c r="C2807" s="3" t="s">
        <v>7</v>
      </c>
    </row>
    <row r="2808">
      <c r="A2808" s="3">
        <v>1088.0</v>
      </c>
      <c r="B2808" s="4">
        <v>45334.32163194445</v>
      </c>
      <c r="C2808" s="3" t="s">
        <v>4</v>
      </c>
    </row>
    <row r="2809">
      <c r="A2809" s="3">
        <v>92.0</v>
      </c>
      <c r="B2809" s="4">
        <v>45334.33047453704</v>
      </c>
      <c r="C2809" s="3" t="s">
        <v>4</v>
      </c>
    </row>
    <row r="2810">
      <c r="A2810" s="3">
        <v>7699.0</v>
      </c>
      <c r="B2810" s="4">
        <v>45334.34663194444</v>
      </c>
      <c r="C2810" s="3" t="s">
        <v>6</v>
      </c>
    </row>
    <row r="2811">
      <c r="A2811" s="3">
        <v>4463.0</v>
      </c>
      <c r="B2811" s="4">
        <v>45334.36461805556</v>
      </c>
      <c r="C2811" s="3" t="s">
        <v>3</v>
      </c>
    </row>
    <row r="2812">
      <c r="A2812" s="3">
        <v>173.0</v>
      </c>
      <c r="B2812" s="4">
        <v>45334.38329861111</v>
      </c>
      <c r="C2812" s="3" t="s">
        <v>6</v>
      </c>
    </row>
    <row r="2813">
      <c r="A2813" s="3">
        <v>4768.0</v>
      </c>
      <c r="B2813" s="4">
        <v>45334.402280092596</v>
      </c>
      <c r="C2813" s="3" t="s">
        <v>5</v>
      </c>
    </row>
    <row r="2814">
      <c r="A2814" s="3">
        <v>4463.0</v>
      </c>
      <c r="B2814" s="4">
        <v>45334.41740740741</v>
      </c>
      <c r="C2814" s="3" t="s">
        <v>5</v>
      </c>
    </row>
    <row r="2815">
      <c r="A2815" s="3">
        <v>4376.0</v>
      </c>
      <c r="B2815" s="4">
        <v>45334.426828703705</v>
      </c>
      <c r="C2815" s="3" t="s">
        <v>4</v>
      </c>
    </row>
    <row r="2816">
      <c r="A2816" s="3">
        <v>5665.0</v>
      </c>
      <c r="B2816" s="4">
        <v>45334.448842592596</v>
      </c>
      <c r="C2816" s="3" t="s">
        <v>4</v>
      </c>
    </row>
    <row r="2817">
      <c r="A2817" s="3">
        <v>7336.0</v>
      </c>
      <c r="B2817" s="4">
        <v>45334.46021990741</v>
      </c>
      <c r="C2817" s="3" t="s">
        <v>3</v>
      </c>
    </row>
    <row r="2818">
      <c r="A2818" s="3">
        <v>3222.0</v>
      </c>
      <c r="B2818" s="4">
        <v>45334.49085648148</v>
      </c>
      <c r="C2818" s="3" t="s">
        <v>5</v>
      </c>
    </row>
    <row r="2819">
      <c r="A2819" s="3">
        <v>6480.0</v>
      </c>
      <c r="B2819" s="4">
        <v>45334.511342592596</v>
      </c>
      <c r="C2819" s="3" t="s">
        <v>3</v>
      </c>
    </row>
    <row r="2820">
      <c r="A2820" s="3">
        <v>6935.0</v>
      </c>
      <c r="B2820" s="4">
        <v>45334.522361111114</v>
      </c>
      <c r="C2820" s="3" t="s">
        <v>3</v>
      </c>
    </row>
    <row r="2821">
      <c r="A2821" s="3">
        <v>4922.0</v>
      </c>
      <c r="B2821" s="4">
        <v>45334.530439814815</v>
      </c>
      <c r="C2821" s="3" t="s">
        <v>4</v>
      </c>
    </row>
    <row r="2822">
      <c r="A2822" s="3">
        <v>6892.0</v>
      </c>
      <c r="B2822" s="4">
        <v>45334.54383101852</v>
      </c>
      <c r="C2822" s="3" t="s">
        <v>4</v>
      </c>
    </row>
    <row r="2823">
      <c r="A2823" s="3">
        <v>3296.0</v>
      </c>
      <c r="B2823" s="4">
        <v>45334.54394675926</v>
      </c>
      <c r="C2823" s="3" t="s">
        <v>6</v>
      </c>
    </row>
    <row r="2824">
      <c r="A2824" s="3">
        <v>1678.0</v>
      </c>
      <c r="B2824" s="4">
        <v>45334.6475462963</v>
      </c>
      <c r="C2824" s="3" t="s">
        <v>3</v>
      </c>
    </row>
    <row r="2825">
      <c r="A2825" s="3">
        <v>4817.0</v>
      </c>
      <c r="B2825" s="4">
        <v>45334.68699074074</v>
      </c>
      <c r="C2825" s="3" t="s">
        <v>7</v>
      </c>
    </row>
    <row r="2826">
      <c r="A2826" s="3">
        <v>7206.0</v>
      </c>
      <c r="B2826" s="4">
        <v>45334.69378472222</v>
      </c>
      <c r="C2826" s="3" t="s">
        <v>6</v>
      </c>
    </row>
    <row r="2827">
      <c r="A2827" s="3">
        <v>88.0</v>
      </c>
      <c r="B2827" s="4">
        <v>45334.70542824074</v>
      </c>
      <c r="C2827" s="3" t="s">
        <v>6</v>
      </c>
    </row>
    <row r="2828">
      <c r="A2828" s="3">
        <v>4768.0</v>
      </c>
      <c r="B2828" s="4">
        <v>45334.71518518519</v>
      </c>
      <c r="C2828" s="3" t="s">
        <v>3</v>
      </c>
    </row>
    <row r="2829">
      <c r="A2829" s="3">
        <v>5226.0</v>
      </c>
      <c r="B2829" s="4">
        <v>45334.719502314816</v>
      </c>
      <c r="C2829" s="3" t="s">
        <v>3</v>
      </c>
    </row>
    <row r="2830">
      <c r="A2830" s="3">
        <v>1211.0</v>
      </c>
      <c r="B2830" s="4">
        <v>45334.71952546296</v>
      </c>
      <c r="C2830" s="3" t="s">
        <v>5</v>
      </c>
    </row>
    <row r="2831">
      <c r="A2831" s="3">
        <v>1702.0</v>
      </c>
      <c r="B2831" s="4">
        <v>45334.73594907407</v>
      </c>
      <c r="C2831" s="3" t="s">
        <v>3</v>
      </c>
    </row>
    <row r="2832">
      <c r="A2832" s="3">
        <v>7571.0</v>
      </c>
      <c r="B2832" s="4">
        <v>45334.78057870371</v>
      </c>
      <c r="C2832" s="3" t="s">
        <v>3</v>
      </c>
    </row>
    <row r="2833">
      <c r="A2833" s="3">
        <v>6150.0</v>
      </c>
      <c r="B2833" s="4">
        <v>45334.78804398148</v>
      </c>
      <c r="C2833" s="3" t="s">
        <v>4</v>
      </c>
    </row>
    <row r="2834">
      <c r="A2834" s="3">
        <v>4456.0</v>
      </c>
      <c r="B2834" s="4">
        <v>45334.79027777778</v>
      </c>
      <c r="C2834" s="3" t="s">
        <v>3</v>
      </c>
    </row>
    <row r="2835">
      <c r="A2835" s="3">
        <v>2764.0</v>
      </c>
      <c r="B2835" s="4">
        <v>45334.81590277778</v>
      </c>
      <c r="C2835" s="3" t="s">
        <v>3</v>
      </c>
    </row>
    <row r="2836">
      <c r="A2836" s="3">
        <v>5928.0</v>
      </c>
      <c r="B2836" s="4">
        <v>45334.81952546296</v>
      </c>
      <c r="C2836" s="3" t="s">
        <v>4</v>
      </c>
    </row>
    <row r="2837">
      <c r="A2837" s="3">
        <v>7537.0</v>
      </c>
      <c r="B2837" s="4">
        <v>45334.823067129626</v>
      </c>
      <c r="C2837" s="3" t="s">
        <v>3</v>
      </c>
    </row>
    <row r="2838">
      <c r="A2838" s="3">
        <v>5494.0</v>
      </c>
      <c r="B2838" s="4">
        <v>45334.83826388889</v>
      </c>
      <c r="C2838" s="3" t="s">
        <v>5</v>
      </c>
    </row>
    <row r="2839">
      <c r="A2839" s="3">
        <v>151.0</v>
      </c>
      <c r="B2839" s="4">
        <v>45334.84266203704</v>
      </c>
      <c r="C2839" s="3" t="s">
        <v>3</v>
      </c>
    </row>
    <row r="2840">
      <c r="A2840" s="3">
        <v>7484.0</v>
      </c>
      <c r="B2840" s="4">
        <v>45334.893379629626</v>
      </c>
      <c r="C2840" s="3" t="s">
        <v>3</v>
      </c>
    </row>
    <row r="2841">
      <c r="A2841" s="3">
        <v>5575.0</v>
      </c>
      <c r="B2841" s="4">
        <v>45334.907997685186</v>
      </c>
      <c r="C2841" s="3" t="s">
        <v>6</v>
      </c>
    </row>
    <row r="2842">
      <c r="A2842" s="3">
        <v>5904.0</v>
      </c>
      <c r="B2842" s="4">
        <v>45334.941041666665</v>
      </c>
      <c r="C2842" s="3" t="s">
        <v>7</v>
      </c>
    </row>
    <row r="2843">
      <c r="A2843" s="3">
        <v>1262.0</v>
      </c>
      <c r="B2843" s="4">
        <v>45334.9468287037</v>
      </c>
      <c r="C2843" s="3" t="s">
        <v>7</v>
      </c>
    </row>
    <row r="2844">
      <c r="A2844" s="3">
        <v>5096.0</v>
      </c>
      <c r="B2844" s="4">
        <v>45334.956666666665</v>
      </c>
      <c r="C2844" s="3" t="s">
        <v>4</v>
      </c>
    </row>
    <row r="2845">
      <c r="A2845" s="3">
        <v>6707.0</v>
      </c>
      <c r="B2845" s="4">
        <v>45334.97828703704</v>
      </c>
      <c r="C2845" s="3" t="s">
        <v>4</v>
      </c>
    </row>
    <row r="2846">
      <c r="A2846" s="3">
        <v>5841.0</v>
      </c>
      <c r="B2846" s="4">
        <v>45335.00255787037</v>
      </c>
      <c r="C2846" s="3" t="s">
        <v>5</v>
      </c>
    </row>
    <row r="2847">
      <c r="A2847" s="3">
        <v>2382.0</v>
      </c>
      <c r="B2847" s="4">
        <v>45335.007199074076</v>
      </c>
      <c r="C2847" s="3" t="s">
        <v>3</v>
      </c>
    </row>
    <row r="2848">
      <c r="A2848" s="3">
        <v>6011.0</v>
      </c>
      <c r="B2848" s="4">
        <v>45335.026238425926</v>
      </c>
      <c r="C2848" s="3" t="s">
        <v>3</v>
      </c>
    </row>
    <row r="2849">
      <c r="A2849" s="3">
        <v>3297.0</v>
      </c>
      <c r="B2849" s="4">
        <v>45335.03802083333</v>
      </c>
      <c r="C2849" s="3" t="s">
        <v>3</v>
      </c>
    </row>
    <row r="2850">
      <c r="A2850" s="3">
        <v>4547.0</v>
      </c>
      <c r="B2850" s="4">
        <v>45335.04850694445</v>
      </c>
      <c r="C2850" s="3" t="s">
        <v>4</v>
      </c>
    </row>
    <row r="2851">
      <c r="A2851" s="3">
        <v>2665.0</v>
      </c>
      <c r="B2851" s="4">
        <v>45335.06542824074</v>
      </c>
      <c r="C2851" s="3" t="s">
        <v>3</v>
      </c>
    </row>
    <row r="2852">
      <c r="A2852" s="3">
        <v>3622.0</v>
      </c>
      <c r="B2852" s="4">
        <v>45335.07053240741</v>
      </c>
      <c r="C2852" s="3" t="s">
        <v>3</v>
      </c>
    </row>
    <row r="2853">
      <c r="A2853" s="3">
        <v>3222.0</v>
      </c>
      <c r="B2853" s="4">
        <v>45335.073912037034</v>
      </c>
      <c r="C2853" s="3" t="s">
        <v>6</v>
      </c>
    </row>
    <row r="2854">
      <c r="A2854" s="3">
        <v>2216.0</v>
      </c>
      <c r="B2854" s="4">
        <v>45335.08306712963</v>
      </c>
      <c r="C2854" s="3" t="s">
        <v>5</v>
      </c>
    </row>
    <row r="2855">
      <c r="A2855" s="3">
        <v>574.0</v>
      </c>
      <c r="B2855" s="4">
        <v>45335.09775462963</v>
      </c>
      <c r="C2855" s="3" t="s">
        <v>3</v>
      </c>
    </row>
    <row r="2856">
      <c r="A2856" s="3">
        <v>1841.0</v>
      </c>
      <c r="B2856" s="4">
        <v>45335.15828703704</v>
      </c>
      <c r="C2856" s="3" t="s">
        <v>3</v>
      </c>
    </row>
    <row r="2857">
      <c r="A2857" s="3">
        <v>6129.0</v>
      </c>
      <c r="B2857" s="4">
        <v>45335.17842592593</v>
      </c>
      <c r="C2857" s="3" t="s">
        <v>6</v>
      </c>
    </row>
    <row r="2858">
      <c r="A2858" s="3">
        <v>4922.0</v>
      </c>
      <c r="B2858" s="4">
        <v>45335.18392361111</v>
      </c>
      <c r="C2858" s="3" t="s">
        <v>5</v>
      </c>
    </row>
    <row r="2859">
      <c r="A2859" s="3">
        <v>6751.0</v>
      </c>
      <c r="B2859" s="4">
        <v>45335.18729166667</v>
      </c>
      <c r="C2859" s="3" t="s">
        <v>3</v>
      </c>
    </row>
    <row r="2860">
      <c r="A2860" s="3">
        <v>4177.0</v>
      </c>
      <c r="B2860" s="4">
        <v>45335.199583333335</v>
      </c>
      <c r="C2860" s="3" t="s">
        <v>3</v>
      </c>
    </row>
    <row r="2861">
      <c r="A2861" s="3">
        <v>3465.0</v>
      </c>
      <c r="B2861" s="4">
        <v>45335.21957175926</v>
      </c>
      <c r="C2861" s="3" t="s">
        <v>4</v>
      </c>
    </row>
    <row r="2862">
      <c r="A2862" s="3">
        <v>5169.0</v>
      </c>
      <c r="B2862" s="4">
        <v>45335.23063657407</v>
      </c>
      <c r="C2862" s="3" t="s">
        <v>7</v>
      </c>
    </row>
    <row r="2863">
      <c r="A2863" s="3">
        <v>6980.0</v>
      </c>
      <c r="B2863" s="4">
        <v>45335.244675925926</v>
      </c>
      <c r="C2863" s="3" t="s">
        <v>3</v>
      </c>
    </row>
    <row r="2864">
      <c r="A2864" s="3">
        <v>6927.0</v>
      </c>
      <c r="B2864" s="4">
        <v>45335.246145833335</v>
      </c>
      <c r="C2864" s="3" t="s">
        <v>6</v>
      </c>
    </row>
    <row r="2865">
      <c r="A2865" s="3">
        <v>6855.0</v>
      </c>
      <c r="B2865" s="4">
        <v>45335.25635416667</v>
      </c>
      <c r="C2865" s="3" t="s">
        <v>6</v>
      </c>
    </row>
    <row r="2866">
      <c r="A2866" s="3">
        <v>1603.0</v>
      </c>
      <c r="B2866" s="4">
        <v>45335.28009259259</v>
      </c>
      <c r="C2866" s="3" t="s">
        <v>4</v>
      </c>
    </row>
    <row r="2867">
      <c r="A2867" s="3">
        <v>3346.0</v>
      </c>
      <c r="B2867" s="4">
        <v>45335.293900462966</v>
      </c>
      <c r="C2867" s="3" t="s">
        <v>3</v>
      </c>
    </row>
    <row r="2868">
      <c r="A2868" s="3">
        <v>2665.0</v>
      </c>
      <c r="B2868" s="4">
        <v>45335.33423611111</v>
      </c>
      <c r="C2868" s="3" t="s">
        <v>4</v>
      </c>
    </row>
    <row r="2869">
      <c r="A2869" s="3">
        <v>2440.0</v>
      </c>
      <c r="B2869" s="4">
        <v>45335.335856481484</v>
      </c>
      <c r="C2869" s="3" t="s">
        <v>7</v>
      </c>
    </row>
    <row r="2870">
      <c r="A2870" s="3">
        <v>991.0</v>
      </c>
      <c r="B2870" s="4">
        <v>45335.353472222225</v>
      </c>
      <c r="C2870" s="3" t="s">
        <v>3</v>
      </c>
    </row>
    <row r="2871">
      <c r="A2871" s="3">
        <v>5841.0</v>
      </c>
      <c r="B2871" s="4">
        <v>45335.357256944444</v>
      </c>
      <c r="C2871" s="3" t="s">
        <v>6</v>
      </c>
    </row>
    <row r="2872">
      <c r="A2872" s="3">
        <v>4700.0</v>
      </c>
      <c r="B2872" s="4">
        <v>45335.373402777775</v>
      </c>
      <c r="C2872" s="3" t="s">
        <v>4</v>
      </c>
    </row>
    <row r="2873">
      <c r="A2873" s="3">
        <v>1678.0</v>
      </c>
      <c r="B2873" s="4">
        <v>45335.37395833333</v>
      </c>
      <c r="C2873" s="3" t="s">
        <v>4</v>
      </c>
    </row>
    <row r="2874">
      <c r="A2874" s="3">
        <v>5000.0</v>
      </c>
      <c r="B2874" s="4">
        <v>45335.37917824074</v>
      </c>
      <c r="C2874" s="3" t="s">
        <v>4</v>
      </c>
    </row>
    <row r="2875">
      <c r="A2875" s="3">
        <v>6707.0</v>
      </c>
      <c r="B2875" s="4">
        <v>45335.381053240744</v>
      </c>
      <c r="C2875" s="3" t="s">
        <v>5</v>
      </c>
    </row>
    <row r="2876">
      <c r="A2876" s="3">
        <v>7815.0</v>
      </c>
      <c r="B2876" s="4">
        <v>45335.41577546296</v>
      </c>
      <c r="C2876" s="3" t="s">
        <v>7</v>
      </c>
    </row>
    <row r="2877">
      <c r="A2877" s="3">
        <v>1211.0</v>
      </c>
      <c r="B2877" s="4">
        <v>45335.437106481484</v>
      </c>
      <c r="C2877" s="3" t="s">
        <v>6</v>
      </c>
    </row>
    <row r="2878">
      <c r="A2878" s="3">
        <v>1603.0</v>
      </c>
      <c r="B2878" s="4">
        <v>45335.45311342592</v>
      </c>
      <c r="C2878" s="3" t="s">
        <v>3</v>
      </c>
    </row>
    <row r="2879">
      <c r="A2879" s="3">
        <v>3447.0</v>
      </c>
      <c r="B2879" s="4">
        <v>45335.45923611111</v>
      </c>
      <c r="C2879" s="3" t="s">
        <v>3</v>
      </c>
    </row>
    <row r="2880">
      <c r="A2880" s="3">
        <v>1732.0</v>
      </c>
      <c r="B2880" s="4">
        <v>45335.47020833333</v>
      </c>
      <c r="C2880" s="3" t="s">
        <v>7</v>
      </c>
    </row>
    <row r="2881">
      <c r="A2881" s="3">
        <v>5329.0</v>
      </c>
      <c r="B2881" s="4">
        <v>45335.47142361111</v>
      </c>
      <c r="C2881" s="3" t="s">
        <v>6</v>
      </c>
    </row>
    <row r="2882">
      <c r="A2882" s="3">
        <v>69.0</v>
      </c>
      <c r="B2882" s="4">
        <v>45335.47560185185</v>
      </c>
      <c r="C2882" s="3" t="s">
        <v>3</v>
      </c>
    </row>
    <row r="2883">
      <c r="A2883" s="3">
        <v>3523.0</v>
      </c>
      <c r="B2883" s="4">
        <v>45335.47872685185</v>
      </c>
      <c r="C2883" s="3" t="s">
        <v>3</v>
      </c>
    </row>
    <row r="2884">
      <c r="A2884" s="3">
        <v>2207.0</v>
      </c>
      <c r="B2884" s="4">
        <v>45335.5109375</v>
      </c>
      <c r="C2884" s="3" t="s">
        <v>3</v>
      </c>
    </row>
    <row r="2885">
      <c r="A2885" s="3">
        <v>4463.0</v>
      </c>
      <c r="B2885" s="4">
        <v>45335.516689814816</v>
      </c>
      <c r="C2885" s="3" t="s">
        <v>4</v>
      </c>
    </row>
    <row r="2886">
      <c r="A2886" s="3">
        <v>1335.0</v>
      </c>
      <c r="B2886" s="4">
        <v>45335.55673611111</v>
      </c>
      <c r="C2886" s="3" t="s">
        <v>3</v>
      </c>
    </row>
    <row r="2887">
      <c r="A2887" s="3">
        <v>2575.0</v>
      </c>
      <c r="B2887" s="4">
        <v>45335.57334490741</v>
      </c>
      <c r="C2887" s="3" t="s">
        <v>5</v>
      </c>
    </row>
    <row r="2888">
      <c r="A2888" s="3">
        <v>7547.0</v>
      </c>
      <c r="B2888" s="4">
        <v>45335.57863425926</v>
      </c>
      <c r="C2888" s="3" t="s">
        <v>5</v>
      </c>
    </row>
    <row r="2889">
      <c r="A2889" s="3">
        <v>4817.0</v>
      </c>
      <c r="B2889" s="4">
        <v>45335.58347222222</v>
      </c>
      <c r="C2889" s="3" t="s">
        <v>6</v>
      </c>
    </row>
    <row r="2890">
      <c r="A2890" s="3">
        <v>1678.0</v>
      </c>
      <c r="B2890" s="4">
        <v>45335.58429398148</v>
      </c>
      <c r="C2890" s="3" t="s">
        <v>7</v>
      </c>
    </row>
    <row r="2891">
      <c r="A2891" s="3">
        <v>3978.0</v>
      </c>
      <c r="B2891" s="4">
        <v>45335.58844907407</v>
      </c>
      <c r="C2891" s="3" t="s">
        <v>5</v>
      </c>
    </row>
    <row r="2892">
      <c r="A2892" s="3">
        <v>7041.0</v>
      </c>
      <c r="B2892" s="4">
        <v>45335.610555555555</v>
      </c>
      <c r="C2892" s="3" t="s">
        <v>3</v>
      </c>
    </row>
    <row r="2893">
      <c r="A2893" s="3">
        <v>6943.0</v>
      </c>
      <c r="B2893" s="4">
        <v>45335.614953703705</v>
      </c>
      <c r="C2893" s="3" t="s">
        <v>3</v>
      </c>
    </row>
    <row r="2894">
      <c r="A2894" s="3">
        <v>6345.0</v>
      </c>
      <c r="B2894" s="4">
        <v>45335.628333333334</v>
      </c>
      <c r="C2894" s="3" t="s">
        <v>4</v>
      </c>
    </row>
    <row r="2895">
      <c r="A2895" s="3">
        <v>6855.0</v>
      </c>
      <c r="B2895" s="4">
        <v>45335.6487037037</v>
      </c>
      <c r="C2895" s="3" t="s">
        <v>5</v>
      </c>
    </row>
    <row r="2896">
      <c r="A2896" s="3">
        <v>448.0</v>
      </c>
      <c r="B2896" s="4">
        <v>45335.65021990741</v>
      </c>
      <c r="C2896" s="3" t="s">
        <v>5</v>
      </c>
    </row>
    <row r="2897">
      <c r="A2897" s="3">
        <v>7206.0</v>
      </c>
      <c r="B2897" s="4">
        <v>45335.65079861111</v>
      </c>
      <c r="C2897" s="3" t="s">
        <v>7</v>
      </c>
    </row>
    <row r="2898">
      <c r="A2898" s="3">
        <v>6011.0</v>
      </c>
      <c r="B2898" s="4">
        <v>45335.654710648145</v>
      </c>
      <c r="C2898" s="3" t="s">
        <v>4</v>
      </c>
    </row>
    <row r="2899">
      <c r="A2899" s="3">
        <v>1088.0</v>
      </c>
      <c r="B2899" s="4">
        <v>45335.660844907405</v>
      </c>
      <c r="C2899" s="3" t="s">
        <v>5</v>
      </c>
    </row>
    <row r="2900">
      <c r="A2900" s="3">
        <v>1452.0</v>
      </c>
      <c r="B2900" s="4">
        <v>45335.66197916667</v>
      </c>
      <c r="C2900" s="3" t="s">
        <v>3</v>
      </c>
    </row>
    <row r="2901">
      <c r="A2901" s="3">
        <v>2288.0</v>
      </c>
      <c r="B2901" s="4">
        <v>45335.66685185185</v>
      </c>
      <c r="C2901" s="3" t="s">
        <v>7</v>
      </c>
    </row>
    <row r="2902">
      <c r="A2902" s="3">
        <v>7547.0</v>
      </c>
      <c r="B2902" s="4">
        <v>45335.66755787037</v>
      </c>
      <c r="C2902" s="3" t="s">
        <v>4</v>
      </c>
    </row>
    <row r="2903">
      <c r="A2903" s="3">
        <v>7050.0</v>
      </c>
      <c r="B2903" s="4">
        <v>45335.67273148148</v>
      </c>
      <c r="C2903" s="3" t="s">
        <v>6</v>
      </c>
    </row>
    <row r="2904">
      <c r="A2904" s="3">
        <v>7537.0</v>
      </c>
      <c r="B2904" s="4">
        <v>45335.676712962966</v>
      </c>
      <c r="C2904" s="3" t="s">
        <v>4</v>
      </c>
    </row>
    <row r="2905">
      <c r="A2905" s="3">
        <v>7431.0</v>
      </c>
      <c r="B2905" s="4">
        <v>45335.67767361111</v>
      </c>
      <c r="C2905" s="3" t="s">
        <v>3</v>
      </c>
    </row>
    <row r="2906">
      <c r="A2906" s="3">
        <v>6095.0</v>
      </c>
      <c r="B2906" s="4">
        <v>45335.693333333336</v>
      </c>
      <c r="C2906" s="3" t="s">
        <v>3</v>
      </c>
    </row>
    <row r="2907">
      <c r="A2907" s="3">
        <v>5096.0</v>
      </c>
      <c r="B2907" s="4">
        <v>45335.699641203704</v>
      </c>
      <c r="C2907" s="3" t="s">
        <v>6</v>
      </c>
    </row>
    <row r="2908">
      <c r="A2908" s="3">
        <v>7131.0</v>
      </c>
      <c r="B2908" s="4">
        <v>45335.72435185185</v>
      </c>
      <c r="C2908" s="3" t="s">
        <v>5</v>
      </c>
    </row>
    <row r="2909">
      <c r="A2909" s="3">
        <v>5494.0</v>
      </c>
      <c r="B2909" s="4">
        <v>45335.72476851852</v>
      </c>
      <c r="C2909" s="3" t="s">
        <v>7</v>
      </c>
    </row>
    <row r="2910">
      <c r="A2910" s="3">
        <v>2216.0</v>
      </c>
      <c r="B2910" s="4">
        <v>45335.73829861111</v>
      </c>
      <c r="C2910" s="3" t="s">
        <v>4</v>
      </c>
    </row>
    <row r="2911">
      <c r="A2911" s="3">
        <v>5665.0</v>
      </c>
      <c r="B2911" s="4">
        <v>45335.75064814815</v>
      </c>
      <c r="C2911" s="3" t="s">
        <v>6</v>
      </c>
    </row>
    <row r="2912">
      <c r="A2912" s="3">
        <v>6305.0</v>
      </c>
      <c r="B2912" s="4">
        <v>45335.79336805556</v>
      </c>
      <c r="C2912" s="3" t="s">
        <v>3</v>
      </c>
    </row>
    <row r="2913">
      <c r="A2913" s="3">
        <v>551.0</v>
      </c>
      <c r="B2913" s="4">
        <v>45335.79476851852</v>
      </c>
      <c r="C2913" s="3" t="s">
        <v>3</v>
      </c>
    </row>
    <row r="2914">
      <c r="A2914" s="3">
        <v>7667.0</v>
      </c>
      <c r="B2914" s="4">
        <v>45335.79918981482</v>
      </c>
      <c r="C2914" s="3" t="s">
        <v>3</v>
      </c>
    </row>
    <row r="2915">
      <c r="A2915" s="3">
        <v>7815.0</v>
      </c>
      <c r="B2915" s="4">
        <v>45335.81736111111</v>
      </c>
      <c r="C2915" s="3" t="s">
        <v>6</v>
      </c>
    </row>
    <row r="2916">
      <c r="A2916" s="3">
        <v>738.0</v>
      </c>
      <c r="B2916" s="4">
        <v>45335.82267361111</v>
      </c>
      <c r="C2916" s="3" t="s">
        <v>7</v>
      </c>
    </row>
    <row r="2917">
      <c r="A2917" s="3">
        <v>2288.0</v>
      </c>
      <c r="B2917" s="4">
        <v>45335.82474537037</v>
      </c>
      <c r="C2917" s="3" t="s">
        <v>5</v>
      </c>
    </row>
    <row r="2918">
      <c r="A2918" s="3">
        <v>4295.0</v>
      </c>
      <c r="B2918" s="4">
        <v>45335.84307870371</v>
      </c>
      <c r="C2918" s="3" t="s">
        <v>5</v>
      </c>
    </row>
    <row r="2919">
      <c r="A2919" s="3">
        <v>5716.0</v>
      </c>
      <c r="B2919" s="4">
        <v>45335.85076388889</v>
      </c>
      <c r="C2919" s="3" t="s">
        <v>4</v>
      </c>
    </row>
    <row r="2920">
      <c r="A2920" s="3">
        <v>5640.0</v>
      </c>
      <c r="B2920" s="4">
        <v>45335.85734953704</v>
      </c>
      <c r="C2920" s="3" t="s">
        <v>3</v>
      </c>
    </row>
    <row r="2921">
      <c r="A2921" s="3">
        <v>4727.0</v>
      </c>
      <c r="B2921" s="4">
        <v>45335.867060185185</v>
      </c>
      <c r="C2921" s="3" t="s">
        <v>3</v>
      </c>
    </row>
    <row r="2922">
      <c r="A2922" s="3">
        <v>185.0</v>
      </c>
      <c r="B2922" s="4">
        <v>45335.905636574076</v>
      </c>
      <c r="C2922" s="3" t="s">
        <v>4</v>
      </c>
    </row>
    <row r="2923">
      <c r="A2923" s="3">
        <v>1262.0</v>
      </c>
      <c r="B2923" s="4">
        <v>45335.90797453704</v>
      </c>
      <c r="C2923" s="3" t="s">
        <v>6</v>
      </c>
    </row>
    <row r="2924">
      <c r="A2924" s="3">
        <v>1452.0</v>
      </c>
      <c r="B2924" s="4">
        <v>45335.910092592596</v>
      </c>
      <c r="C2924" s="3" t="s">
        <v>4</v>
      </c>
    </row>
    <row r="2925">
      <c r="A2925" s="3">
        <v>5787.0</v>
      </c>
      <c r="B2925" s="4">
        <v>45335.92103009259</v>
      </c>
      <c r="C2925" s="3" t="s">
        <v>3</v>
      </c>
    </row>
    <row r="2926">
      <c r="A2926" s="3">
        <v>1618.0</v>
      </c>
      <c r="B2926" s="4">
        <v>45335.95444444445</v>
      </c>
      <c r="C2926" s="3" t="s">
        <v>6</v>
      </c>
    </row>
    <row r="2927">
      <c r="A2927" s="3">
        <v>1528.0</v>
      </c>
      <c r="B2927" s="4">
        <v>45335.95953703704</v>
      </c>
      <c r="C2927" s="3" t="s">
        <v>3</v>
      </c>
    </row>
    <row r="2928">
      <c r="A2928" s="3">
        <v>4551.0</v>
      </c>
      <c r="B2928" s="4">
        <v>45336.004895833335</v>
      </c>
      <c r="C2928" s="3" t="s">
        <v>6</v>
      </c>
    </row>
    <row r="2929">
      <c r="A2929" s="3">
        <v>5090.0</v>
      </c>
      <c r="B2929" s="4">
        <v>45336.01293981481</v>
      </c>
      <c r="C2929" s="3" t="s">
        <v>3</v>
      </c>
    </row>
    <row r="2930">
      <c r="A2930" s="3">
        <v>7249.0</v>
      </c>
      <c r="B2930" s="4">
        <v>45336.01939814815</v>
      </c>
      <c r="C2930" s="3" t="s">
        <v>7</v>
      </c>
    </row>
    <row r="2931">
      <c r="A2931" s="3">
        <v>6722.0</v>
      </c>
      <c r="B2931" s="4">
        <v>45336.019525462965</v>
      </c>
      <c r="C2931" s="3" t="s">
        <v>3</v>
      </c>
    </row>
    <row r="2932">
      <c r="A2932" s="3">
        <v>7050.0</v>
      </c>
      <c r="B2932" s="4">
        <v>45336.0275</v>
      </c>
      <c r="C2932" s="3" t="s">
        <v>7</v>
      </c>
    </row>
    <row r="2933">
      <c r="A2933" s="3">
        <v>3219.0</v>
      </c>
      <c r="B2933" s="4">
        <v>45336.0346412037</v>
      </c>
      <c r="C2933" s="3" t="s">
        <v>3</v>
      </c>
    </row>
    <row r="2934">
      <c r="A2934" s="3">
        <v>1732.0</v>
      </c>
      <c r="B2934" s="4">
        <v>45336.04078703704</v>
      </c>
      <c r="C2934" s="3" t="s">
        <v>6</v>
      </c>
    </row>
    <row r="2935">
      <c r="A2935" s="3">
        <v>1665.0</v>
      </c>
      <c r="B2935" s="4">
        <v>45336.05428240741</v>
      </c>
      <c r="C2935" s="3" t="s">
        <v>3</v>
      </c>
    </row>
    <row r="2936">
      <c r="A2936" s="3">
        <v>3866.0</v>
      </c>
      <c r="B2936" s="4">
        <v>45336.075532407405</v>
      </c>
      <c r="C2936" s="3" t="s">
        <v>3</v>
      </c>
    </row>
    <row r="2937">
      <c r="A2937" s="3">
        <v>6595.0</v>
      </c>
      <c r="B2937" s="4">
        <v>45336.08456018518</v>
      </c>
      <c r="C2937" s="3" t="s">
        <v>3</v>
      </c>
    </row>
    <row r="2938">
      <c r="A2938" s="3">
        <v>2689.0</v>
      </c>
      <c r="B2938" s="4">
        <v>45336.14498842593</v>
      </c>
      <c r="C2938" s="3" t="s">
        <v>6</v>
      </c>
    </row>
    <row r="2939">
      <c r="A2939" s="3">
        <v>1101.0</v>
      </c>
      <c r="B2939" s="4">
        <v>45336.17627314815</v>
      </c>
      <c r="C2939" s="3" t="s">
        <v>3</v>
      </c>
    </row>
    <row r="2940">
      <c r="A2940" s="3">
        <v>4895.0</v>
      </c>
      <c r="B2940" s="4">
        <v>45336.17685185185</v>
      </c>
      <c r="C2940" s="3" t="s">
        <v>5</v>
      </c>
    </row>
    <row r="2941">
      <c r="A2941" s="3">
        <v>922.0</v>
      </c>
      <c r="B2941" s="4">
        <v>45336.197743055556</v>
      </c>
      <c r="C2941" s="3" t="s">
        <v>4</v>
      </c>
    </row>
    <row r="2942">
      <c r="A2942" s="3">
        <v>7597.0</v>
      </c>
      <c r="B2942" s="4">
        <v>45336.20028935185</v>
      </c>
      <c r="C2942" s="3" t="s">
        <v>6</v>
      </c>
    </row>
    <row r="2943">
      <c r="A2943" s="3">
        <v>1452.0</v>
      </c>
      <c r="B2943" s="4">
        <v>45336.23452546296</v>
      </c>
      <c r="C2943" s="3" t="s">
        <v>5</v>
      </c>
    </row>
    <row r="2944">
      <c r="A2944" s="3">
        <v>4425.0</v>
      </c>
      <c r="B2944" s="4">
        <v>45336.25965277778</v>
      </c>
      <c r="C2944" s="3" t="s">
        <v>5</v>
      </c>
    </row>
    <row r="2945">
      <c r="A2945" s="3">
        <v>574.0</v>
      </c>
      <c r="B2945" s="4">
        <v>45336.26123842593</v>
      </c>
      <c r="C2945" s="3" t="s">
        <v>4</v>
      </c>
    </row>
    <row r="2946">
      <c r="A2946" s="3">
        <v>462.0</v>
      </c>
      <c r="B2946" s="4">
        <v>45336.26204861111</v>
      </c>
      <c r="C2946" s="3" t="s">
        <v>3</v>
      </c>
    </row>
    <row r="2947">
      <c r="A2947" s="3">
        <v>122.0</v>
      </c>
      <c r="B2947" s="4">
        <v>45336.31355324074</v>
      </c>
      <c r="C2947" s="3" t="s">
        <v>3</v>
      </c>
    </row>
    <row r="2948">
      <c r="A2948" s="3">
        <v>4768.0</v>
      </c>
      <c r="B2948" s="4">
        <v>45336.315</v>
      </c>
      <c r="C2948" s="3" t="s">
        <v>4</v>
      </c>
    </row>
    <row r="2949">
      <c r="A2949" s="3">
        <v>7001.0</v>
      </c>
      <c r="B2949" s="4">
        <v>45336.334282407406</v>
      </c>
      <c r="C2949" s="3" t="s">
        <v>3</v>
      </c>
    </row>
    <row r="2950">
      <c r="A2950" s="3">
        <v>3978.0</v>
      </c>
      <c r="B2950" s="4">
        <v>45336.346550925926</v>
      </c>
      <c r="C2950" s="3" t="s">
        <v>7</v>
      </c>
    </row>
    <row r="2951">
      <c r="A2951" s="3">
        <v>4295.0</v>
      </c>
      <c r="B2951" s="4">
        <v>45336.34916666667</v>
      </c>
      <c r="C2951" s="3" t="s">
        <v>6</v>
      </c>
    </row>
    <row r="2952">
      <c r="A2952" s="3">
        <v>563.0</v>
      </c>
      <c r="B2952" s="4">
        <v>45336.36424768518</v>
      </c>
      <c r="C2952" s="3" t="s">
        <v>3</v>
      </c>
    </row>
    <row r="2953">
      <c r="A2953" s="3">
        <v>1845.0</v>
      </c>
      <c r="B2953" s="4">
        <v>45336.374444444446</v>
      </c>
      <c r="C2953" s="3" t="s">
        <v>7</v>
      </c>
    </row>
    <row r="2954">
      <c r="A2954" s="3">
        <v>2432.0</v>
      </c>
      <c r="B2954" s="4">
        <v>45336.38688657407</v>
      </c>
      <c r="C2954" s="3" t="s">
        <v>3</v>
      </c>
    </row>
    <row r="2955">
      <c r="A2955" s="3">
        <v>157.0</v>
      </c>
      <c r="B2955" s="4">
        <v>45336.41332175926</v>
      </c>
      <c r="C2955" s="3" t="s">
        <v>7</v>
      </c>
    </row>
    <row r="2956">
      <c r="A2956" s="3">
        <v>1845.0</v>
      </c>
      <c r="B2956" s="4">
        <v>45336.416967592595</v>
      </c>
      <c r="C2956" s="3" t="s">
        <v>6</v>
      </c>
    </row>
    <row r="2957">
      <c r="A2957" s="3">
        <v>2054.0</v>
      </c>
      <c r="B2957" s="4">
        <v>45336.41819444444</v>
      </c>
      <c r="C2957" s="3" t="s">
        <v>3</v>
      </c>
    </row>
    <row r="2958">
      <c r="A2958" s="3">
        <v>5936.0</v>
      </c>
      <c r="B2958" s="4">
        <v>45336.41878472222</v>
      </c>
      <c r="C2958" s="3" t="s">
        <v>3</v>
      </c>
    </row>
    <row r="2959">
      <c r="A2959" s="3">
        <v>1495.0</v>
      </c>
      <c r="B2959" s="4">
        <v>45336.42774305555</v>
      </c>
      <c r="C2959" s="3" t="s">
        <v>3</v>
      </c>
    </row>
    <row r="2960">
      <c r="A2960" s="3">
        <v>2271.0</v>
      </c>
      <c r="B2960" s="4">
        <v>45336.43071759259</v>
      </c>
      <c r="C2960" s="3" t="s">
        <v>4</v>
      </c>
    </row>
    <row r="2961">
      <c r="A2961" s="3">
        <v>1818.0</v>
      </c>
      <c r="B2961" s="4">
        <v>45336.43362268519</v>
      </c>
      <c r="C2961" s="3" t="s">
        <v>4</v>
      </c>
    </row>
    <row r="2962">
      <c r="A2962" s="3">
        <v>5420.0</v>
      </c>
      <c r="B2962" s="4">
        <v>45336.455925925926</v>
      </c>
      <c r="C2962" s="3" t="s">
        <v>3</v>
      </c>
    </row>
    <row r="2963">
      <c r="A2963" s="3">
        <v>1672.0</v>
      </c>
      <c r="B2963" s="4">
        <v>45336.461805555555</v>
      </c>
      <c r="C2963" s="3" t="s">
        <v>5</v>
      </c>
    </row>
    <row r="2964">
      <c r="A2964" s="3">
        <v>4177.0</v>
      </c>
      <c r="B2964" s="4">
        <v>45336.480891203704</v>
      </c>
      <c r="C2964" s="3" t="s">
        <v>5</v>
      </c>
    </row>
    <row r="2965">
      <c r="A2965" s="3">
        <v>2216.0</v>
      </c>
      <c r="B2965" s="4">
        <v>45336.483252314814</v>
      </c>
      <c r="C2965" s="3" t="s">
        <v>6</v>
      </c>
    </row>
    <row r="2966">
      <c r="A2966" s="3">
        <v>1614.0</v>
      </c>
      <c r="B2966" s="4">
        <v>45336.49866898148</v>
      </c>
      <c r="C2966" s="3" t="s">
        <v>3</v>
      </c>
    </row>
    <row r="2967">
      <c r="A2967" s="3">
        <v>5863.0</v>
      </c>
      <c r="B2967" s="4">
        <v>45336.50643518518</v>
      </c>
      <c r="C2967" s="3" t="s">
        <v>6</v>
      </c>
    </row>
    <row r="2968">
      <c r="A2968" s="3">
        <v>6718.0</v>
      </c>
      <c r="B2968" s="4">
        <v>45336.51232638889</v>
      </c>
      <c r="C2968" s="3" t="s">
        <v>3</v>
      </c>
    </row>
    <row r="2969">
      <c r="A2969" s="3">
        <v>311.0</v>
      </c>
      <c r="B2969" s="4">
        <v>45336.517858796295</v>
      </c>
      <c r="C2969" s="3" t="s">
        <v>3</v>
      </c>
    </row>
    <row r="2970">
      <c r="A2970" s="3">
        <v>5904.0</v>
      </c>
      <c r="B2970" s="4">
        <v>45336.52857638889</v>
      </c>
      <c r="C2970" s="3" t="s">
        <v>6</v>
      </c>
    </row>
    <row r="2971">
      <c r="A2971" s="3">
        <v>1672.0</v>
      </c>
      <c r="B2971" s="4">
        <v>45336.590949074074</v>
      </c>
      <c r="C2971" s="3" t="s">
        <v>3</v>
      </c>
    </row>
    <row r="2972">
      <c r="A2972" s="3">
        <v>5014.0</v>
      </c>
      <c r="B2972" s="4">
        <v>45336.59515046296</v>
      </c>
      <c r="C2972" s="3" t="s">
        <v>5</v>
      </c>
    </row>
    <row r="2973">
      <c r="A2973" s="3">
        <v>122.0</v>
      </c>
      <c r="B2973" s="4">
        <v>45336.617581018516</v>
      </c>
      <c r="C2973" s="3" t="s">
        <v>4</v>
      </c>
    </row>
    <row r="2974">
      <c r="A2974" s="3">
        <v>1900.0</v>
      </c>
      <c r="B2974" s="4">
        <v>45336.672800925924</v>
      </c>
      <c r="C2974" s="3" t="s">
        <v>3</v>
      </c>
    </row>
    <row r="2975">
      <c r="A2975" s="3">
        <v>2459.0</v>
      </c>
      <c r="B2975" s="4">
        <v>45336.67866898148</v>
      </c>
      <c r="C2975" s="3" t="s">
        <v>7</v>
      </c>
    </row>
    <row r="2976">
      <c r="A2976" s="3">
        <v>1231.0</v>
      </c>
      <c r="B2976" s="4">
        <v>45336.68736111111</v>
      </c>
      <c r="C2976" s="3" t="s">
        <v>3</v>
      </c>
    </row>
    <row r="2977">
      <c r="A2977" s="3">
        <v>2061.0</v>
      </c>
      <c r="B2977" s="4">
        <v>45336.70276620371</v>
      </c>
      <c r="C2977" s="3" t="s">
        <v>3</v>
      </c>
    </row>
    <row r="2978">
      <c r="A2978" s="3">
        <v>7249.0</v>
      </c>
      <c r="B2978" s="4">
        <v>45336.72630787037</v>
      </c>
      <c r="C2978" s="3" t="s">
        <v>6</v>
      </c>
    </row>
    <row r="2979">
      <c r="A2979" s="3">
        <v>1818.0</v>
      </c>
      <c r="B2979" s="4">
        <v>45336.74151620371</v>
      </c>
      <c r="C2979" s="3" t="s">
        <v>3</v>
      </c>
    </row>
    <row r="2980">
      <c r="A2980" s="3">
        <v>5127.0</v>
      </c>
      <c r="B2980" s="4">
        <v>45336.76614583333</v>
      </c>
      <c r="C2980" s="3" t="s">
        <v>3</v>
      </c>
    </row>
    <row r="2981">
      <c r="A2981" s="3">
        <v>2400.0</v>
      </c>
      <c r="B2981" s="4">
        <v>45336.7696875</v>
      </c>
      <c r="C2981" s="3" t="s">
        <v>7</v>
      </c>
    </row>
    <row r="2982">
      <c r="A2982" s="3">
        <v>1840.0</v>
      </c>
      <c r="B2982" s="4">
        <v>45336.7971875</v>
      </c>
      <c r="C2982" s="3" t="s">
        <v>3</v>
      </c>
    </row>
    <row r="2983">
      <c r="A2983" s="3">
        <v>922.0</v>
      </c>
      <c r="B2983" s="4">
        <v>45336.8016087963</v>
      </c>
      <c r="C2983" s="3" t="s">
        <v>5</v>
      </c>
    </row>
    <row r="2984">
      <c r="A2984" s="3">
        <v>5000.0</v>
      </c>
      <c r="B2984" s="4">
        <v>45336.80712962963</v>
      </c>
      <c r="C2984" s="3" t="s">
        <v>6</v>
      </c>
    </row>
    <row r="2985">
      <c r="A2985" s="3">
        <v>3543.0</v>
      </c>
      <c r="B2985" s="4">
        <v>45336.83579861111</v>
      </c>
      <c r="C2985" s="3" t="s">
        <v>5</v>
      </c>
    </row>
    <row r="2986">
      <c r="A2986" s="3">
        <v>7484.0</v>
      </c>
      <c r="B2986" s="4">
        <v>45336.83918981482</v>
      </c>
      <c r="C2986" s="3" t="s">
        <v>4</v>
      </c>
    </row>
    <row r="2987">
      <c r="A2987" s="3">
        <v>4295.0</v>
      </c>
      <c r="B2987" s="4">
        <v>45336.84719907407</v>
      </c>
      <c r="C2987" s="3" t="s">
        <v>7</v>
      </c>
    </row>
    <row r="2988">
      <c r="A2988" s="3">
        <v>3241.0</v>
      </c>
      <c r="B2988" s="4">
        <v>45336.86231481482</v>
      </c>
      <c r="C2988" s="3" t="s">
        <v>3</v>
      </c>
    </row>
    <row r="2989">
      <c r="A2989" s="3">
        <v>6590.0</v>
      </c>
      <c r="B2989" s="4">
        <v>45336.86607638889</v>
      </c>
      <c r="C2989" s="3" t="s">
        <v>4</v>
      </c>
    </row>
    <row r="2990">
      <c r="A2990" s="3">
        <v>3622.0</v>
      </c>
      <c r="B2990" s="4">
        <v>45336.87541666667</v>
      </c>
      <c r="C2990" s="3" t="s">
        <v>4</v>
      </c>
    </row>
    <row r="2991">
      <c r="A2991" s="3">
        <v>5331.0</v>
      </c>
      <c r="B2991" s="4">
        <v>45336.88075231481</v>
      </c>
      <c r="C2991" s="3" t="s">
        <v>3</v>
      </c>
    </row>
    <row r="2992">
      <c r="A2992" s="3">
        <v>6718.0</v>
      </c>
      <c r="B2992" s="4">
        <v>45336.8859375</v>
      </c>
      <c r="C2992" s="3" t="s">
        <v>4</v>
      </c>
    </row>
    <row r="2993">
      <c r="A2993" s="3">
        <v>2373.0</v>
      </c>
      <c r="B2993" s="4">
        <v>45336.891701388886</v>
      </c>
      <c r="C2993" s="3" t="s">
        <v>3</v>
      </c>
    </row>
    <row r="2994">
      <c r="A2994" s="3">
        <v>5000.0</v>
      </c>
      <c r="B2994" s="4">
        <v>45336.895462962966</v>
      </c>
      <c r="C2994" s="3" t="s">
        <v>5</v>
      </c>
    </row>
    <row r="2995">
      <c r="A2995" s="3">
        <v>5063.0</v>
      </c>
      <c r="B2995" s="4">
        <v>45336.90015046296</v>
      </c>
      <c r="C2995" s="3" t="s">
        <v>4</v>
      </c>
    </row>
    <row r="2996">
      <c r="A2996" s="3">
        <v>4922.0</v>
      </c>
      <c r="B2996" s="4">
        <v>45336.92146990741</v>
      </c>
      <c r="C2996" s="3" t="s">
        <v>6</v>
      </c>
    </row>
    <row r="2997">
      <c r="A2997" s="3">
        <v>922.0</v>
      </c>
      <c r="B2997" s="4">
        <v>45336.92202546296</v>
      </c>
      <c r="C2997" s="3" t="s">
        <v>3</v>
      </c>
    </row>
    <row r="2998">
      <c r="A2998" s="3">
        <v>2689.0</v>
      </c>
      <c r="B2998" s="4">
        <v>45336.944814814815</v>
      </c>
      <c r="C2998" s="3" t="s">
        <v>5</v>
      </c>
    </row>
    <row r="2999">
      <c r="A2999" s="3">
        <v>5269.0</v>
      </c>
      <c r="B2999" s="4">
        <v>45336.962222222224</v>
      </c>
      <c r="C2999" s="3" t="s">
        <v>3</v>
      </c>
    </row>
    <row r="3000">
      <c r="A3000" s="3">
        <v>249.0</v>
      </c>
      <c r="B3000" s="4">
        <v>45336.96428240741</v>
      </c>
      <c r="C3000" s="3" t="s">
        <v>6</v>
      </c>
    </row>
    <row r="3001">
      <c r="A3001" s="3">
        <v>4568.0</v>
      </c>
      <c r="B3001" s="4">
        <v>45336.96730324074</v>
      </c>
      <c r="C3001" s="3" t="s">
        <v>4</v>
      </c>
    </row>
    <row r="3002">
      <c r="A3002" s="3">
        <v>6022.0</v>
      </c>
      <c r="B3002" s="4">
        <v>45337.013125</v>
      </c>
      <c r="C3002" s="3" t="s">
        <v>4</v>
      </c>
    </row>
    <row r="3003">
      <c r="A3003" s="3">
        <v>9.0</v>
      </c>
      <c r="B3003" s="4">
        <v>45337.017534722225</v>
      </c>
      <c r="C3003" s="3" t="s">
        <v>3</v>
      </c>
    </row>
    <row r="3004">
      <c r="A3004" s="3">
        <v>2352.0</v>
      </c>
      <c r="B3004" s="4">
        <v>45337.02457175926</v>
      </c>
      <c r="C3004" s="3" t="s">
        <v>6</v>
      </c>
    </row>
    <row r="3005">
      <c r="A3005" s="3">
        <v>6345.0</v>
      </c>
      <c r="B3005" s="4">
        <v>45337.02657407407</v>
      </c>
      <c r="C3005" s="3" t="s">
        <v>6</v>
      </c>
    </row>
    <row r="3006">
      <c r="A3006" s="3">
        <v>5127.0</v>
      </c>
      <c r="B3006" s="4">
        <v>45337.033530092594</v>
      </c>
      <c r="C3006" s="3" t="s">
        <v>4</v>
      </c>
    </row>
    <row r="3007">
      <c r="A3007" s="3">
        <v>738.0</v>
      </c>
      <c r="B3007" s="4">
        <v>45337.040185185186</v>
      </c>
      <c r="C3007" s="3" t="s">
        <v>6</v>
      </c>
    </row>
    <row r="3008">
      <c r="A3008" s="3">
        <v>6996.0</v>
      </c>
      <c r="B3008" s="4">
        <v>45337.09353009259</v>
      </c>
      <c r="C3008" s="3" t="s">
        <v>3</v>
      </c>
    </row>
    <row r="3009">
      <c r="A3009" s="3">
        <v>551.0</v>
      </c>
      <c r="B3009" s="4">
        <v>45337.09847222222</v>
      </c>
      <c r="C3009" s="3" t="s">
        <v>4</v>
      </c>
    </row>
    <row r="3010">
      <c r="A3010" s="3">
        <v>2459.0</v>
      </c>
      <c r="B3010" s="4">
        <v>45337.108877314815</v>
      </c>
      <c r="C3010" s="3" t="s">
        <v>5</v>
      </c>
    </row>
    <row r="3011">
      <c r="A3011" s="3">
        <v>2978.0</v>
      </c>
      <c r="B3011" s="4">
        <v>45337.11375</v>
      </c>
      <c r="C3011" s="3" t="s">
        <v>3</v>
      </c>
    </row>
    <row r="3012">
      <c r="A3012" s="3">
        <v>1818.0</v>
      </c>
      <c r="B3012" s="4">
        <v>45337.1178125</v>
      </c>
      <c r="C3012" s="3" t="s">
        <v>7</v>
      </c>
    </row>
    <row r="3013">
      <c r="A3013" s="3">
        <v>7537.0</v>
      </c>
      <c r="B3013" s="4">
        <v>45337.12359953704</v>
      </c>
      <c r="C3013" s="3" t="s">
        <v>7</v>
      </c>
    </row>
    <row r="3014">
      <c r="A3014" s="3">
        <v>1684.0</v>
      </c>
      <c r="B3014" s="4">
        <v>45337.137777777774</v>
      </c>
      <c r="C3014" s="3" t="s">
        <v>3</v>
      </c>
    </row>
    <row r="3015">
      <c r="A3015" s="3">
        <v>6814.0</v>
      </c>
      <c r="B3015" s="4">
        <v>45337.139444444445</v>
      </c>
      <c r="C3015" s="3" t="s">
        <v>3</v>
      </c>
    </row>
    <row r="3016">
      <c r="A3016" s="3">
        <v>6099.0</v>
      </c>
      <c r="B3016" s="4">
        <v>45337.17685185185</v>
      </c>
      <c r="C3016" s="3" t="s">
        <v>3</v>
      </c>
    </row>
    <row r="3017">
      <c r="A3017" s="3">
        <v>6935.0</v>
      </c>
      <c r="B3017" s="4">
        <v>45337.18571759259</v>
      </c>
      <c r="C3017" s="3" t="s">
        <v>4</v>
      </c>
    </row>
    <row r="3018">
      <c r="A3018" s="3">
        <v>1010.0</v>
      </c>
      <c r="B3018" s="4">
        <v>45337.200902777775</v>
      </c>
      <c r="C3018" s="3" t="s">
        <v>3</v>
      </c>
    </row>
    <row r="3019">
      <c r="A3019" s="3">
        <v>151.0</v>
      </c>
      <c r="B3019" s="4">
        <v>45337.20342592592</v>
      </c>
      <c r="C3019" s="3" t="s">
        <v>4</v>
      </c>
    </row>
    <row r="3020">
      <c r="A3020" s="3">
        <v>2253.0</v>
      </c>
      <c r="B3020" s="4">
        <v>45337.21380787037</v>
      </c>
      <c r="C3020" s="3" t="s">
        <v>3</v>
      </c>
    </row>
    <row r="3021">
      <c r="A3021" s="3">
        <v>3471.0</v>
      </c>
      <c r="B3021" s="4">
        <v>45337.22949074074</v>
      </c>
      <c r="C3021" s="3" t="s">
        <v>3</v>
      </c>
    </row>
    <row r="3022">
      <c r="A3022" s="3">
        <v>7249.0</v>
      </c>
      <c r="B3022" s="4">
        <v>45337.25886574074</v>
      </c>
      <c r="C3022" s="3" t="s">
        <v>5</v>
      </c>
    </row>
    <row r="3023">
      <c r="A3023" s="3">
        <v>5090.0</v>
      </c>
      <c r="B3023" s="4">
        <v>45337.26354166667</v>
      </c>
      <c r="C3023" s="3" t="s">
        <v>4</v>
      </c>
    </row>
    <row r="3024">
      <c r="A3024" s="3">
        <v>4007.0</v>
      </c>
      <c r="B3024" s="4">
        <v>45337.282372685186</v>
      </c>
      <c r="C3024" s="3" t="s">
        <v>3</v>
      </c>
    </row>
    <row r="3025">
      <c r="A3025" s="3">
        <v>6022.0</v>
      </c>
      <c r="B3025" s="4">
        <v>45337.30241898148</v>
      </c>
      <c r="C3025" s="3" t="s">
        <v>3</v>
      </c>
    </row>
    <row r="3026">
      <c r="A3026" s="3">
        <v>4921.0</v>
      </c>
      <c r="B3026" s="4">
        <v>45337.32575231481</v>
      </c>
      <c r="C3026" s="3" t="s">
        <v>6</v>
      </c>
    </row>
    <row r="3027">
      <c r="A3027" s="3">
        <v>157.0</v>
      </c>
      <c r="B3027" s="4">
        <v>45337.33855324074</v>
      </c>
      <c r="C3027" s="3" t="s">
        <v>6</v>
      </c>
    </row>
    <row r="3028">
      <c r="A3028" s="3">
        <v>3976.0</v>
      </c>
      <c r="B3028" s="4">
        <v>45337.34112268518</v>
      </c>
      <c r="C3028" s="3" t="s">
        <v>6</v>
      </c>
    </row>
    <row r="3029">
      <c r="A3029" s="3">
        <v>213.0</v>
      </c>
      <c r="B3029" s="4">
        <v>45337.39525462963</v>
      </c>
      <c r="C3029" s="3" t="s">
        <v>3</v>
      </c>
    </row>
    <row r="3030">
      <c r="A3030" s="3">
        <v>6485.0</v>
      </c>
      <c r="B3030" s="4">
        <v>45337.40765046296</v>
      </c>
      <c r="C3030" s="3" t="s">
        <v>3</v>
      </c>
    </row>
    <row r="3031">
      <c r="A3031" s="3">
        <v>6305.0</v>
      </c>
      <c r="B3031" s="4">
        <v>45337.40849537037</v>
      </c>
      <c r="C3031" s="3" t="s">
        <v>5</v>
      </c>
    </row>
    <row r="3032">
      <c r="A3032" s="3">
        <v>3190.0</v>
      </c>
      <c r="B3032" s="4">
        <v>45337.41782407407</v>
      </c>
      <c r="C3032" s="3" t="s">
        <v>3</v>
      </c>
    </row>
    <row r="3033">
      <c r="A3033" s="3">
        <v>7260.0</v>
      </c>
      <c r="B3033" s="4">
        <v>45337.41983796296</v>
      </c>
      <c r="C3033" s="3" t="s">
        <v>4</v>
      </c>
    </row>
    <row r="3034">
      <c r="A3034" s="3">
        <v>1841.0</v>
      </c>
      <c r="B3034" s="4">
        <v>45337.43761574074</v>
      </c>
      <c r="C3034" s="3" t="s">
        <v>6</v>
      </c>
    </row>
    <row r="3035">
      <c r="A3035" s="3">
        <v>5787.0</v>
      </c>
      <c r="B3035" s="4">
        <v>45337.47335648148</v>
      </c>
      <c r="C3035" s="3" t="s">
        <v>4</v>
      </c>
    </row>
    <row r="3036">
      <c r="A3036" s="3">
        <v>2382.0</v>
      </c>
      <c r="B3036" s="4">
        <v>45337.47709490741</v>
      </c>
      <c r="C3036" s="3" t="s">
        <v>4</v>
      </c>
    </row>
    <row r="3037">
      <c r="A3037" s="3">
        <v>5014.0</v>
      </c>
      <c r="B3037" s="4">
        <v>45337.48746527778</v>
      </c>
      <c r="C3037" s="3" t="s">
        <v>6</v>
      </c>
    </row>
    <row r="3038">
      <c r="A3038" s="3">
        <v>6095.0</v>
      </c>
      <c r="B3038" s="4">
        <v>45337.54253472222</v>
      </c>
      <c r="C3038" s="3" t="s">
        <v>4</v>
      </c>
    </row>
    <row r="3039">
      <c r="A3039" s="3">
        <v>5357.0</v>
      </c>
      <c r="B3039" s="4">
        <v>45337.55278935185</v>
      </c>
      <c r="C3039" s="3" t="s">
        <v>3</v>
      </c>
    </row>
    <row r="3040">
      <c r="A3040" s="3">
        <v>2434.0</v>
      </c>
      <c r="B3040" s="4">
        <v>45337.56533564815</v>
      </c>
      <c r="C3040" s="3" t="s">
        <v>3</v>
      </c>
    </row>
    <row r="3041">
      <c r="A3041" s="3">
        <v>4869.0</v>
      </c>
      <c r="B3041" s="4">
        <v>45337.58626157408</v>
      </c>
      <c r="C3041" s="3" t="s">
        <v>3</v>
      </c>
    </row>
    <row r="3042">
      <c r="A3042" s="3">
        <v>7934.0</v>
      </c>
      <c r="B3042" s="4">
        <v>45337.612662037034</v>
      </c>
      <c r="C3042" s="3" t="s">
        <v>4</v>
      </c>
    </row>
    <row r="3043">
      <c r="A3043" s="3">
        <v>7588.0</v>
      </c>
      <c r="B3043" s="4">
        <v>45337.636469907404</v>
      </c>
      <c r="C3043" s="3" t="s">
        <v>3</v>
      </c>
    </row>
    <row r="3044">
      <c r="A3044" s="3">
        <v>4708.0</v>
      </c>
      <c r="B3044" s="4">
        <v>45337.663819444446</v>
      </c>
      <c r="C3044" s="3" t="s">
        <v>3</v>
      </c>
    </row>
    <row r="3045">
      <c r="A3045" s="3">
        <v>5929.0</v>
      </c>
      <c r="B3045" s="4">
        <v>45337.69994212963</v>
      </c>
      <c r="C3045" s="3" t="s">
        <v>6</v>
      </c>
    </row>
    <row r="3046">
      <c r="A3046" s="3">
        <v>4425.0</v>
      </c>
      <c r="B3046" s="4">
        <v>45337.706724537034</v>
      </c>
      <c r="C3046" s="3" t="s">
        <v>7</v>
      </c>
    </row>
    <row r="3047">
      <c r="A3047" s="3">
        <v>7537.0</v>
      </c>
      <c r="B3047" s="4">
        <v>45337.71195601852</v>
      </c>
      <c r="C3047" s="3" t="s">
        <v>6</v>
      </c>
    </row>
    <row r="3048">
      <c r="A3048" s="3">
        <v>5608.0</v>
      </c>
      <c r="B3048" s="4">
        <v>45337.74015046296</v>
      </c>
      <c r="C3048" s="3" t="s">
        <v>6</v>
      </c>
    </row>
    <row r="3049">
      <c r="A3049" s="3">
        <v>1859.0</v>
      </c>
      <c r="B3049" s="4">
        <v>45337.8190625</v>
      </c>
      <c r="C3049" s="3" t="s">
        <v>6</v>
      </c>
    </row>
    <row r="3050">
      <c r="A3050" s="3">
        <v>2689.0</v>
      </c>
      <c r="B3050" s="4">
        <v>45337.82952546296</v>
      </c>
      <c r="C3050" s="3" t="s">
        <v>7</v>
      </c>
    </row>
    <row r="3051">
      <c r="A3051" s="3">
        <v>6345.0</v>
      </c>
      <c r="B3051" s="4">
        <v>45337.842777777776</v>
      </c>
      <c r="C3051" s="3" t="s">
        <v>5</v>
      </c>
    </row>
    <row r="3052">
      <c r="A3052" s="3">
        <v>6975.0</v>
      </c>
      <c r="B3052" s="4">
        <v>45337.86063657407</v>
      </c>
      <c r="C3052" s="3" t="s">
        <v>3</v>
      </c>
    </row>
    <row r="3053">
      <c r="A3053" s="3">
        <v>5115.0</v>
      </c>
      <c r="B3053" s="4">
        <v>45337.86516203704</v>
      </c>
      <c r="C3053" s="3" t="s">
        <v>3</v>
      </c>
    </row>
    <row r="3054">
      <c r="A3054" s="3">
        <v>7934.0</v>
      </c>
      <c r="B3054" s="4">
        <v>45337.886608796296</v>
      </c>
      <c r="C3054" s="3" t="s">
        <v>3</v>
      </c>
    </row>
    <row r="3055">
      <c r="A3055" s="3">
        <v>7260.0</v>
      </c>
      <c r="B3055" s="4">
        <v>45337.89061342592</v>
      </c>
      <c r="C3055" s="3" t="s">
        <v>3</v>
      </c>
    </row>
    <row r="3056">
      <c r="A3056" s="3">
        <v>5412.0</v>
      </c>
      <c r="B3056" s="4">
        <v>45337.89952546296</v>
      </c>
      <c r="C3056" s="3" t="s">
        <v>6</v>
      </c>
    </row>
    <row r="3057">
      <c r="A3057" s="3">
        <v>1546.0</v>
      </c>
      <c r="B3057" s="4">
        <v>45337.91222222222</v>
      </c>
      <c r="C3057" s="3" t="s">
        <v>6</v>
      </c>
    </row>
    <row r="3058">
      <c r="A3058" s="3">
        <v>2985.0</v>
      </c>
      <c r="B3058" s="4">
        <v>45337.98486111111</v>
      </c>
      <c r="C3058" s="3" t="s">
        <v>3</v>
      </c>
    </row>
    <row r="3059">
      <c r="A3059" s="3">
        <v>1672.0</v>
      </c>
      <c r="B3059" s="4">
        <v>45337.99537037037</v>
      </c>
      <c r="C3059" s="3" t="s">
        <v>4</v>
      </c>
    </row>
    <row r="3060">
      <c r="A3060" s="3">
        <v>2665.0</v>
      </c>
      <c r="B3060" s="4">
        <v>45338.001238425924</v>
      </c>
      <c r="C3060" s="3" t="s">
        <v>5</v>
      </c>
    </row>
    <row r="3061">
      <c r="A3061" s="3">
        <v>1050.0</v>
      </c>
      <c r="B3061" s="4">
        <v>45338.015393518515</v>
      </c>
      <c r="C3061" s="3" t="s">
        <v>4</v>
      </c>
    </row>
    <row r="3062">
      <c r="A3062" s="3">
        <v>255.0</v>
      </c>
      <c r="B3062" s="4">
        <v>45338.09125</v>
      </c>
      <c r="C3062" s="3" t="s">
        <v>4</v>
      </c>
    </row>
    <row r="3063">
      <c r="A3063" s="3">
        <v>991.0</v>
      </c>
      <c r="B3063" s="4">
        <v>45338.099756944444</v>
      </c>
      <c r="C3063" s="3" t="s">
        <v>4</v>
      </c>
    </row>
    <row r="3064">
      <c r="A3064" s="3">
        <v>1840.0</v>
      </c>
      <c r="B3064" s="4">
        <v>45338.11306712963</v>
      </c>
      <c r="C3064" s="3" t="s">
        <v>6</v>
      </c>
    </row>
    <row r="3065">
      <c r="A3065" s="3">
        <v>4895.0</v>
      </c>
      <c r="B3065" s="4">
        <v>45338.13849537037</v>
      </c>
      <c r="C3065" s="3" t="s">
        <v>7</v>
      </c>
    </row>
    <row r="3066">
      <c r="A3066" s="3">
        <v>1702.0</v>
      </c>
      <c r="B3066" s="4">
        <v>45338.15556712963</v>
      </c>
      <c r="C3066" s="3" t="s">
        <v>7</v>
      </c>
    </row>
    <row r="3067">
      <c r="A3067" s="3">
        <v>415.0</v>
      </c>
      <c r="B3067" s="4">
        <v>45338.15704861111</v>
      </c>
      <c r="C3067" s="3" t="s">
        <v>3</v>
      </c>
    </row>
    <row r="3068">
      <c r="A3068" s="3">
        <v>293.0</v>
      </c>
      <c r="B3068" s="4">
        <v>45338.15859953704</v>
      </c>
      <c r="C3068" s="3" t="s">
        <v>3</v>
      </c>
    </row>
    <row r="3069">
      <c r="A3069" s="3">
        <v>333.0</v>
      </c>
      <c r="B3069" s="4">
        <v>45338.16122685185</v>
      </c>
      <c r="C3069" s="3" t="s">
        <v>3</v>
      </c>
    </row>
    <row r="3070">
      <c r="A3070" s="3">
        <v>74.0</v>
      </c>
      <c r="B3070" s="4">
        <v>45338.19012731482</v>
      </c>
      <c r="C3070" s="3" t="s">
        <v>3</v>
      </c>
    </row>
    <row r="3071">
      <c r="A3071" s="3">
        <v>7133.0</v>
      </c>
      <c r="B3071" s="4">
        <v>45338.24827546296</v>
      </c>
      <c r="C3071" s="3" t="s">
        <v>5</v>
      </c>
    </row>
    <row r="3072">
      <c r="A3072" s="3">
        <v>5640.0</v>
      </c>
      <c r="B3072" s="4">
        <v>45338.25803240741</v>
      </c>
      <c r="C3072" s="3" t="s">
        <v>4</v>
      </c>
    </row>
    <row r="3073">
      <c r="A3073" s="3">
        <v>122.0</v>
      </c>
      <c r="B3073" s="4">
        <v>45338.26592592592</v>
      </c>
      <c r="C3073" s="3" t="s">
        <v>7</v>
      </c>
    </row>
    <row r="3074">
      <c r="A3074" s="3">
        <v>3014.0</v>
      </c>
      <c r="B3074" s="4">
        <v>45338.2815162037</v>
      </c>
      <c r="C3074" s="3" t="s">
        <v>3</v>
      </c>
    </row>
    <row r="3075">
      <c r="A3075" s="3">
        <v>6814.0</v>
      </c>
      <c r="B3075" s="4">
        <v>45338.296122685184</v>
      </c>
      <c r="C3075" s="3" t="s">
        <v>4</v>
      </c>
    </row>
    <row r="3076">
      <c r="A3076" s="3">
        <v>1791.0</v>
      </c>
      <c r="B3076" s="4">
        <v>45338.29635416667</v>
      </c>
      <c r="C3076" s="3" t="s">
        <v>3</v>
      </c>
    </row>
    <row r="3077">
      <c r="A3077" s="3">
        <v>2528.0</v>
      </c>
      <c r="B3077" s="4">
        <v>45338.30366898148</v>
      </c>
      <c r="C3077" s="3" t="s">
        <v>4</v>
      </c>
    </row>
    <row r="3078">
      <c r="A3078" s="3">
        <v>3978.0</v>
      </c>
      <c r="B3078" s="4">
        <v>45338.30569444445</v>
      </c>
      <c r="C3078" s="3" t="s">
        <v>6</v>
      </c>
    </row>
    <row r="3079">
      <c r="A3079" s="3">
        <v>7133.0</v>
      </c>
      <c r="B3079" s="4">
        <v>45338.307546296295</v>
      </c>
      <c r="C3079" s="3" t="s">
        <v>3</v>
      </c>
    </row>
    <row r="3080">
      <c r="A3080" s="3">
        <v>3292.0</v>
      </c>
      <c r="B3080" s="4">
        <v>45338.32074074074</v>
      </c>
      <c r="C3080" s="3" t="s">
        <v>3</v>
      </c>
    </row>
    <row r="3081">
      <c r="A3081" s="3">
        <v>809.0</v>
      </c>
      <c r="B3081" s="4">
        <v>45338.38527777778</v>
      </c>
      <c r="C3081" s="3" t="s">
        <v>3</v>
      </c>
    </row>
    <row r="3082">
      <c r="A3082" s="3">
        <v>2665.0</v>
      </c>
      <c r="B3082" s="4">
        <v>45338.387974537036</v>
      </c>
      <c r="C3082" s="3" t="s">
        <v>6</v>
      </c>
    </row>
    <row r="3083">
      <c r="A3083" s="3">
        <v>2943.0</v>
      </c>
      <c r="B3083" s="4">
        <v>45338.3934375</v>
      </c>
      <c r="C3083" s="3" t="s">
        <v>3</v>
      </c>
    </row>
    <row r="3084">
      <c r="A3084" s="3">
        <v>2250.0</v>
      </c>
      <c r="B3084" s="4">
        <v>45338.40725694445</v>
      </c>
      <c r="C3084" s="3" t="s">
        <v>3</v>
      </c>
    </row>
    <row r="3085">
      <c r="A3085" s="3">
        <v>6863.0</v>
      </c>
      <c r="B3085" s="4">
        <v>45338.41278935185</v>
      </c>
      <c r="C3085" s="3" t="s">
        <v>3</v>
      </c>
    </row>
    <row r="3086">
      <c r="A3086" s="3">
        <v>7547.0</v>
      </c>
      <c r="B3086" s="4">
        <v>45338.44086805556</v>
      </c>
      <c r="C3086" s="3" t="s">
        <v>7</v>
      </c>
    </row>
    <row r="3087">
      <c r="A3087" s="3">
        <v>4007.0</v>
      </c>
      <c r="B3087" s="4">
        <v>45338.444074074076</v>
      </c>
      <c r="C3087" s="3" t="s">
        <v>4</v>
      </c>
    </row>
    <row r="3088">
      <c r="A3088" s="3">
        <v>7520.0</v>
      </c>
      <c r="B3088" s="4">
        <v>45338.482523148145</v>
      </c>
      <c r="C3088" s="3" t="s">
        <v>3</v>
      </c>
    </row>
    <row r="3089">
      <c r="A3089" s="3">
        <v>1702.0</v>
      </c>
      <c r="B3089" s="4">
        <v>45338.50059027778</v>
      </c>
      <c r="C3089" s="3" t="s">
        <v>5</v>
      </c>
    </row>
    <row r="3090">
      <c r="A3090" s="3">
        <v>922.0</v>
      </c>
      <c r="B3090" s="4">
        <v>45338.502650462964</v>
      </c>
      <c r="C3090" s="3" t="s">
        <v>6</v>
      </c>
    </row>
    <row r="3091">
      <c r="A3091" s="3">
        <v>255.0</v>
      </c>
      <c r="B3091" s="4">
        <v>45338.53636574074</v>
      </c>
      <c r="C3091" s="3" t="s">
        <v>3</v>
      </c>
    </row>
    <row r="3092">
      <c r="A3092" s="3">
        <v>5955.0</v>
      </c>
      <c r="B3092" s="4">
        <v>45338.57465277778</v>
      </c>
      <c r="C3092" s="3" t="s">
        <v>3</v>
      </c>
    </row>
    <row r="3093">
      <c r="A3093" s="3">
        <v>6722.0</v>
      </c>
      <c r="B3093" s="4">
        <v>45338.592511574076</v>
      </c>
      <c r="C3093" s="3" t="s">
        <v>4</v>
      </c>
    </row>
    <row r="3094">
      <c r="A3094" s="3">
        <v>6590.0</v>
      </c>
      <c r="B3094" s="4">
        <v>45338.59782407407</v>
      </c>
      <c r="C3094" s="3" t="s">
        <v>6</v>
      </c>
    </row>
    <row r="3095">
      <c r="A3095" s="3">
        <v>7845.0</v>
      </c>
      <c r="B3095" s="4">
        <v>45338.59967592593</v>
      </c>
      <c r="C3095" s="3" t="s">
        <v>3</v>
      </c>
    </row>
    <row r="3096">
      <c r="A3096" s="3">
        <v>4468.0</v>
      </c>
      <c r="B3096" s="4">
        <v>45338.61038194445</v>
      </c>
      <c r="C3096" s="3" t="s">
        <v>3</v>
      </c>
    </row>
    <row r="3097">
      <c r="A3097" s="3">
        <v>2253.0</v>
      </c>
      <c r="B3097" s="4">
        <v>45338.61337962963</v>
      </c>
      <c r="C3097" s="3" t="s">
        <v>4</v>
      </c>
    </row>
    <row r="3098">
      <c r="A3098" s="3">
        <v>7632.0</v>
      </c>
      <c r="B3098" s="4">
        <v>45338.629907407405</v>
      </c>
      <c r="C3098" s="3" t="s">
        <v>3</v>
      </c>
    </row>
    <row r="3099">
      <c r="A3099" s="3">
        <v>1840.0</v>
      </c>
      <c r="B3099" s="4">
        <v>45338.632418981484</v>
      </c>
      <c r="C3099" s="3" t="s">
        <v>4</v>
      </c>
    </row>
    <row r="3100">
      <c r="A3100" s="3">
        <v>228.0</v>
      </c>
      <c r="B3100" s="4">
        <v>45338.67869212963</v>
      </c>
      <c r="C3100" s="3" t="s">
        <v>3</v>
      </c>
    </row>
    <row r="3101">
      <c r="A3101" s="3">
        <v>2253.0</v>
      </c>
      <c r="B3101" s="4">
        <v>45338.68625</v>
      </c>
      <c r="C3101" s="3" t="s">
        <v>6</v>
      </c>
    </row>
    <row r="3102">
      <c r="A3102" s="3">
        <v>4177.0</v>
      </c>
      <c r="B3102" s="4">
        <v>45338.70234953704</v>
      </c>
      <c r="C3102" s="3" t="s">
        <v>6</v>
      </c>
    </row>
    <row r="3103">
      <c r="A3103" s="3">
        <v>6345.0</v>
      </c>
      <c r="B3103" s="4">
        <v>45338.74015046296</v>
      </c>
      <c r="C3103" s="3" t="s">
        <v>7</v>
      </c>
    </row>
    <row r="3104">
      <c r="A3104" s="3">
        <v>5983.0</v>
      </c>
      <c r="B3104" s="4">
        <v>45338.74638888889</v>
      </c>
      <c r="C3104" s="3" t="s">
        <v>3</v>
      </c>
    </row>
    <row r="3105">
      <c r="A3105" s="3">
        <v>415.0</v>
      </c>
      <c r="B3105" s="4">
        <v>45338.78980324074</v>
      </c>
      <c r="C3105" s="3" t="s">
        <v>4</v>
      </c>
    </row>
    <row r="3106">
      <c r="A3106" s="3">
        <v>5787.0</v>
      </c>
      <c r="B3106" s="4">
        <v>45338.81366898148</v>
      </c>
      <c r="C3106" s="3" t="s">
        <v>5</v>
      </c>
    </row>
    <row r="3107">
      <c r="A3107" s="3">
        <v>5539.0</v>
      </c>
      <c r="B3107" s="4">
        <v>45338.853784722225</v>
      </c>
      <c r="C3107" s="3" t="s">
        <v>3</v>
      </c>
    </row>
    <row r="3108">
      <c r="A3108" s="3">
        <v>7012.0</v>
      </c>
      <c r="B3108" s="4">
        <v>45338.86797453704</v>
      </c>
      <c r="C3108" s="3" t="s">
        <v>3</v>
      </c>
    </row>
    <row r="3109">
      <c r="A3109" s="3">
        <v>4895.0</v>
      </c>
      <c r="B3109" s="4">
        <v>45338.879699074074</v>
      </c>
      <c r="C3109" s="3" t="s">
        <v>6</v>
      </c>
    </row>
    <row r="3110">
      <c r="A3110" s="3">
        <v>333.0</v>
      </c>
      <c r="B3110" s="4">
        <v>45338.88732638889</v>
      </c>
      <c r="C3110" s="3" t="s">
        <v>5</v>
      </c>
    </row>
    <row r="3111">
      <c r="A3111" s="3">
        <v>1050.0</v>
      </c>
      <c r="B3111" s="4">
        <v>45338.903761574074</v>
      </c>
      <c r="C3111" s="3" t="s">
        <v>3</v>
      </c>
    </row>
    <row r="3112">
      <c r="A3112" s="3">
        <v>1245.0</v>
      </c>
      <c r="B3112" s="4">
        <v>45338.905694444446</v>
      </c>
      <c r="C3112" s="3" t="s">
        <v>3</v>
      </c>
    </row>
    <row r="3113">
      <c r="A3113" s="3">
        <v>5824.0</v>
      </c>
      <c r="B3113" s="4">
        <v>45338.91502314815</v>
      </c>
      <c r="C3113" s="3" t="s">
        <v>3</v>
      </c>
    </row>
    <row r="3114">
      <c r="A3114" s="3">
        <v>122.0</v>
      </c>
      <c r="B3114" s="4">
        <v>45338.916655092595</v>
      </c>
      <c r="C3114" s="3" t="s">
        <v>5</v>
      </c>
    </row>
    <row r="3115">
      <c r="A3115" s="3">
        <v>411.0</v>
      </c>
      <c r="B3115" s="4">
        <v>45338.92826388889</v>
      </c>
      <c r="C3115" s="3" t="s">
        <v>3</v>
      </c>
    </row>
    <row r="3116">
      <c r="A3116" s="3">
        <v>497.0</v>
      </c>
      <c r="B3116" s="4">
        <v>45338.95337962963</v>
      </c>
      <c r="C3116" s="3" t="s">
        <v>3</v>
      </c>
    </row>
    <row r="3117">
      <c r="A3117" s="3">
        <v>7673.0</v>
      </c>
      <c r="B3117" s="4">
        <v>45338.97430555556</v>
      </c>
      <c r="C3117" s="3" t="s">
        <v>3</v>
      </c>
    </row>
    <row r="3118">
      <c r="A3118" s="3">
        <v>5047.0</v>
      </c>
      <c r="B3118" s="4">
        <v>45338.97571759259</v>
      </c>
      <c r="C3118" s="3" t="s">
        <v>3</v>
      </c>
    </row>
    <row r="3119">
      <c r="A3119" s="3">
        <v>7260.0</v>
      </c>
      <c r="B3119" s="4">
        <v>45338.979537037034</v>
      </c>
      <c r="C3119" s="3" t="s">
        <v>5</v>
      </c>
    </row>
    <row r="3120">
      <c r="A3120" s="3">
        <v>243.0</v>
      </c>
      <c r="B3120" s="4">
        <v>45338.9877662037</v>
      </c>
      <c r="C3120" s="3" t="s">
        <v>3</v>
      </c>
    </row>
    <row r="3121">
      <c r="A3121" s="3">
        <v>4985.0</v>
      </c>
      <c r="B3121" s="4">
        <v>45338.99768518518</v>
      </c>
      <c r="C3121" s="3" t="s">
        <v>3</v>
      </c>
    </row>
    <row r="3122">
      <c r="A3122" s="3">
        <v>6110.0</v>
      </c>
      <c r="B3122" s="4">
        <v>45339.01578703704</v>
      </c>
      <c r="C3122" s="3" t="s">
        <v>3</v>
      </c>
    </row>
    <row r="3123">
      <c r="A3123" s="3">
        <v>311.0</v>
      </c>
      <c r="B3123" s="4">
        <v>45339.04381944444</v>
      </c>
      <c r="C3123" s="3" t="s">
        <v>4</v>
      </c>
    </row>
    <row r="3124">
      <c r="A3124" s="3">
        <v>7630.0</v>
      </c>
      <c r="B3124" s="4">
        <v>45339.073530092595</v>
      </c>
      <c r="C3124" s="3" t="s">
        <v>3</v>
      </c>
    </row>
    <row r="3125">
      <c r="A3125" s="3">
        <v>2744.0</v>
      </c>
      <c r="B3125" s="4">
        <v>45339.0765625</v>
      </c>
      <c r="C3125" s="3" t="s">
        <v>3</v>
      </c>
    </row>
    <row r="3126">
      <c r="A3126" s="3">
        <v>574.0</v>
      </c>
      <c r="B3126" s="4">
        <v>45339.11821759259</v>
      </c>
      <c r="C3126" s="3" t="s">
        <v>7</v>
      </c>
    </row>
    <row r="3127">
      <c r="A3127" s="3">
        <v>2575.0</v>
      </c>
      <c r="B3127" s="4">
        <v>45339.135567129626</v>
      </c>
      <c r="C3127" s="3" t="s">
        <v>6</v>
      </c>
    </row>
    <row r="3128">
      <c r="A3128" s="3">
        <v>1088.0</v>
      </c>
      <c r="B3128" s="4">
        <v>45339.18119212963</v>
      </c>
      <c r="C3128" s="3" t="s">
        <v>6</v>
      </c>
    </row>
    <row r="3129">
      <c r="A3129" s="3">
        <v>9.0</v>
      </c>
      <c r="B3129" s="4">
        <v>45339.186840277776</v>
      </c>
      <c r="C3129" s="3" t="s">
        <v>6</v>
      </c>
    </row>
    <row r="3130">
      <c r="A3130" s="3">
        <v>7701.0</v>
      </c>
      <c r="B3130" s="4">
        <v>45339.20664351852</v>
      </c>
      <c r="C3130" s="3" t="s">
        <v>3</v>
      </c>
    </row>
    <row r="3131">
      <c r="A3131" s="3">
        <v>7870.0</v>
      </c>
      <c r="B3131" s="4">
        <v>45339.22309027778</v>
      </c>
      <c r="C3131" s="3" t="s">
        <v>3</v>
      </c>
    </row>
    <row r="3132">
      <c r="A3132" s="3">
        <v>1748.0</v>
      </c>
      <c r="B3132" s="4">
        <v>45339.27134259259</v>
      </c>
      <c r="C3132" s="3" t="s">
        <v>3</v>
      </c>
    </row>
    <row r="3133">
      <c r="A3133" s="3">
        <v>7664.0</v>
      </c>
      <c r="B3133" s="4">
        <v>45339.28150462963</v>
      </c>
      <c r="C3133" s="3" t="s">
        <v>3</v>
      </c>
    </row>
    <row r="3134">
      <c r="A3134" s="3">
        <v>5357.0</v>
      </c>
      <c r="B3134" s="4">
        <v>45339.28549768519</v>
      </c>
      <c r="C3134" s="3" t="s">
        <v>5</v>
      </c>
    </row>
    <row r="3135">
      <c r="A3135" s="3">
        <v>5357.0</v>
      </c>
      <c r="B3135" s="4">
        <v>45339.28734953704</v>
      </c>
      <c r="C3135" s="3" t="s">
        <v>4</v>
      </c>
    </row>
    <row r="3136">
      <c r="A3136" s="3">
        <v>2126.0</v>
      </c>
      <c r="B3136" s="4">
        <v>45339.30085648148</v>
      </c>
      <c r="C3136" s="3" t="s">
        <v>3</v>
      </c>
    </row>
    <row r="3137">
      <c r="A3137" s="3">
        <v>3866.0</v>
      </c>
      <c r="B3137" s="4">
        <v>45339.31013888889</v>
      </c>
      <c r="C3137" s="3" t="s">
        <v>4</v>
      </c>
    </row>
    <row r="3138">
      <c r="A3138" s="3">
        <v>462.0</v>
      </c>
      <c r="B3138" s="4">
        <v>45339.32467592593</v>
      </c>
      <c r="C3138" s="3" t="s">
        <v>4</v>
      </c>
    </row>
    <row r="3139">
      <c r="A3139" s="3">
        <v>551.0</v>
      </c>
      <c r="B3139" s="4">
        <v>45339.33184027778</v>
      </c>
      <c r="C3139" s="3" t="s">
        <v>5</v>
      </c>
    </row>
    <row r="3140">
      <c r="A3140" s="3">
        <v>411.0</v>
      </c>
      <c r="B3140" s="4">
        <v>45339.362175925926</v>
      </c>
      <c r="C3140" s="3" t="s">
        <v>7</v>
      </c>
    </row>
    <row r="3141">
      <c r="A3141" s="3">
        <v>1514.0</v>
      </c>
      <c r="B3141" s="4">
        <v>45339.37053240741</v>
      </c>
      <c r="C3141" s="3" t="s">
        <v>3</v>
      </c>
    </row>
    <row r="3142">
      <c r="A3142" s="3">
        <v>1818.0</v>
      </c>
      <c r="B3142" s="4">
        <v>45339.399039351854</v>
      </c>
      <c r="C3142" s="3" t="s">
        <v>5</v>
      </c>
    </row>
    <row r="3143">
      <c r="A3143" s="3">
        <v>1563.0</v>
      </c>
      <c r="B3143" s="4">
        <v>45339.42760416667</v>
      </c>
      <c r="C3143" s="3" t="s">
        <v>3</v>
      </c>
    </row>
    <row r="3144">
      <c r="A3144" s="3">
        <v>3297.0</v>
      </c>
      <c r="B3144" s="4">
        <v>45339.43064814815</v>
      </c>
      <c r="C3144" s="3" t="s">
        <v>6</v>
      </c>
    </row>
    <row r="3145">
      <c r="A3145" s="3">
        <v>5539.0</v>
      </c>
      <c r="B3145" s="4">
        <v>45339.43148148148</v>
      </c>
      <c r="C3145" s="3" t="s">
        <v>4</v>
      </c>
    </row>
    <row r="3146">
      <c r="A3146" s="3">
        <v>7217.0</v>
      </c>
      <c r="B3146" s="4">
        <v>45339.44258101852</v>
      </c>
      <c r="C3146" s="3" t="s">
        <v>3</v>
      </c>
    </row>
    <row r="3147">
      <c r="A3147" s="3">
        <v>1010.0</v>
      </c>
      <c r="B3147" s="4">
        <v>45339.45326388889</v>
      </c>
      <c r="C3147" s="3" t="s">
        <v>4</v>
      </c>
    </row>
    <row r="3148">
      <c r="A3148" s="3">
        <v>7217.0</v>
      </c>
      <c r="B3148" s="4">
        <v>45339.470046296294</v>
      </c>
      <c r="C3148" s="3" t="s">
        <v>4</v>
      </c>
    </row>
    <row r="3149">
      <c r="A3149" s="3">
        <v>411.0</v>
      </c>
      <c r="B3149" s="4">
        <v>45339.47589120371</v>
      </c>
      <c r="C3149" s="3" t="s">
        <v>5</v>
      </c>
    </row>
    <row r="3150">
      <c r="A3150" s="3">
        <v>6707.0</v>
      </c>
      <c r="B3150" s="4">
        <v>45339.50414351852</v>
      </c>
      <c r="C3150" s="3" t="s">
        <v>7</v>
      </c>
    </row>
    <row r="3151">
      <c r="A3151" s="3">
        <v>6540.0</v>
      </c>
      <c r="B3151" s="4">
        <v>45339.5183912037</v>
      </c>
      <c r="C3151" s="3" t="s">
        <v>3</v>
      </c>
    </row>
    <row r="3152">
      <c r="A3152" s="3">
        <v>9.0</v>
      </c>
      <c r="B3152" s="4">
        <v>45339.531319444446</v>
      </c>
      <c r="C3152" s="3" t="s">
        <v>5</v>
      </c>
    </row>
    <row r="3153">
      <c r="A3153" s="3">
        <v>1296.0</v>
      </c>
      <c r="B3153" s="4">
        <v>45339.537210648145</v>
      </c>
      <c r="C3153" s="3" t="s">
        <v>3</v>
      </c>
    </row>
    <row r="3154">
      <c r="A3154" s="3">
        <v>6240.0</v>
      </c>
      <c r="B3154" s="4">
        <v>45339.53771990741</v>
      </c>
      <c r="C3154" s="3" t="s">
        <v>3</v>
      </c>
    </row>
    <row r="3155">
      <c r="A3155" s="3">
        <v>3297.0</v>
      </c>
      <c r="B3155" s="4">
        <v>45339.54644675926</v>
      </c>
      <c r="C3155" s="3" t="s">
        <v>5</v>
      </c>
    </row>
    <row r="3156">
      <c r="A3156" s="3">
        <v>3930.0</v>
      </c>
      <c r="B3156" s="4">
        <v>45339.54961805556</v>
      </c>
      <c r="C3156" s="3" t="s">
        <v>3</v>
      </c>
    </row>
    <row r="3157">
      <c r="A3157" s="3">
        <v>6863.0</v>
      </c>
      <c r="B3157" s="4">
        <v>45339.55390046296</v>
      </c>
      <c r="C3157" s="3" t="s">
        <v>5</v>
      </c>
    </row>
    <row r="3158">
      <c r="A3158" s="3">
        <v>4564.0</v>
      </c>
      <c r="B3158" s="4">
        <v>45339.579375</v>
      </c>
      <c r="C3158" s="3" t="s">
        <v>3</v>
      </c>
    </row>
    <row r="3159">
      <c r="A3159" s="3">
        <v>2261.0</v>
      </c>
      <c r="B3159" s="4">
        <v>45339.58758101852</v>
      </c>
      <c r="C3159" s="3" t="s">
        <v>3</v>
      </c>
    </row>
    <row r="3160">
      <c r="A3160" s="3">
        <v>448.0</v>
      </c>
      <c r="B3160" s="4">
        <v>45339.59756944444</v>
      </c>
      <c r="C3160" s="3" t="s">
        <v>6</v>
      </c>
    </row>
    <row r="3161">
      <c r="A3161" s="3">
        <v>881.0</v>
      </c>
      <c r="B3161" s="4">
        <v>45339.61844907407</v>
      </c>
      <c r="C3161" s="3" t="s">
        <v>4</v>
      </c>
    </row>
    <row r="3162">
      <c r="A3162" s="3">
        <v>6305.0</v>
      </c>
      <c r="B3162" s="4">
        <v>45339.61859953704</v>
      </c>
      <c r="C3162" s="3" t="s">
        <v>6</v>
      </c>
    </row>
    <row r="3163">
      <c r="A3163" s="3">
        <v>7588.0</v>
      </c>
      <c r="B3163" s="4">
        <v>45339.64208333333</v>
      </c>
      <c r="C3163" s="3" t="s">
        <v>6</v>
      </c>
    </row>
    <row r="3164">
      <c r="A3164" s="3">
        <v>7292.0</v>
      </c>
      <c r="B3164" s="4">
        <v>45339.695381944446</v>
      </c>
      <c r="C3164" s="3" t="s">
        <v>3</v>
      </c>
    </row>
    <row r="3165">
      <c r="A3165" s="3">
        <v>3471.0</v>
      </c>
      <c r="B3165" s="4">
        <v>45339.707766203705</v>
      </c>
      <c r="C3165" s="3" t="s">
        <v>4</v>
      </c>
    </row>
    <row r="3166">
      <c r="A3166" s="3">
        <v>2261.0</v>
      </c>
      <c r="B3166" s="4">
        <v>45339.728541666664</v>
      </c>
      <c r="C3166" s="3" t="s">
        <v>5</v>
      </c>
    </row>
    <row r="3167">
      <c r="A3167" s="3">
        <v>7664.0</v>
      </c>
      <c r="B3167" s="4">
        <v>45339.730729166666</v>
      </c>
      <c r="C3167" s="3" t="s">
        <v>4</v>
      </c>
    </row>
    <row r="3168">
      <c r="A3168" s="3">
        <v>5047.0</v>
      </c>
      <c r="B3168" s="4">
        <v>45339.73332175926</v>
      </c>
      <c r="C3168" s="3" t="s">
        <v>4</v>
      </c>
    </row>
    <row r="3169">
      <c r="A3169" s="3">
        <v>6252.0</v>
      </c>
      <c r="B3169" s="4">
        <v>45339.73609953704</v>
      </c>
      <c r="C3169" s="3" t="s">
        <v>3</v>
      </c>
    </row>
    <row r="3170">
      <c r="A3170" s="3">
        <v>2618.0</v>
      </c>
      <c r="B3170" s="4">
        <v>45339.747245370374</v>
      </c>
      <c r="C3170" s="3" t="s">
        <v>3</v>
      </c>
    </row>
    <row r="3171">
      <c r="A3171" s="3">
        <v>3027.0</v>
      </c>
      <c r="B3171" s="4">
        <v>45339.76053240741</v>
      </c>
      <c r="C3171" s="3" t="s">
        <v>3</v>
      </c>
    </row>
    <row r="3172">
      <c r="A3172" s="3">
        <v>5503.0</v>
      </c>
      <c r="B3172" s="4">
        <v>45339.765856481485</v>
      </c>
      <c r="C3172" s="3" t="s">
        <v>4</v>
      </c>
    </row>
    <row r="3173">
      <c r="A3173" s="3">
        <v>3624.0</v>
      </c>
      <c r="B3173" s="4">
        <v>45339.76652777778</v>
      </c>
      <c r="C3173" s="3" t="s">
        <v>3</v>
      </c>
    </row>
    <row r="3174">
      <c r="A3174" s="3">
        <v>9.0</v>
      </c>
      <c r="B3174" s="4">
        <v>45339.778645833336</v>
      </c>
      <c r="C3174" s="3" t="s">
        <v>4</v>
      </c>
    </row>
    <row r="3175">
      <c r="A3175" s="3">
        <v>2690.0</v>
      </c>
      <c r="B3175" s="4">
        <v>45339.81594907407</v>
      </c>
      <c r="C3175" s="3" t="s">
        <v>3</v>
      </c>
    </row>
    <row r="3176">
      <c r="A3176" s="3">
        <v>7632.0</v>
      </c>
      <c r="B3176" s="4">
        <v>45339.838125</v>
      </c>
      <c r="C3176" s="3" t="s">
        <v>4</v>
      </c>
    </row>
    <row r="3177">
      <c r="A3177" s="3">
        <v>6707.0</v>
      </c>
      <c r="B3177" s="4">
        <v>45339.84611111111</v>
      </c>
      <c r="C3177" s="3" t="s">
        <v>6</v>
      </c>
    </row>
    <row r="3178">
      <c r="A3178" s="3">
        <v>5503.0</v>
      </c>
      <c r="B3178" s="4">
        <v>45339.86309027778</v>
      </c>
      <c r="C3178" s="3" t="s">
        <v>3</v>
      </c>
    </row>
    <row r="3179">
      <c r="A3179" s="3">
        <v>881.0</v>
      </c>
      <c r="B3179" s="4">
        <v>45339.89045138889</v>
      </c>
      <c r="C3179" s="3" t="s">
        <v>3</v>
      </c>
    </row>
    <row r="3180">
      <c r="A3180" s="3">
        <v>2440.0</v>
      </c>
      <c r="B3180" s="4">
        <v>45339.898356481484</v>
      </c>
      <c r="C3180" s="3" t="s">
        <v>6</v>
      </c>
    </row>
    <row r="3181">
      <c r="A3181" s="3">
        <v>4157.0</v>
      </c>
      <c r="B3181" s="4">
        <v>45339.906689814816</v>
      </c>
      <c r="C3181" s="3" t="s">
        <v>3</v>
      </c>
    </row>
    <row r="3182">
      <c r="A3182" s="3">
        <v>5115.0</v>
      </c>
      <c r="B3182" s="4">
        <v>45340.02274305555</v>
      </c>
      <c r="C3182" s="3" t="s">
        <v>4</v>
      </c>
    </row>
    <row r="3183">
      <c r="A3183" s="3">
        <v>7033.0</v>
      </c>
      <c r="B3183" s="4">
        <v>45340.05248842593</v>
      </c>
      <c r="C3183" s="3" t="s">
        <v>3</v>
      </c>
    </row>
    <row r="3184">
      <c r="A3184" s="3">
        <v>3862.0</v>
      </c>
      <c r="B3184" s="4">
        <v>45340.06616898148</v>
      </c>
      <c r="C3184" s="3" t="s">
        <v>5</v>
      </c>
    </row>
    <row r="3185">
      <c r="A3185" s="3">
        <v>2704.0</v>
      </c>
      <c r="B3185" s="4">
        <v>45340.06689814815</v>
      </c>
      <c r="C3185" s="3" t="s">
        <v>3</v>
      </c>
    </row>
    <row r="3186">
      <c r="A3186" s="3">
        <v>1563.0</v>
      </c>
      <c r="B3186" s="4">
        <v>45340.08603009259</v>
      </c>
      <c r="C3186" s="3" t="s">
        <v>4</v>
      </c>
    </row>
    <row r="3187">
      <c r="A3187" s="3">
        <v>6233.0</v>
      </c>
      <c r="B3187" s="4">
        <v>45340.091944444444</v>
      </c>
      <c r="C3187" s="3" t="s">
        <v>3</v>
      </c>
    </row>
    <row r="3188">
      <c r="A3188" s="3">
        <v>5335.0</v>
      </c>
      <c r="B3188" s="4">
        <v>45340.129328703704</v>
      </c>
      <c r="C3188" s="3" t="s">
        <v>3</v>
      </c>
    </row>
    <row r="3189">
      <c r="A3189" s="3">
        <v>1245.0</v>
      </c>
      <c r="B3189" s="4">
        <v>45340.13363425926</v>
      </c>
      <c r="C3189" s="3" t="s">
        <v>4</v>
      </c>
    </row>
    <row r="3190">
      <c r="A3190" s="3">
        <v>2629.0</v>
      </c>
      <c r="B3190" s="4">
        <v>45340.13630787037</v>
      </c>
      <c r="C3190" s="3" t="s">
        <v>3</v>
      </c>
    </row>
    <row r="3191">
      <c r="A3191" s="3">
        <v>6252.0</v>
      </c>
      <c r="B3191" s="4">
        <v>45340.173483796294</v>
      </c>
      <c r="C3191" s="3" t="s">
        <v>4</v>
      </c>
    </row>
    <row r="3192">
      <c r="A3192" s="3">
        <v>4414.0</v>
      </c>
      <c r="B3192" s="4">
        <v>45340.17800925926</v>
      </c>
      <c r="C3192" s="3" t="s">
        <v>3</v>
      </c>
    </row>
    <row r="3193">
      <c r="A3193" s="3">
        <v>5447.0</v>
      </c>
      <c r="B3193" s="4">
        <v>45340.19976851852</v>
      </c>
      <c r="C3193" s="3" t="s">
        <v>3</v>
      </c>
    </row>
    <row r="3194">
      <c r="A3194" s="3">
        <v>551.0</v>
      </c>
      <c r="B3194" s="4">
        <v>45340.21134259259</v>
      </c>
      <c r="C3194" s="3" t="s">
        <v>6</v>
      </c>
    </row>
    <row r="3195">
      <c r="A3195" s="3">
        <v>1196.0</v>
      </c>
      <c r="B3195" s="4">
        <v>45340.221875</v>
      </c>
      <c r="C3195" s="3" t="s">
        <v>3</v>
      </c>
    </row>
    <row r="3196">
      <c r="A3196" s="3">
        <v>1679.0</v>
      </c>
      <c r="B3196" s="4">
        <v>45340.22961805556</v>
      </c>
      <c r="C3196" s="3" t="s">
        <v>3</v>
      </c>
    </row>
    <row r="3197">
      <c r="A3197" s="3">
        <v>411.0</v>
      </c>
      <c r="B3197" s="4">
        <v>45340.25575231481</v>
      </c>
      <c r="C3197" s="3" t="s">
        <v>4</v>
      </c>
    </row>
    <row r="3198">
      <c r="A3198" s="3">
        <v>4132.0</v>
      </c>
      <c r="B3198" s="4">
        <v>45340.25755787037</v>
      </c>
      <c r="C3198" s="3" t="s">
        <v>3</v>
      </c>
    </row>
    <row r="3199">
      <c r="A3199" s="3">
        <v>2244.0</v>
      </c>
      <c r="B3199" s="4">
        <v>45340.2743287037</v>
      </c>
      <c r="C3199" s="3" t="s">
        <v>3</v>
      </c>
    </row>
    <row r="3200">
      <c r="A3200" s="3">
        <v>6240.0</v>
      </c>
      <c r="B3200" s="4">
        <v>45340.28560185185</v>
      </c>
      <c r="C3200" s="3" t="s">
        <v>4</v>
      </c>
    </row>
    <row r="3201">
      <c r="A3201" s="3">
        <v>6767.0</v>
      </c>
      <c r="B3201" s="4">
        <v>45340.30457175926</v>
      </c>
      <c r="C3201" s="3" t="s">
        <v>3</v>
      </c>
    </row>
    <row r="3202">
      <c r="A3202" s="3">
        <v>1665.0</v>
      </c>
      <c r="B3202" s="4">
        <v>45340.315034722225</v>
      </c>
      <c r="C3202" s="3" t="s">
        <v>4</v>
      </c>
    </row>
    <row r="3203">
      <c r="A3203" s="3">
        <v>622.0</v>
      </c>
      <c r="B3203" s="4">
        <v>45340.318703703706</v>
      </c>
      <c r="C3203" s="3" t="s">
        <v>3</v>
      </c>
    </row>
    <row r="3204">
      <c r="A3204" s="3">
        <v>1813.0</v>
      </c>
      <c r="B3204" s="4">
        <v>45340.32697916667</v>
      </c>
      <c r="C3204" s="3" t="s">
        <v>3</v>
      </c>
    </row>
    <row r="3205">
      <c r="A3205" s="3">
        <v>1231.0</v>
      </c>
      <c r="B3205" s="4">
        <v>45340.330243055556</v>
      </c>
      <c r="C3205" s="3" t="s">
        <v>4</v>
      </c>
    </row>
    <row r="3206">
      <c r="A3206" s="3">
        <v>5983.0</v>
      </c>
      <c r="B3206" s="4">
        <v>45340.36193287037</v>
      </c>
      <c r="C3206" s="3" t="s">
        <v>4</v>
      </c>
    </row>
    <row r="3207">
      <c r="A3207" s="3">
        <v>3862.0</v>
      </c>
      <c r="B3207" s="4">
        <v>45340.36888888889</v>
      </c>
      <c r="C3207" s="3" t="s">
        <v>3</v>
      </c>
    </row>
    <row r="3208">
      <c r="A3208" s="3">
        <v>5957.0</v>
      </c>
      <c r="B3208" s="4">
        <v>45340.38319444445</v>
      </c>
      <c r="C3208" s="3" t="s">
        <v>3</v>
      </c>
    </row>
    <row r="3209">
      <c r="A3209" s="3">
        <v>6595.0</v>
      </c>
      <c r="B3209" s="4">
        <v>45340.38857638889</v>
      </c>
      <c r="C3209" s="3" t="s">
        <v>4</v>
      </c>
    </row>
    <row r="3210">
      <c r="A3210" s="3">
        <v>7131.0</v>
      </c>
      <c r="B3210" s="4">
        <v>45340.41921296297</v>
      </c>
      <c r="C3210" s="3" t="s">
        <v>6</v>
      </c>
    </row>
    <row r="3211">
      <c r="A3211" s="3">
        <v>5360.0</v>
      </c>
      <c r="B3211" s="4">
        <v>45340.44684027778</v>
      </c>
      <c r="C3211" s="3" t="s">
        <v>4</v>
      </c>
    </row>
    <row r="3212">
      <c r="A3212" s="3">
        <v>1240.0</v>
      </c>
      <c r="B3212" s="4">
        <v>45340.44771990741</v>
      </c>
      <c r="C3212" s="3" t="s">
        <v>3</v>
      </c>
    </row>
    <row r="3213">
      <c r="A3213" s="3">
        <v>5360.0</v>
      </c>
      <c r="B3213" s="4">
        <v>45340.46224537037</v>
      </c>
      <c r="C3213" s="3" t="s">
        <v>3</v>
      </c>
    </row>
    <row r="3214">
      <c r="A3214" s="3">
        <v>2690.0</v>
      </c>
      <c r="B3214" s="4">
        <v>45340.47476851852</v>
      </c>
      <c r="C3214" s="3" t="s">
        <v>5</v>
      </c>
    </row>
    <row r="3215">
      <c r="A3215" s="3">
        <v>6379.0</v>
      </c>
      <c r="B3215" s="4">
        <v>45340.48428240741</v>
      </c>
      <c r="C3215" s="3" t="s">
        <v>3</v>
      </c>
    </row>
    <row r="3216">
      <c r="A3216" s="3">
        <v>4858.0</v>
      </c>
      <c r="B3216" s="4">
        <v>45340.49787037037</v>
      </c>
      <c r="C3216" s="3" t="s">
        <v>3</v>
      </c>
    </row>
    <row r="3217">
      <c r="A3217" s="3">
        <v>5469.0</v>
      </c>
      <c r="B3217" s="4">
        <v>45340.54902777778</v>
      </c>
      <c r="C3217" s="3" t="s">
        <v>3</v>
      </c>
    </row>
    <row r="3218">
      <c r="A3218" s="3">
        <v>5357.0</v>
      </c>
      <c r="B3218" s="4">
        <v>45340.59556712963</v>
      </c>
      <c r="C3218" s="3" t="s">
        <v>7</v>
      </c>
    </row>
    <row r="3219">
      <c r="A3219" s="3">
        <v>563.0</v>
      </c>
      <c r="B3219" s="4">
        <v>45340.60696759259</v>
      </c>
      <c r="C3219" s="3" t="s">
        <v>4</v>
      </c>
    </row>
    <row r="3220">
      <c r="A3220" s="3">
        <v>3471.0</v>
      </c>
      <c r="B3220" s="4">
        <v>45340.641076388885</v>
      </c>
      <c r="C3220" s="3" t="s">
        <v>5</v>
      </c>
    </row>
    <row r="3221">
      <c r="A3221" s="3">
        <v>333.0</v>
      </c>
      <c r="B3221" s="4">
        <v>45340.72184027778</v>
      </c>
      <c r="C3221" s="3" t="s">
        <v>4</v>
      </c>
    </row>
    <row r="3222">
      <c r="A3222" s="3">
        <v>5787.0</v>
      </c>
      <c r="B3222" s="4">
        <v>45340.736446759256</v>
      </c>
      <c r="C3222" s="3" t="s">
        <v>7</v>
      </c>
    </row>
    <row r="3223">
      <c r="A3223" s="3">
        <v>4462.0</v>
      </c>
      <c r="B3223" s="4">
        <v>45340.73787037037</v>
      </c>
      <c r="C3223" s="3" t="s">
        <v>3</v>
      </c>
    </row>
    <row r="3224">
      <c r="A3224" s="3">
        <v>2261.0</v>
      </c>
      <c r="B3224" s="4">
        <v>45340.754837962966</v>
      </c>
      <c r="C3224" s="3" t="s">
        <v>4</v>
      </c>
    </row>
    <row r="3225">
      <c r="A3225" s="3">
        <v>7040.0</v>
      </c>
      <c r="B3225" s="4">
        <v>45340.78795138889</v>
      </c>
      <c r="C3225" s="3" t="s">
        <v>3</v>
      </c>
    </row>
    <row r="3226">
      <c r="A3226" s="3">
        <v>5047.0</v>
      </c>
      <c r="B3226" s="4">
        <v>45340.79466435185</v>
      </c>
      <c r="C3226" s="3" t="s">
        <v>7</v>
      </c>
    </row>
    <row r="3227">
      <c r="A3227" s="3">
        <v>2250.0</v>
      </c>
      <c r="B3227" s="4">
        <v>45340.8022337963</v>
      </c>
      <c r="C3227" s="3" t="s">
        <v>6</v>
      </c>
    </row>
    <row r="3228">
      <c r="A3228" s="3">
        <v>661.0</v>
      </c>
      <c r="B3228" s="4">
        <v>45340.808275462965</v>
      </c>
      <c r="C3228" s="3" t="s">
        <v>3</v>
      </c>
    </row>
    <row r="3229">
      <c r="A3229" s="3">
        <v>2400.0</v>
      </c>
      <c r="B3229" s="4">
        <v>45340.84408564815</v>
      </c>
      <c r="C3229" s="3" t="s">
        <v>6</v>
      </c>
    </row>
    <row r="3230">
      <c r="A3230" s="3">
        <v>7133.0</v>
      </c>
      <c r="B3230" s="4">
        <v>45340.857303240744</v>
      </c>
      <c r="C3230" s="3" t="s">
        <v>4</v>
      </c>
    </row>
    <row r="3231">
      <c r="A3231" s="3">
        <v>1791.0</v>
      </c>
      <c r="B3231" s="4">
        <v>45340.95658564815</v>
      </c>
      <c r="C3231" s="3" t="s">
        <v>4</v>
      </c>
    </row>
    <row r="3232">
      <c r="A3232" s="3">
        <v>7217.0</v>
      </c>
      <c r="B3232" s="4">
        <v>45340.971655092595</v>
      </c>
      <c r="C3232" s="3" t="s">
        <v>5</v>
      </c>
    </row>
    <row r="3233">
      <c r="A3233" s="3">
        <v>7576.0</v>
      </c>
      <c r="B3233" s="4">
        <v>45340.97586805555</v>
      </c>
      <c r="C3233" s="3" t="s">
        <v>3</v>
      </c>
    </row>
    <row r="3234">
      <c r="A3234" s="3">
        <v>6022.0</v>
      </c>
      <c r="B3234" s="4">
        <v>45341.02704861111</v>
      </c>
      <c r="C3234" s="3" t="s">
        <v>6</v>
      </c>
    </row>
    <row r="3235">
      <c r="A3235" s="3">
        <v>2690.0</v>
      </c>
      <c r="B3235" s="4">
        <v>45341.064988425926</v>
      </c>
      <c r="C3235" s="3" t="s">
        <v>4</v>
      </c>
    </row>
    <row r="3236">
      <c r="A3236" s="3">
        <v>6252.0</v>
      </c>
      <c r="B3236" s="4">
        <v>45341.06861111111</v>
      </c>
      <c r="C3236" s="3" t="s">
        <v>7</v>
      </c>
    </row>
    <row r="3237">
      <c r="A3237" s="3">
        <v>7945.0</v>
      </c>
      <c r="B3237" s="4">
        <v>45341.081087962964</v>
      </c>
      <c r="C3237" s="3" t="s">
        <v>3</v>
      </c>
    </row>
    <row r="3238">
      <c r="A3238" s="3">
        <v>6543.0</v>
      </c>
      <c r="B3238" s="4">
        <v>45341.08495370371</v>
      </c>
      <c r="C3238" s="3" t="s">
        <v>3</v>
      </c>
    </row>
    <row r="3239">
      <c r="A3239" s="3">
        <v>7547.0</v>
      </c>
      <c r="B3239" s="4">
        <v>45341.09576388889</v>
      </c>
      <c r="C3239" s="3" t="s">
        <v>6</v>
      </c>
    </row>
    <row r="3240">
      <c r="A3240" s="3">
        <v>1678.0</v>
      </c>
      <c r="B3240" s="4">
        <v>45341.15929398148</v>
      </c>
      <c r="C3240" s="3" t="s">
        <v>6</v>
      </c>
    </row>
    <row r="3241">
      <c r="A3241" s="3">
        <v>7701.0</v>
      </c>
      <c r="B3241" s="4">
        <v>45341.17135416667</v>
      </c>
      <c r="C3241" s="3" t="s">
        <v>4</v>
      </c>
    </row>
    <row r="3242">
      <c r="A3242" s="3">
        <v>6272.0</v>
      </c>
      <c r="B3242" s="4">
        <v>45341.211539351854</v>
      </c>
      <c r="C3242" s="3" t="s">
        <v>3</v>
      </c>
    </row>
    <row r="3243">
      <c r="A3243" s="3">
        <v>7701.0</v>
      </c>
      <c r="B3243" s="4">
        <v>45341.21359953703</v>
      </c>
      <c r="C3243" s="3" t="s">
        <v>7</v>
      </c>
    </row>
    <row r="3244">
      <c r="A3244" s="3">
        <v>3581.0</v>
      </c>
      <c r="B3244" s="4">
        <v>45341.246041666665</v>
      </c>
      <c r="C3244" s="3" t="s">
        <v>3</v>
      </c>
    </row>
    <row r="3245">
      <c r="A3245" s="3">
        <v>7054.0</v>
      </c>
      <c r="B3245" s="4">
        <v>45341.273981481485</v>
      </c>
      <c r="C3245" s="3" t="s">
        <v>3</v>
      </c>
    </row>
    <row r="3246">
      <c r="A3246" s="3">
        <v>6252.0</v>
      </c>
      <c r="B3246" s="4">
        <v>45341.31296296296</v>
      </c>
      <c r="C3246" s="3" t="s">
        <v>5</v>
      </c>
    </row>
    <row r="3247">
      <c r="A3247" s="3">
        <v>329.0</v>
      </c>
      <c r="B3247" s="4">
        <v>45341.31851851852</v>
      </c>
      <c r="C3247" s="3" t="s">
        <v>3</v>
      </c>
    </row>
    <row r="3248">
      <c r="A3248" s="3">
        <v>3796.0</v>
      </c>
      <c r="B3248" s="4">
        <v>45341.326944444445</v>
      </c>
      <c r="C3248" s="3" t="s">
        <v>5</v>
      </c>
    </row>
    <row r="3249">
      <c r="A3249" s="3">
        <v>7040.0</v>
      </c>
      <c r="B3249" s="4">
        <v>45341.334965277776</v>
      </c>
      <c r="C3249" s="3" t="s">
        <v>6</v>
      </c>
    </row>
    <row r="3250">
      <c r="A3250" s="3">
        <v>6252.0</v>
      </c>
      <c r="B3250" s="4">
        <v>45341.38856481481</v>
      </c>
      <c r="C3250" s="3" t="s">
        <v>6</v>
      </c>
    </row>
    <row r="3251">
      <c r="A3251" s="3">
        <v>6022.0</v>
      </c>
      <c r="B3251" s="4">
        <v>45341.400243055556</v>
      </c>
      <c r="C3251" s="3" t="s">
        <v>5</v>
      </c>
    </row>
    <row r="3252">
      <c r="A3252" s="3">
        <v>3329.0</v>
      </c>
      <c r="B3252" s="4">
        <v>45341.401724537034</v>
      </c>
      <c r="C3252" s="3" t="s">
        <v>3</v>
      </c>
    </row>
    <row r="3253">
      <c r="A3253" s="3">
        <v>588.0</v>
      </c>
      <c r="B3253" s="4">
        <v>45341.45425925926</v>
      </c>
      <c r="C3253" s="3" t="s">
        <v>3</v>
      </c>
    </row>
    <row r="3254">
      <c r="A3254" s="3">
        <v>7553.0</v>
      </c>
      <c r="B3254" s="4">
        <v>45341.45643518519</v>
      </c>
      <c r="C3254" s="3" t="s">
        <v>3</v>
      </c>
    </row>
    <row r="3255">
      <c r="A3255" s="3">
        <v>3930.0</v>
      </c>
      <c r="B3255" s="4">
        <v>45341.45769675926</v>
      </c>
      <c r="C3255" s="3" t="s">
        <v>7</v>
      </c>
    </row>
    <row r="3256">
      <c r="A3256" s="3">
        <v>677.0</v>
      </c>
      <c r="B3256" s="4">
        <v>45341.467523148145</v>
      </c>
      <c r="C3256" s="3" t="s">
        <v>3</v>
      </c>
    </row>
    <row r="3257">
      <c r="A3257" s="3">
        <v>329.0</v>
      </c>
      <c r="B3257" s="4">
        <v>45341.49760416667</v>
      </c>
      <c r="C3257" s="3" t="s">
        <v>5</v>
      </c>
    </row>
    <row r="3258">
      <c r="A3258" s="3">
        <v>1452.0</v>
      </c>
      <c r="B3258" s="4">
        <v>45341.55364583333</v>
      </c>
      <c r="C3258" s="3" t="s">
        <v>7</v>
      </c>
    </row>
    <row r="3259">
      <c r="A3259" s="3">
        <v>6863.0</v>
      </c>
      <c r="B3259" s="4">
        <v>45341.561944444446</v>
      </c>
      <c r="C3259" s="3" t="s">
        <v>6</v>
      </c>
    </row>
    <row r="3260">
      <c r="A3260" s="3">
        <v>3622.0</v>
      </c>
      <c r="B3260" s="4">
        <v>45341.566342592596</v>
      </c>
      <c r="C3260" s="3" t="s">
        <v>6</v>
      </c>
    </row>
    <row r="3261">
      <c r="A3261" s="3">
        <v>4858.0</v>
      </c>
      <c r="B3261" s="4">
        <v>45341.57113425926</v>
      </c>
      <c r="C3261" s="3" t="s">
        <v>4</v>
      </c>
    </row>
    <row r="3262">
      <c r="A3262" s="3">
        <v>1050.0</v>
      </c>
      <c r="B3262" s="4">
        <v>45341.58331018518</v>
      </c>
      <c r="C3262" s="3" t="s">
        <v>6</v>
      </c>
    </row>
    <row r="3263">
      <c r="A3263" s="3">
        <v>1050.0</v>
      </c>
      <c r="B3263" s="4">
        <v>45341.592986111114</v>
      </c>
      <c r="C3263" s="3" t="s">
        <v>5</v>
      </c>
    </row>
    <row r="3264">
      <c r="A3264" s="3">
        <v>5718.0</v>
      </c>
      <c r="B3264" s="4">
        <v>45341.59821759259</v>
      </c>
      <c r="C3264" s="3" t="s">
        <v>3</v>
      </c>
    </row>
    <row r="3265">
      <c r="A3265" s="3">
        <v>4463.0</v>
      </c>
      <c r="B3265" s="4">
        <v>45341.60456018519</v>
      </c>
      <c r="C3265" s="3" t="s">
        <v>6</v>
      </c>
    </row>
    <row r="3266">
      <c r="A3266" s="3">
        <v>1702.0</v>
      </c>
      <c r="B3266" s="4">
        <v>45341.607939814814</v>
      </c>
      <c r="C3266" s="3" t="s">
        <v>6</v>
      </c>
    </row>
    <row r="3267">
      <c r="A3267" s="3">
        <v>7278.0</v>
      </c>
      <c r="B3267" s="4">
        <v>45341.61237268519</v>
      </c>
      <c r="C3267" s="3" t="s">
        <v>3</v>
      </c>
    </row>
    <row r="3268">
      <c r="A3268" s="3">
        <v>497.0</v>
      </c>
      <c r="B3268" s="4">
        <v>45341.61518518518</v>
      </c>
      <c r="C3268" s="3" t="s">
        <v>5</v>
      </c>
    </row>
    <row r="3269">
      <c r="A3269" s="3">
        <v>3796.0</v>
      </c>
      <c r="B3269" s="4">
        <v>45341.62366898148</v>
      </c>
      <c r="C3269" s="3" t="s">
        <v>3</v>
      </c>
    </row>
    <row r="3270">
      <c r="A3270" s="3">
        <v>2003.0</v>
      </c>
      <c r="B3270" s="4">
        <v>45341.62677083333</v>
      </c>
      <c r="C3270" s="3" t="s">
        <v>3</v>
      </c>
    </row>
    <row r="3271">
      <c r="A3271" s="3">
        <v>3543.0</v>
      </c>
      <c r="B3271" s="4">
        <v>45341.67576388889</v>
      </c>
      <c r="C3271" s="3" t="s">
        <v>6</v>
      </c>
    </row>
    <row r="3272">
      <c r="A3272" s="3">
        <v>3930.0</v>
      </c>
      <c r="B3272" s="4">
        <v>45341.69430555555</v>
      </c>
      <c r="C3272" s="3" t="s">
        <v>4</v>
      </c>
    </row>
    <row r="3273">
      <c r="A3273" s="3">
        <v>712.0</v>
      </c>
      <c r="B3273" s="4">
        <v>45341.7203125</v>
      </c>
      <c r="C3273" s="3" t="s">
        <v>3</v>
      </c>
    </row>
    <row r="3274">
      <c r="A3274" s="3">
        <v>497.0</v>
      </c>
      <c r="B3274" s="4">
        <v>45341.762395833335</v>
      </c>
      <c r="C3274" s="3" t="s">
        <v>6</v>
      </c>
    </row>
    <row r="3275">
      <c r="A3275" s="3">
        <v>1684.0</v>
      </c>
      <c r="B3275" s="4">
        <v>45341.76461805555</v>
      </c>
      <c r="C3275" s="3" t="s">
        <v>4</v>
      </c>
    </row>
    <row r="3276">
      <c r="A3276" s="3">
        <v>48.0</v>
      </c>
      <c r="B3276" s="4">
        <v>45341.77515046296</v>
      </c>
      <c r="C3276" s="3" t="s">
        <v>3</v>
      </c>
    </row>
    <row r="3277">
      <c r="A3277" s="3">
        <v>7123.0</v>
      </c>
      <c r="B3277" s="4">
        <v>45341.8074537037</v>
      </c>
      <c r="C3277" s="3" t="s">
        <v>3</v>
      </c>
    </row>
    <row r="3278">
      <c r="A3278" s="3">
        <v>2434.0</v>
      </c>
      <c r="B3278" s="4">
        <v>45341.81207175926</v>
      </c>
      <c r="C3278" s="3" t="s">
        <v>4</v>
      </c>
    </row>
    <row r="3279">
      <c r="A3279" s="3">
        <v>5664.0</v>
      </c>
      <c r="B3279" s="4">
        <v>45341.837800925925</v>
      </c>
      <c r="C3279" s="3" t="s">
        <v>3</v>
      </c>
    </row>
    <row r="3280">
      <c r="A3280" s="3">
        <v>4722.0</v>
      </c>
      <c r="B3280" s="4">
        <v>45341.839270833334</v>
      </c>
      <c r="C3280" s="3" t="s">
        <v>3</v>
      </c>
    </row>
    <row r="3281">
      <c r="A3281" s="3">
        <v>7436.0</v>
      </c>
      <c r="B3281" s="4">
        <v>45341.83987268519</v>
      </c>
      <c r="C3281" s="3" t="s">
        <v>3</v>
      </c>
    </row>
    <row r="3282">
      <c r="A3282" s="3">
        <v>1196.0</v>
      </c>
      <c r="B3282" s="4">
        <v>45341.845497685186</v>
      </c>
      <c r="C3282" s="3" t="s">
        <v>4</v>
      </c>
    </row>
    <row r="3283">
      <c r="A3283" s="3">
        <v>574.0</v>
      </c>
      <c r="B3283" s="4">
        <v>45341.908680555556</v>
      </c>
      <c r="C3283" s="3" t="s">
        <v>6</v>
      </c>
    </row>
    <row r="3284">
      <c r="A3284" s="3">
        <v>1204.0</v>
      </c>
      <c r="B3284" s="4">
        <v>45341.94943287037</v>
      </c>
      <c r="C3284" s="3" t="s">
        <v>3</v>
      </c>
    </row>
    <row r="3285">
      <c r="A3285" s="3">
        <v>2690.0</v>
      </c>
      <c r="B3285" s="4">
        <v>45341.955925925926</v>
      </c>
      <c r="C3285" s="3" t="s">
        <v>7</v>
      </c>
    </row>
    <row r="3286">
      <c r="A3286" s="3">
        <v>6488.0</v>
      </c>
      <c r="B3286" s="4">
        <v>45341.988287037035</v>
      </c>
      <c r="C3286" s="3" t="s">
        <v>3</v>
      </c>
    </row>
    <row r="3287">
      <c r="A3287" s="3">
        <v>5273.0</v>
      </c>
      <c r="B3287" s="4">
        <v>45342.04576388889</v>
      </c>
      <c r="C3287" s="3" t="s">
        <v>3</v>
      </c>
    </row>
    <row r="3288">
      <c r="A3288" s="3">
        <v>1563.0</v>
      </c>
      <c r="B3288" s="4">
        <v>45342.04960648148</v>
      </c>
      <c r="C3288" s="3" t="s">
        <v>5</v>
      </c>
    </row>
    <row r="3289">
      <c r="A3289" s="3">
        <v>6022.0</v>
      </c>
      <c r="B3289" s="4">
        <v>45342.1015162037</v>
      </c>
      <c r="C3289" s="3" t="s">
        <v>7</v>
      </c>
    </row>
    <row r="3290">
      <c r="A3290" s="3">
        <v>7805.0</v>
      </c>
      <c r="B3290" s="4">
        <v>45342.12596064815</v>
      </c>
      <c r="C3290" s="3" t="s">
        <v>3</v>
      </c>
    </row>
    <row r="3291">
      <c r="A3291" s="3">
        <v>6233.0</v>
      </c>
      <c r="B3291" s="4">
        <v>45342.143842592595</v>
      </c>
      <c r="C3291" s="3" t="s">
        <v>6</v>
      </c>
    </row>
    <row r="3292">
      <c r="A3292" s="3">
        <v>3610.0</v>
      </c>
      <c r="B3292" s="4">
        <v>45342.1440625</v>
      </c>
      <c r="C3292" s="3" t="s">
        <v>3</v>
      </c>
    </row>
    <row r="3293">
      <c r="A3293" s="3">
        <v>4858.0</v>
      </c>
      <c r="B3293" s="4">
        <v>45342.159467592595</v>
      </c>
      <c r="C3293" s="3" t="s">
        <v>5</v>
      </c>
    </row>
    <row r="3294">
      <c r="A3294" s="3">
        <v>4861.0</v>
      </c>
      <c r="B3294" s="4">
        <v>45342.160520833335</v>
      </c>
      <c r="C3294" s="3" t="s">
        <v>3</v>
      </c>
    </row>
    <row r="3295">
      <c r="A3295" s="3">
        <v>5163.0</v>
      </c>
      <c r="B3295" s="4">
        <v>45342.170902777776</v>
      </c>
      <c r="C3295" s="3" t="s">
        <v>3</v>
      </c>
    </row>
    <row r="3296">
      <c r="A3296" s="3">
        <v>3014.0</v>
      </c>
      <c r="B3296" s="4">
        <v>45342.20071759259</v>
      </c>
      <c r="C3296" s="3" t="s">
        <v>4</v>
      </c>
    </row>
    <row r="3297">
      <c r="A3297" s="3">
        <v>1297.0</v>
      </c>
      <c r="B3297" s="4">
        <v>45342.2140625</v>
      </c>
      <c r="C3297" s="3" t="s">
        <v>3</v>
      </c>
    </row>
    <row r="3298">
      <c r="A3298" s="3">
        <v>677.0</v>
      </c>
      <c r="B3298" s="4">
        <v>45342.232523148145</v>
      </c>
      <c r="C3298" s="3" t="s">
        <v>6</v>
      </c>
    </row>
    <row r="3299">
      <c r="A3299" s="3">
        <v>5047.0</v>
      </c>
      <c r="B3299" s="4">
        <v>45342.24921296296</v>
      </c>
      <c r="C3299" s="3" t="s">
        <v>5</v>
      </c>
    </row>
    <row r="3300">
      <c r="A3300" s="3">
        <v>6488.0</v>
      </c>
      <c r="B3300" s="4">
        <v>45342.26846064815</v>
      </c>
      <c r="C3300" s="3" t="s">
        <v>4</v>
      </c>
    </row>
    <row r="3301">
      <c r="A3301" s="3">
        <v>5957.0</v>
      </c>
      <c r="B3301" s="4">
        <v>45342.273206018515</v>
      </c>
      <c r="C3301" s="3" t="s">
        <v>4</v>
      </c>
    </row>
    <row r="3302">
      <c r="A3302" s="3">
        <v>58.0</v>
      </c>
      <c r="B3302" s="4">
        <v>45342.300775462965</v>
      </c>
      <c r="C3302" s="3" t="s">
        <v>5</v>
      </c>
    </row>
    <row r="3303">
      <c r="A3303" s="3">
        <v>1818.0</v>
      </c>
      <c r="B3303" s="4">
        <v>45342.30189814815</v>
      </c>
      <c r="C3303" s="3" t="s">
        <v>6</v>
      </c>
    </row>
    <row r="3304">
      <c r="A3304" s="3">
        <v>7826.0</v>
      </c>
      <c r="B3304" s="4">
        <v>45342.32163194445</v>
      </c>
      <c r="C3304" s="3" t="s">
        <v>3</v>
      </c>
    </row>
    <row r="3305">
      <c r="A3305" s="3">
        <v>3351.0</v>
      </c>
      <c r="B3305" s="4">
        <v>45342.33</v>
      </c>
      <c r="C3305" s="3" t="s">
        <v>3</v>
      </c>
    </row>
    <row r="3306">
      <c r="A3306" s="3">
        <v>3093.0</v>
      </c>
      <c r="B3306" s="4">
        <v>45342.331458333334</v>
      </c>
      <c r="C3306" s="3" t="s">
        <v>3</v>
      </c>
    </row>
    <row r="3307">
      <c r="A3307" s="3">
        <v>7870.0</v>
      </c>
      <c r="B3307" s="4">
        <v>45342.33380787037</v>
      </c>
      <c r="C3307" s="3" t="s">
        <v>4</v>
      </c>
    </row>
    <row r="3308">
      <c r="A3308" s="3">
        <v>6521.0</v>
      </c>
      <c r="B3308" s="4">
        <v>45342.34782407407</v>
      </c>
      <c r="C3308" s="3" t="s">
        <v>3</v>
      </c>
    </row>
    <row r="3309">
      <c r="A3309" s="3">
        <v>2383.0</v>
      </c>
      <c r="B3309" s="4">
        <v>45342.349178240744</v>
      </c>
      <c r="C3309" s="3" t="s">
        <v>3</v>
      </c>
    </row>
    <row r="3310">
      <c r="A3310" s="3">
        <v>4688.0</v>
      </c>
      <c r="B3310" s="4">
        <v>45342.35839120371</v>
      </c>
      <c r="C3310" s="3" t="s">
        <v>3</v>
      </c>
    </row>
    <row r="3311">
      <c r="A3311" s="3">
        <v>92.0</v>
      </c>
      <c r="B3311" s="4">
        <v>45342.37792824074</v>
      </c>
      <c r="C3311" s="3" t="s">
        <v>6</v>
      </c>
    </row>
    <row r="3312">
      <c r="A3312" s="3">
        <v>7040.0</v>
      </c>
      <c r="B3312" s="4">
        <v>45342.3915162037</v>
      </c>
      <c r="C3312" s="3" t="s">
        <v>4</v>
      </c>
    </row>
    <row r="3313">
      <c r="A3313" s="3">
        <v>5787.0</v>
      </c>
      <c r="B3313" s="4">
        <v>45342.40006944445</v>
      </c>
      <c r="C3313" s="3" t="s">
        <v>6</v>
      </c>
    </row>
    <row r="3314">
      <c r="A3314" s="3">
        <v>3258.0</v>
      </c>
      <c r="B3314" s="4">
        <v>45342.401238425926</v>
      </c>
      <c r="C3314" s="3" t="s">
        <v>3</v>
      </c>
    </row>
    <row r="3315">
      <c r="A3315" s="3">
        <v>3438.0</v>
      </c>
      <c r="B3315" s="4">
        <v>45342.42586805556</v>
      </c>
      <c r="C3315" s="3" t="s">
        <v>3</v>
      </c>
    </row>
    <row r="3316">
      <c r="A3316" s="3">
        <v>497.0</v>
      </c>
      <c r="B3316" s="4">
        <v>45342.436064814814</v>
      </c>
      <c r="C3316" s="3" t="s">
        <v>7</v>
      </c>
    </row>
    <row r="3317">
      <c r="A3317" s="3">
        <v>5163.0</v>
      </c>
      <c r="B3317" s="4">
        <v>45342.45423611111</v>
      </c>
      <c r="C3317" s="3" t="s">
        <v>4</v>
      </c>
    </row>
    <row r="3318">
      <c r="A3318" s="3">
        <v>3930.0</v>
      </c>
      <c r="B3318" s="4">
        <v>45342.4562037037</v>
      </c>
      <c r="C3318" s="3" t="s">
        <v>5</v>
      </c>
    </row>
    <row r="3319">
      <c r="A3319" s="3">
        <v>74.0</v>
      </c>
      <c r="B3319" s="4">
        <v>45342.461701388886</v>
      </c>
      <c r="C3319" s="3" t="s">
        <v>5</v>
      </c>
    </row>
    <row r="3320">
      <c r="A3320" s="3">
        <v>2250.0</v>
      </c>
      <c r="B3320" s="4">
        <v>45342.47525462963</v>
      </c>
      <c r="C3320" s="3" t="s">
        <v>5</v>
      </c>
    </row>
    <row r="3321">
      <c r="A3321" s="3">
        <v>1748.0</v>
      </c>
      <c r="B3321" s="4">
        <v>45342.485</v>
      </c>
      <c r="C3321" s="3" t="s">
        <v>4</v>
      </c>
    </row>
    <row r="3322">
      <c r="A3322" s="3">
        <v>2250.0</v>
      </c>
      <c r="B3322" s="4">
        <v>45342.49078703704</v>
      </c>
      <c r="C3322" s="3" t="s">
        <v>7</v>
      </c>
    </row>
    <row r="3323">
      <c r="A3323" s="3">
        <v>760.0</v>
      </c>
      <c r="B3323" s="4">
        <v>45342.5174537037</v>
      </c>
      <c r="C3323" s="3" t="s">
        <v>3</v>
      </c>
    </row>
    <row r="3324">
      <c r="A3324" s="3">
        <v>1672.0</v>
      </c>
      <c r="B3324" s="4">
        <v>45342.52625</v>
      </c>
      <c r="C3324" s="3" t="s">
        <v>7</v>
      </c>
    </row>
    <row r="3325">
      <c r="A3325" s="3">
        <v>6488.0</v>
      </c>
      <c r="B3325" s="4">
        <v>45342.54310185185</v>
      </c>
      <c r="C3325" s="3" t="s">
        <v>5</v>
      </c>
    </row>
    <row r="3326">
      <c r="A3326" s="3">
        <v>4561.0</v>
      </c>
      <c r="B3326" s="4">
        <v>45342.547581018516</v>
      </c>
      <c r="C3326" s="3" t="s">
        <v>3</v>
      </c>
    </row>
    <row r="3327">
      <c r="A3327" s="3">
        <v>2285.0</v>
      </c>
      <c r="B3327" s="4">
        <v>45342.55037037037</v>
      </c>
      <c r="C3327" s="3" t="s">
        <v>3</v>
      </c>
    </row>
    <row r="3328">
      <c r="A3328" s="3">
        <v>5304.0</v>
      </c>
      <c r="B3328" s="4">
        <v>45342.55521990741</v>
      </c>
      <c r="C3328" s="3" t="s">
        <v>3</v>
      </c>
    </row>
    <row r="3329">
      <c r="A3329" s="3">
        <v>963.0</v>
      </c>
      <c r="B3329" s="4">
        <v>45342.565046296295</v>
      </c>
      <c r="C3329" s="3" t="s">
        <v>3</v>
      </c>
    </row>
    <row r="3330">
      <c r="A3330" s="3">
        <v>7133.0</v>
      </c>
      <c r="B3330" s="4">
        <v>45342.595138888886</v>
      </c>
      <c r="C3330" s="3" t="s">
        <v>6</v>
      </c>
    </row>
    <row r="3331">
      <c r="A3331" s="3">
        <v>1736.0</v>
      </c>
      <c r="B3331" s="4">
        <v>45342.61252314815</v>
      </c>
      <c r="C3331" s="3" t="s">
        <v>3</v>
      </c>
    </row>
    <row r="3332">
      <c r="A3332" s="3">
        <v>199.0</v>
      </c>
      <c r="B3332" s="4">
        <v>45342.64072916667</v>
      </c>
      <c r="C3332" s="3" t="s">
        <v>3</v>
      </c>
    </row>
    <row r="3333">
      <c r="A3333" s="3">
        <v>255.0</v>
      </c>
      <c r="B3333" s="4">
        <v>45342.65356481481</v>
      </c>
      <c r="C3333" s="3" t="s">
        <v>5</v>
      </c>
    </row>
    <row r="3334">
      <c r="A3334" s="3">
        <v>415.0</v>
      </c>
      <c r="B3334" s="4">
        <v>45342.654699074075</v>
      </c>
      <c r="C3334" s="3" t="s">
        <v>5</v>
      </c>
    </row>
    <row r="3335">
      <c r="A3335" s="3">
        <v>7588.0</v>
      </c>
      <c r="B3335" s="4">
        <v>45342.65829861111</v>
      </c>
      <c r="C3335" s="3" t="s">
        <v>7</v>
      </c>
    </row>
    <row r="3336">
      <c r="A3336" s="3">
        <v>7133.0</v>
      </c>
      <c r="B3336" s="4">
        <v>45342.66320601852</v>
      </c>
      <c r="C3336" s="3" t="s">
        <v>7</v>
      </c>
    </row>
    <row r="3337">
      <c r="A3337" s="3">
        <v>712.0</v>
      </c>
      <c r="B3337" s="4">
        <v>45342.71685185185</v>
      </c>
      <c r="C3337" s="3" t="s">
        <v>6</v>
      </c>
    </row>
    <row r="3338">
      <c r="A3338" s="3">
        <v>1089.0</v>
      </c>
      <c r="B3338" s="4">
        <v>45342.71871527778</v>
      </c>
      <c r="C3338" s="3" t="s">
        <v>3</v>
      </c>
    </row>
    <row r="3339">
      <c r="A3339" s="3">
        <v>677.0</v>
      </c>
      <c r="B3339" s="4">
        <v>45342.72966435185</v>
      </c>
      <c r="C3339" s="3" t="s">
        <v>4</v>
      </c>
    </row>
    <row r="3340">
      <c r="A3340" s="3">
        <v>3136.0</v>
      </c>
      <c r="B3340" s="4">
        <v>45342.72998842593</v>
      </c>
      <c r="C3340" s="3" t="s">
        <v>3</v>
      </c>
    </row>
    <row r="3341">
      <c r="A3341" s="3">
        <v>3862.0</v>
      </c>
      <c r="B3341" s="4">
        <v>45342.74758101852</v>
      </c>
      <c r="C3341" s="3" t="s">
        <v>7</v>
      </c>
    </row>
    <row r="3342">
      <c r="A3342" s="3">
        <v>661.0</v>
      </c>
      <c r="B3342" s="4">
        <v>45342.757569444446</v>
      </c>
      <c r="C3342" s="3" t="s">
        <v>4</v>
      </c>
    </row>
    <row r="3343">
      <c r="A3343" s="3">
        <v>603.0</v>
      </c>
      <c r="B3343" s="4">
        <v>45342.79122685185</v>
      </c>
      <c r="C3343" s="3" t="s">
        <v>3</v>
      </c>
    </row>
    <row r="3344">
      <c r="A3344" s="3">
        <v>1245.0</v>
      </c>
      <c r="B3344" s="4">
        <v>45342.81893518518</v>
      </c>
      <c r="C3344" s="3" t="s">
        <v>6</v>
      </c>
    </row>
    <row r="3345">
      <c r="A3345" s="3">
        <v>7945.0</v>
      </c>
      <c r="B3345" s="4">
        <v>45342.82045138889</v>
      </c>
      <c r="C3345" s="3" t="s">
        <v>5</v>
      </c>
    </row>
    <row r="3346">
      <c r="A3346" s="3">
        <v>3796.0</v>
      </c>
      <c r="B3346" s="4">
        <v>45342.83611111111</v>
      </c>
      <c r="C3346" s="3" t="s">
        <v>6</v>
      </c>
    </row>
    <row r="3347">
      <c r="A3347" s="3">
        <v>2900.0</v>
      </c>
      <c r="B3347" s="4">
        <v>45342.88244212963</v>
      </c>
      <c r="C3347" s="3" t="s">
        <v>3</v>
      </c>
    </row>
    <row r="3348">
      <c r="A3348" s="3">
        <v>1514.0</v>
      </c>
      <c r="B3348" s="4">
        <v>45342.903761574074</v>
      </c>
      <c r="C3348" s="3" t="s">
        <v>6</v>
      </c>
    </row>
    <row r="3349">
      <c r="A3349" s="3">
        <v>6233.0</v>
      </c>
      <c r="B3349" s="4">
        <v>45342.91945601852</v>
      </c>
      <c r="C3349" s="3" t="s">
        <v>4</v>
      </c>
    </row>
    <row r="3350">
      <c r="A3350" s="3">
        <v>6952.0</v>
      </c>
      <c r="B3350" s="4">
        <v>45342.92613425926</v>
      </c>
      <c r="C3350" s="3" t="s">
        <v>3</v>
      </c>
    </row>
    <row r="3351">
      <c r="A3351" s="3">
        <v>58.0</v>
      </c>
      <c r="B3351" s="4">
        <v>45342.93230324074</v>
      </c>
      <c r="C3351" s="3" t="s">
        <v>3</v>
      </c>
    </row>
    <row r="3352">
      <c r="A3352" s="3">
        <v>1563.0</v>
      </c>
      <c r="B3352" s="4">
        <v>45342.93892361111</v>
      </c>
      <c r="C3352" s="3" t="s">
        <v>7</v>
      </c>
    </row>
    <row r="3353">
      <c r="A3353" s="3">
        <v>2459.0</v>
      </c>
      <c r="B3353" s="4">
        <v>45342.94431712963</v>
      </c>
      <c r="C3353" s="3" t="s">
        <v>6</v>
      </c>
    </row>
    <row r="3354">
      <c r="A3354" s="3">
        <v>4662.0</v>
      </c>
      <c r="B3354" s="4">
        <v>45342.94542824074</v>
      </c>
      <c r="C3354" s="3" t="s">
        <v>3</v>
      </c>
    </row>
    <row r="3355">
      <c r="A3355" s="3">
        <v>2629.0</v>
      </c>
      <c r="B3355" s="4">
        <v>45343.064409722225</v>
      </c>
      <c r="C3355" s="3" t="s">
        <v>6</v>
      </c>
    </row>
    <row r="3356">
      <c r="A3356" s="3">
        <v>5455.0</v>
      </c>
      <c r="B3356" s="4">
        <v>45343.07641203704</v>
      </c>
      <c r="C3356" s="3" t="s">
        <v>3</v>
      </c>
    </row>
    <row r="3357">
      <c r="A3357" s="3">
        <v>3438.0</v>
      </c>
      <c r="B3357" s="4">
        <v>45343.080729166664</v>
      </c>
      <c r="C3357" s="3" t="s">
        <v>4</v>
      </c>
    </row>
    <row r="3358">
      <c r="A3358" s="3">
        <v>7708.0</v>
      </c>
      <c r="B3358" s="4">
        <v>45343.081458333334</v>
      </c>
      <c r="C3358" s="3" t="s">
        <v>3</v>
      </c>
    </row>
    <row r="3359">
      <c r="A3359" s="3">
        <v>3950.0</v>
      </c>
      <c r="B3359" s="4">
        <v>45343.10525462963</v>
      </c>
      <c r="C3359" s="3" t="s">
        <v>3</v>
      </c>
    </row>
    <row r="3360">
      <c r="A3360" s="3">
        <v>893.0</v>
      </c>
      <c r="B3360" s="4">
        <v>45343.12432870371</v>
      </c>
      <c r="C3360" s="3" t="s">
        <v>3</v>
      </c>
    </row>
    <row r="3361">
      <c r="A3361" s="3">
        <v>4768.0</v>
      </c>
      <c r="B3361" s="4">
        <v>45343.12590277778</v>
      </c>
      <c r="C3361" s="3" t="s">
        <v>6</v>
      </c>
    </row>
    <row r="3362">
      <c r="A3362" s="3">
        <v>7331.0</v>
      </c>
      <c r="B3362" s="4">
        <v>45343.126435185186</v>
      </c>
      <c r="C3362" s="3" t="s">
        <v>3</v>
      </c>
    </row>
    <row r="3363">
      <c r="A3363" s="3">
        <v>3796.0</v>
      </c>
      <c r="B3363" s="4">
        <v>45343.159166666665</v>
      </c>
      <c r="C3363" s="3" t="s">
        <v>4</v>
      </c>
    </row>
    <row r="3364">
      <c r="A3364" s="3">
        <v>712.0</v>
      </c>
      <c r="B3364" s="4">
        <v>45343.18011574074</v>
      </c>
      <c r="C3364" s="3" t="s">
        <v>4</v>
      </c>
    </row>
    <row r="3365">
      <c r="A3365" s="3">
        <v>6996.0</v>
      </c>
      <c r="B3365" s="4">
        <v>45343.18284722222</v>
      </c>
      <c r="C3365" s="3" t="s">
        <v>6</v>
      </c>
    </row>
    <row r="3366">
      <c r="A3366" s="3">
        <v>2579.0</v>
      </c>
      <c r="B3366" s="4">
        <v>45343.190104166664</v>
      </c>
      <c r="C3366" s="3" t="s">
        <v>3</v>
      </c>
    </row>
    <row r="3367">
      <c r="A3367" s="3">
        <v>7260.0</v>
      </c>
      <c r="B3367" s="4">
        <v>45343.20170138889</v>
      </c>
      <c r="C3367" s="3" t="s">
        <v>7</v>
      </c>
    </row>
    <row r="3368">
      <c r="A3368" s="3">
        <v>3659.0</v>
      </c>
      <c r="B3368" s="4">
        <v>45343.20280092592</v>
      </c>
      <c r="C3368" s="3" t="s">
        <v>3</v>
      </c>
    </row>
    <row r="3369">
      <c r="A3369" s="3">
        <v>4524.0</v>
      </c>
      <c r="B3369" s="4">
        <v>45343.223495370374</v>
      </c>
      <c r="C3369" s="3" t="s">
        <v>3</v>
      </c>
    </row>
    <row r="3370">
      <c r="A3370" s="3">
        <v>1923.0</v>
      </c>
      <c r="B3370" s="4">
        <v>45343.232627314814</v>
      </c>
      <c r="C3370" s="3" t="s">
        <v>4</v>
      </c>
    </row>
    <row r="3371">
      <c r="A3371" s="3">
        <v>3096.0</v>
      </c>
      <c r="B3371" s="4">
        <v>45343.25252314815</v>
      </c>
      <c r="C3371" s="3" t="s">
        <v>4</v>
      </c>
    </row>
    <row r="3372">
      <c r="A3372" s="3">
        <v>3471.0</v>
      </c>
      <c r="B3372" s="4">
        <v>45343.256689814814</v>
      </c>
      <c r="C3372" s="3" t="s">
        <v>7</v>
      </c>
    </row>
    <row r="3373">
      <c r="A3373" s="3">
        <v>5304.0</v>
      </c>
      <c r="B3373" s="4">
        <v>45343.263391203705</v>
      </c>
      <c r="C3373" s="3" t="s">
        <v>4</v>
      </c>
    </row>
    <row r="3374">
      <c r="A3374" s="3">
        <v>7033.0</v>
      </c>
      <c r="B3374" s="4">
        <v>45343.27349537037</v>
      </c>
      <c r="C3374" s="3" t="s">
        <v>5</v>
      </c>
    </row>
    <row r="3375">
      <c r="A3375" s="3">
        <v>7606.0</v>
      </c>
      <c r="B3375" s="4">
        <v>45343.28413194444</v>
      </c>
      <c r="C3375" s="3" t="s">
        <v>4</v>
      </c>
    </row>
    <row r="3376">
      <c r="A3376" s="3">
        <v>5539.0</v>
      </c>
      <c r="B3376" s="4">
        <v>45343.2908912037</v>
      </c>
      <c r="C3376" s="3" t="s">
        <v>6</v>
      </c>
    </row>
    <row r="3377">
      <c r="A3377" s="3">
        <v>3027.0</v>
      </c>
      <c r="B3377" s="4">
        <v>45343.3112962963</v>
      </c>
      <c r="C3377" s="3" t="s">
        <v>4</v>
      </c>
    </row>
    <row r="3378">
      <c r="A3378" s="3">
        <v>5957.0</v>
      </c>
      <c r="B3378" s="4">
        <v>45343.32760416667</v>
      </c>
      <c r="C3378" s="3" t="s">
        <v>5</v>
      </c>
    </row>
    <row r="3379">
      <c r="A3379" s="3">
        <v>3696.0</v>
      </c>
      <c r="B3379" s="4">
        <v>45343.34165509259</v>
      </c>
      <c r="C3379" s="3" t="s">
        <v>3</v>
      </c>
    </row>
    <row r="3380">
      <c r="A3380" s="3">
        <v>1245.0</v>
      </c>
      <c r="B3380" s="4">
        <v>45343.34302083333</v>
      </c>
      <c r="C3380" s="3" t="s">
        <v>7</v>
      </c>
    </row>
    <row r="3381">
      <c r="A3381" s="3">
        <v>7411.0</v>
      </c>
      <c r="B3381" s="4">
        <v>45343.39197916666</v>
      </c>
      <c r="C3381" s="3" t="s">
        <v>3</v>
      </c>
    </row>
    <row r="3382">
      <c r="A3382" s="3">
        <v>7177.0</v>
      </c>
      <c r="B3382" s="4">
        <v>45343.43178240741</v>
      </c>
      <c r="C3382" s="3" t="s">
        <v>3</v>
      </c>
    </row>
    <row r="3383">
      <c r="A3383" s="3">
        <v>5455.0</v>
      </c>
      <c r="B3383" s="4">
        <v>45343.43635416667</v>
      </c>
      <c r="C3383" s="3" t="s">
        <v>4</v>
      </c>
    </row>
    <row r="3384">
      <c r="A3384" s="3">
        <v>7282.0</v>
      </c>
      <c r="B3384" s="4">
        <v>45343.4402662037</v>
      </c>
      <c r="C3384" s="3" t="s">
        <v>3</v>
      </c>
    </row>
    <row r="3385">
      <c r="A3385" s="3">
        <v>2003.0</v>
      </c>
      <c r="B3385" s="4">
        <v>45343.44326388889</v>
      </c>
      <c r="C3385" s="3" t="s">
        <v>6</v>
      </c>
    </row>
    <row r="3386">
      <c r="A3386" s="3">
        <v>8000.0</v>
      </c>
      <c r="B3386" s="4">
        <v>45343.45443287037</v>
      </c>
      <c r="C3386" s="3" t="s">
        <v>3</v>
      </c>
    </row>
    <row r="3387">
      <c r="A3387" s="3">
        <v>3096.0</v>
      </c>
      <c r="B3387" s="4">
        <v>45343.45570601852</v>
      </c>
      <c r="C3387" s="3" t="s">
        <v>3</v>
      </c>
    </row>
    <row r="3388">
      <c r="A3388" s="3">
        <v>7576.0</v>
      </c>
      <c r="B3388" s="4">
        <v>45343.463275462964</v>
      </c>
      <c r="C3388" s="3" t="s">
        <v>4</v>
      </c>
    </row>
    <row r="3389">
      <c r="A3389" s="3">
        <v>5357.0</v>
      </c>
      <c r="B3389" s="4">
        <v>45343.46836805555</v>
      </c>
      <c r="C3389" s="3" t="s">
        <v>6</v>
      </c>
    </row>
    <row r="3390">
      <c r="A3390" s="3">
        <v>3136.0</v>
      </c>
      <c r="B3390" s="4">
        <v>45343.47756944445</v>
      </c>
      <c r="C3390" s="3" t="s">
        <v>5</v>
      </c>
    </row>
    <row r="3391">
      <c r="A3391" s="3">
        <v>1452.0</v>
      </c>
      <c r="B3391" s="4">
        <v>45343.50042824074</v>
      </c>
      <c r="C3391" s="3" t="s">
        <v>6</v>
      </c>
    </row>
    <row r="3392">
      <c r="A3392" s="3">
        <v>5073.0</v>
      </c>
      <c r="B3392" s="4">
        <v>45343.51783564815</v>
      </c>
      <c r="C3392" s="3" t="s">
        <v>3</v>
      </c>
    </row>
    <row r="3393">
      <c r="A3393" s="3">
        <v>1923.0</v>
      </c>
      <c r="B3393" s="4">
        <v>45343.52547453704</v>
      </c>
      <c r="C3393" s="3" t="s">
        <v>3</v>
      </c>
    </row>
    <row r="3394">
      <c r="A3394" s="3">
        <v>3880.0</v>
      </c>
      <c r="B3394" s="4">
        <v>45343.52609953703</v>
      </c>
      <c r="C3394" s="3" t="s">
        <v>3</v>
      </c>
    </row>
    <row r="3395">
      <c r="A3395" s="3">
        <v>1514.0</v>
      </c>
      <c r="B3395" s="4">
        <v>45343.52719907407</v>
      </c>
      <c r="C3395" s="3" t="s">
        <v>7</v>
      </c>
    </row>
    <row r="3396">
      <c r="A3396" s="3">
        <v>7331.0</v>
      </c>
      <c r="B3396" s="4">
        <v>45343.56071759259</v>
      </c>
      <c r="C3396" s="3" t="s">
        <v>5</v>
      </c>
    </row>
    <row r="3397">
      <c r="A3397" s="3">
        <v>3114.0</v>
      </c>
      <c r="B3397" s="4">
        <v>45343.56329861111</v>
      </c>
      <c r="C3397" s="3" t="s">
        <v>3</v>
      </c>
    </row>
    <row r="3398">
      <c r="A3398" s="3">
        <v>3659.0</v>
      </c>
      <c r="B3398" s="4">
        <v>45343.56696759259</v>
      </c>
      <c r="C3398" s="3" t="s">
        <v>5</v>
      </c>
    </row>
    <row r="3399">
      <c r="A3399" s="3">
        <v>329.0</v>
      </c>
      <c r="B3399" s="4">
        <v>45343.602118055554</v>
      </c>
      <c r="C3399" s="3" t="s">
        <v>4</v>
      </c>
    </row>
    <row r="3400">
      <c r="A3400" s="3">
        <v>58.0</v>
      </c>
      <c r="B3400" s="4">
        <v>45343.6084837963</v>
      </c>
      <c r="C3400" s="3" t="s">
        <v>6</v>
      </c>
    </row>
    <row r="3401">
      <c r="A3401" s="3">
        <v>6461.0</v>
      </c>
      <c r="B3401" s="4">
        <v>45343.61072916666</v>
      </c>
      <c r="C3401" s="3" t="s">
        <v>3</v>
      </c>
    </row>
    <row r="3402">
      <c r="A3402" s="3">
        <v>2253.0</v>
      </c>
      <c r="B3402" s="4">
        <v>45343.644537037035</v>
      </c>
      <c r="C3402" s="3" t="s">
        <v>7</v>
      </c>
    </row>
    <row r="3403">
      <c r="A3403" s="3">
        <v>3624.0</v>
      </c>
      <c r="B3403" s="4">
        <v>45343.65085648148</v>
      </c>
      <c r="C3403" s="3" t="s">
        <v>4</v>
      </c>
    </row>
    <row r="3404">
      <c r="A3404" s="3">
        <v>6163.0</v>
      </c>
      <c r="B3404" s="4">
        <v>45343.66321759259</v>
      </c>
      <c r="C3404" s="3" t="s">
        <v>3</v>
      </c>
    </row>
    <row r="3405">
      <c r="A3405" s="3">
        <v>7045.0</v>
      </c>
      <c r="B3405" s="4">
        <v>45343.704351851855</v>
      </c>
      <c r="C3405" s="3" t="s">
        <v>3</v>
      </c>
    </row>
    <row r="3406">
      <c r="A3406" s="3">
        <v>1049.0</v>
      </c>
      <c r="B3406" s="4">
        <v>45343.747453703705</v>
      </c>
      <c r="C3406" s="3" t="s">
        <v>3</v>
      </c>
    </row>
    <row r="3407">
      <c r="A3407" s="3">
        <v>6944.0</v>
      </c>
      <c r="B3407" s="4">
        <v>45343.75246527778</v>
      </c>
      <c r="C3407" s="3" t="s">
        <v>3</v>
      </c>
    </row>
    <row r="3408">
      <c r="A3408" s="3">
        <v>3329.0</v>
      </c>
      <c r="B3408" s="4">
        <v>45343.753113425926</v>
      </c>
      <c r="C3408" s="3" t="s">
        <v>4</v>
      </c>
    </row>
    <row r="3409">
      <c r="A3409" s="3">
        <v>373.0</v>
      </c>
      <c r="B3409" s="4">
        <v>45343.75996527778</v>
      </c>
      <c r="C3409" s="3" t="s">
        <v>3</v>
      </c>
    </row>
    <row r="3410">
      <c r="A3410" s="3">
        <v>5503.0</v>
      </c>
      <c r="B3410" s="4">
        <v>45343.779016203705</v>
      </c>
      <c r="C3410" s="3" t="s">
        <v>7</v>
      </c>
    </row>
    <row r="3411">
      <c r="A3411" s="3">
        <v>6713.0</v>
      </c>
      <c r="B3411" s="4">
        <v>45343.79988425926</v>
      </c>
      <c r="C3411" s="3" t="s">
        <v>3</v>
      </c>
    </row>
    <row r="3412">
      <c r="A3412" s="3">
        <v>7358.0</v>
      </c>
      <c r="B3412" s="4">
        <v>45343.87725694444</v>
      </c>
      <c r="C3412" s="3" t="s">
        <v>3</v>
      </c>
    </row>
    <row r="3413">
      <c r="A3413" s="3">
        <v>2162.0</v>
      </c>
      <c r="B3413" s="4">
        <v>45343.88445601852</v>
      </c>
      <c r="C3413" s="3" t="s">
        <v>3</v>
      </c>
    </row>
    <row r="3414">
      <c r="A3414" s="3">
        <v>3351.0</v>
      </c>
      <c r="B3414" s="4">
        <v>45343.88545138889</v>
      </c>
      <c r="C3414" s="3" t="s">
        <v>5</v>
      </c>
    </row>
    <row r="3415">
      <c r="A3415" s="3">
        <v>5386.0</v>
      </c>
      <c r="B3415" s="4">
        <v>45343.896469907406</v>
      </c>
      <c r="C3415" s="3" t="s">
        <v>3</v>
      </c>
    </row>
    <row r="3416">
      <c r="A3416" s="3">
        <v>5493.0</v>
      </c>
      <c r="B3416" s="4">
        <v>45343.92538194444</v>
      </c>
      <c r="C3416" s="3" t="s">
        <v>3</v>
      </c>
    </row>
    <row r="3417">
      <c r="A3417" s="3">
        <v>2712.0</v>
      </c>
      <c r="B3417" s="4">
        <v>45343.93104166666</v>
      </c>
      <c r="C3417" s="3" t="s">
        <v>3</v>
      </c>
    </row>
    <row r="3418">
      <c r="A3418" s="3">
        <v>9.0</v>
      </c>
      <c r="B3418" s="4">
        <v>45343.93212962963</v>
      </c>
      <c r="C3418" s="3" t="s">
        <v>7</v>
      </c>
    </row>
    <row r="3419">
      <c r="A3419" s="3">
        <v>4858.0</v>
      </c>
      <c r="B3419" s="4">
        <v>45343.93273148148</v>
      </c>
      <c r="C3419" s="3" t="s">
        <v>7</v>
      </c>
    </row>
    <row r="3420">
      <c r="A3420" s="3">
        <v>3136.0</v>
      </c>
      <c r="B3420" s="4">
        <v>45343.940775462965</v>
      </c>
      <c r="C3420" s="3" t="s">
        <v>4</v>
      </c>
    </row>
    <row r="3421">
      <c r="A3421" s="3">
        <v>2003.0</v>
      </c>
      <c r="B3421" s="4">
        <v>45343.945497685185</v>
      </c>
      <c r="C3421" s="3" t="s">
        <v>4</v>
      </c>
    </row>
    <row r="3422">
      <c r="A3422" s="3">
        <v>7606.0</v>
      </c>
      <c r="B3422" s="4">
        <v>45343.948113425926</v>
      </c>
      <c r="C3422" s="3" t="s">
        <v>3</v>
      </c>
    </row>
    <row r="3423">
      <c r="A3423" s="3">
        <v>3930.0</v>
      </c>
      <c r="B3423" s="4">
        <v>45343.966458333336</v>
      </c>
      <c r="C3423" s="3" t="s">
        <v>6</v>
      </c>
    </row>
    <row r="3424">
      <c r="A3424" s="3">
        <v>7714.0</v>
      </c>
      <c r="B3424" s="4">
        <v>45344.001608796294</v>
      </c>
      <c r="C3424" s="3" t="s">
        <v>3</v>
      </c>
    </row>
    <row r="3425">
      <c r="A3425" s="3">
        <v>5273.0</v>
      </c>
      <c r="B3425" s="4">
        <v>45344.01899305556</v>
      </c>
      <c r="C3425" s="3" t="s">
        <v>4</v>
      </c>
    </row>
    <row r="3426">
      <c r="A3426" s="3">
        <v>1679.0</v>
      </c>
      <c r="B3426" s="4">
        <v>45344.04015046296</v>
      </c>
      <c r="C3426" s="3" t="s">
        <v>4</v>
      </c>
    </row>
    <row r="3427">
      <c r="A3427" s="3">
        <v>7260.0</v>
      </c>
      <c r="B3427" s="4">
        <v>45344.06921296296</v>
      </c>
      <c r="C3427" s="3" t="s">
        <v>6</v>
      </c>
    </row>
    <row r="3428">
      <c r="A3428" s="3">
        <v>6713.0</v>
      </c>
      <c r="B3428" s="4">
        <v>45344.09361111111</v>
      </c>
      <c r="C3428" s="3" t="s">
        <v>4</v>
      </c>
    </row>
    <row r="3429">
      <c r="A3429" s="3">
        <v>122.0</v>
      </c>
      <c r="B3429" s="4">
        <v>45344.09532407407</v>
      </c>
      <c r="C3429" s="3" t="s">
        <v>6</v>
      </c>
    </row>
    <row r="3430">
      <c r="A3430" s="3">
        <v>7282.0</v>
      </c>
      <c r="B3430" s="4">
        <v>45344.10806712963</v>
      </c>
      <c r="C3430" s="3" t="s">
        <v>6</v>
      </c>
    </row>
    <row r="3431">
      <c r="A3431" s="3">
        <v>6637.0</v>
      </c>
      <c r="B3431" s="4">
        <v>45344.14770833333</v>
      </c>
      <c r="C3431" s="3" t="s">
        <v>3</v>
      </c>
    </row>
    <row r="3432">
      <c r="A3432" s="3">
        <v>7217.0</v>
      </c>
      <c r="B3432" s="4">
        <v>45344.165451388886</v>
      </c>
      <c r="C3432" s="3" t="s">
        <v>6</v>
      </c>
    </row>
    <row r="3433">
      <c r="A3433" s="3">
        <v>2821.0</v>
      </c>
      <c r="B3433" s="4">
        <v>45344.16773148148</v>
      </c>
      <c r="C3433" s="3" t="s">
        <v>3</v>
      </c>
    </row>
    <row r="3434">
      <c r="A3434" s="3">
        <v>7076.0</v>
      </c>
      <c r="B3434" s="4">
        <v>45344.18994212963</v>
      </c>
      <c r="C3434" s="3" t="s">
        <v>4</v>
      </c>
    </row>
    <row r="3435">
      <c r="A3435" s="3">
        <v>3351.0</v>
      </c>
      <c r="B3435" s="4">
        <v>45344.20216435185</v>
      </c>
      <c r="C3435" s="3" t="s">
        <v>4</v>
      </c>
    </row>
    <row r="3436">
      <c r="A3436" s="3">
        <v>58.0</v>
      </c>
      <c r="B3436" s="4">
        <v>45344.2103125</v>
      </c>
      <c r="C3436" s="3" t="s">
        <v>4</v>
      </c>
    </row>
    <row r="3437">
      <c r="A3437" s="3">
        <v>2900.0</v>
      </c>
      <c r="B3437" s="4">
        <v>45344.230405092596</v>
      </c>
      <c r="C3437" s="3" t="s">
        <v>7</v>
      </c>
    </row>
    <row r="3438">
      <c r="A3438" s="3">
        <v>7278.0</v>
      </c>
      <c r="B3438" s="4">
        <v>45344.25078703704</v>
      </c>
      <c r="C3438" s="3" t="s">
        <v>4</v>
      </c>
    </row>
    <row r="3439">
      <c r="A3439" s="3">
        <v>7124.0</v>
      </c>
      <c r="B3439" s="4">
        <v>45344.256053240744</v>
      </c>
      <c r="C3439" s="3" t="s">
        <v>4</v>
      </c>
    </row>
    <row r="3440">
      <c r="A3440" s="3">
        <v>3217.0</v>
      </c>
      <c r="B3440" s="4">
        <v>45344.265706018516</v>
      </c>
      <c r="C3440" s="3" t="s">
        <v>3</v>
      </c>
    </row>
    <row r="3441">
      <c r="A3441" s="3">
        <v>587.0</v>
      </c>
      <c r="B3441" s="4">
        <v>45344.27226851852</v>
      </c>
      <c r="C3441" s="3" t="s">
        <v>3</v>
      </c>
    </row>
    <row r="3442">
      <c r="A3442" s="3">
        <v>1983.0</v>
      </c>
      <c r="B3442" s="4">
        <v>45344.306863425925</v>
      </c>
      <c r="C3442" s="3" t="s">
        <v>3</v>
      </c>
    </row>
    <row r="3443">
      <c r="A3443" s="3">
        <v>5304.0</v>
      </c>
      <c r="B3443" s="4">
        <v>45344.32826388889</v>
      </c>
      <c r="C3443" s="3" t="s">
        <v>6</v>
      </c>
    </row>
    <row r="3444">
      <c r="A3444" s="3">
        <v>881.0</v>
      </c>
      <c r="B3444" s="4">
        <v>45344.3365162037</v>
      </c>
      <c r="C3444" s="3" t="s">
        <v>6</v>
      </c>
    </row>
    <row r="3445">
      <c r="A3445" s="3">
        <v>5539.0</v>
      </c>
      <c r="B3445" s="4">
        <v>45344.344976851855</v>
      </c>
      <c r="C3445" s="3" t="s">
        <v>7</v>
      </c>
    </row>
    <row r="3446">
      <c r="A3446" s="3">
        <v>4861.0</v>
      </c>
      <c r="B3446" s="4">
        <v>45344.35319444445</v>
      </c>
      <c r="C3446" s="3" t="s">
        <v>4</v>
      </c>
    </row>
    <row r="3447">
      <c r="A3447" s="3">
        <v>743.0</v>
      </c>
      <c r="B3447" s="4">
        <v>45344.35643518518</v>
      </c>
      <c r="C3447" s="3" t="s">
        <v>3</v>
      </c>
    </row>
    <row r="3448">
      <c r="A3448" s="3">
        <v>428.0</v>
      </c>
      <c r="B3448" s="4">
        <v>45344.36400462963</v>
      </c>
      <c r="C3448" s="3" t="s">
        <v>3</v>
      </c>
    </row>
    <row r="3449">
      <c r="A3449" s="3">
        <v>7251.0</v>
      </c>
      <c r="B3449" s="4">
        <v>45344.37997685185</v>
      </c>
      <c r="C3449" s="3" t="s">
        <v>3</v>
      </c>
    </row>
    <row r="3450">
      <c r="A3450" s="3">
        <v>4352.0</v>
      </c>
      <c r="B3450" s="4">
        <v>45344.384351851855</v>
      </c>
      <c r="C3450" s="3" t="s">
        <v>3</v>
      </c>
    </row>
    <row r="3451">
      <c r="A3451" s="3">
        <v>6952.0</v>
      </c>
      <c r="B3451" s="4">
        <v>45344.39047453704</v>
      </c>
      <c r="C3451" s="3" t="s">
        <v>6</v>
      </c>
    </row>
    <row r="3452">
      <c r="A3452" s="3">
        <v>7945.0</v>
      </c>
      <c r="B3452" s="4">
        <v>45344.390694444446</v>
      </c>
      <c r="C3452" s="3" t="s">
        <v>7</v>
      </c>
    </row>
    <row r="3453">
      <c r="A3453" s="3">
        <v>415.0</v>
      </c>
      <c r="B3453" s="4">
        <v>45344.41869212963</v>
      </c>
      <c r="C3453" s="3" t="s">
        <v>7</v>
      </c>
    </row>
    <row r="3454">
      <c r="A3454" s="3">
        <v>1049.0</v>
      </c>
      <c r="B3454" s="4">
        <v>45344.42383101852</v>
      </c>
      <c r="C3454" s="3" t="s">
        <v>4</v>
      </c>
    </row>
    <row r="3455">
      <c r="A3455" s="3">
        <v>5890.0</v>
      </c>
      <c r="B3455" s="4">
        <v>45344.43261574074</v>
      </c>
      <c r="C3455" s="3" t="s">
        <v>4</v>
      </c>
    </row>
    <row r="3456">
      <c r="A3456" s="3">
        <v>651.0</v>
      </c>
      <c r="B3456" s="4">
        <v>45344.46465277778</v>
      </c>
      <c r="C3456" s="3" t="s">
        <v>3</v>
      </c>
    </row>
    <row r="3457">
      <c r="A3457" s="3">
        <v>1686.0</v>
      </c>
      <c r="B3457" s="4">
        <v>45344.46969907408</v>
      </c>
      <c r="C3457" s="3" t="s">
        <v>3</v>
      </c>
    </row>
    <row r="3458">
      <c r="A3458" s="3">
        <v>4132.0</v>
      </c>
      <c r="B3458" s="4">
        <v>45344.50443287037</v>
      </c>
      <c r="C3458" s="3" t="s">
        <v>4</v>
      </c>
    </row>
    <row r="3459">
      <c r="A3459" s="3">
        <v>3348.0</v>
      </c>
      <c r="B3459" s="4">
        <v>45344.519525462965</v>
      </c>
      <c r="C3459" s="3" t="s">
        <v>3</v>
      </c>
    </row>
    <row r="3460">
      <c r="A3460" s="3">
        <v>811.0</v>
      </c>
      <c r="B3460" s="4">
        <v>45344.52287037037</v>
      </c>
      <c r="C3460" s="3" t="s">
        <v>3</v>
      </c>
    </row>
    <row r="3461">
      <c r="A3461" s="3">
        <v>199.0</v>
      </c>
      <c r="B3461" s="4">
        <v>45344.53704861111</v>
      </c>
      <c r="C3461" s="3" t="s">
        <v>7</v>
      </c>
    </row>
    <row r="3462">
      <c r="A3462" s="3">
        <v>3661.0</v>
      </c>
      <c r="B3462" s="4">
        <v>45344.539664351854</v>
      </c>
      <c r="C3462" s="3" t="s">
        <v>3</v>
      </c>
    </row>
    <row r="3463">
      <c r="A3463" s="3">
        <v>7033.0</v>
      </c>
      <c r="B3463" s="4">
        <v>45344.54472222222</v>
      </c>
      <c r="C3463" s="3" t="s">
        <v>6</v>
      </c>
    </row>
    <row r="3464">
      <c r="A3464" s="3">
        <v>182.0</v>
      </c>
      <c r="B3464" s="4">
        <v>45344.545902777776</v>
      </c>
      <c r="C3464" s="3" t="s">
        <v>3</v>
      </c>
    </row>
    <row r="3465">
      <c r="A3465" s="3">
        <v>6104.0</v>
      </c>
      <c r="B3465" s="4">
        <v>45344.54614583333</v>
      </c>
      <c r="C3465" s="3" t="s">
        <v>3</v>
      </c>
    </row>
    <row r="3466">
      <c r="A3466" s="3">
        <v>4722.0</v>
      </c>
      <c r="B3466" s="4">
        <v>45344.5769212963</v>
      </c>
      <c r="C3466" s="3" t="s">
        <v>4</v>
      </c>
    </row>
    <row r="3467">
      <c r="A3467" s="3">
        <v>3096.0</v>
      </c>
      <c r="B3467" s="4">
        <v>45344.59417824074</v>
      </c>
      <c r="C3467" s="3" t="s">
        <v>5</v>
      </c>
    </row>
    <row r="3468">
      <c r="A3468" s="3">
        <v>2244.0</v>
      </c>
      <c r="B3468" s="4">
        <v>45344.59699074074</v>
      </c>
      <c r="C3468" s="3" t="s">
        <v>4</v>
      </c>
    </row>
    <row r="3469">
      <c r="A3469" s="3">
        <v>3659.0</v>
      </c>
      <c r="B3469" s="4">
        <v>45344.61158564815</v>
      </c>
      <c r="C3469" s="3" t="s">
        <v>4</v>
      </c>
    </row>
    <row r="3470">
      <c r="A3470" s="3">
        <v>3438.0</v>
      </c>
      <c r="B3470" s="4">
        <v>45344.61717592592</v>
      </c>
      <c r="C3470" s="3" t="s">
        <v>7</v>
      </c>
    </row>
    <row r="3471">
      <c r="A3471" s="3">
        <v>4804.0</v>
      </c>
      <c r="B3471" s="4">
        <v>45344.64792824074</v>
      </c>
      <c r="C3471" s="3" t="s">
        <v>3</v>
      </c>
    </row>
    <row r="3472">
      <c r="A3472" s="3">
        <v>7739.0</v>
      </c>
      <c r="B3472" s="4">
        <v>45344.64989583333</v>
      </c>
      <c r="C3472" s="3" t="s">
        <v>3</v>
      </c>
    </row>
    <row r="3473">
      <c r="A3473" s="3">
        <v>1204.0</v>
      </c>
      <c r="B3473" s="4">
        <v>45344.67501157407</v>
      </c>
      <c r="C3473" s="3" t="s">
        <v>6</v>
      </c>
    </row>
    <row r="3474">
      <c r="A3474" s="3">
        <v>677.0</v>
      </c>
      <c r="B3474" s="4">
        <v>45344.70108796296</v>
      </c>
      <c r="C3474" s="3" t="s">
        <v>5</v>
      </c>
    </row>
    <row r="3475">
      <c r="A3475" s="3">
        <v>1508.0</v>
      </c>
      <c r="B3475" s="4">
        <v>45344.70391203704</v>
      </c>
      <c r="C3475" s="3" t="s">
        <v>4</v>
      </c>
    </row>
    <row r="3476">
      <c r="A3476" s="3">
        <v>3471.0</v>
      </c>
      <c r="B3476" s="4">
        <v>45344.73672453704</v>
      </c>
      <c r="C3476" s="3" t="s">
        <v>6</v>
      </c>
    </row>
    <row r="3477">
      <c r="A3477" s="3">
        <v>3348.0</v>
      </c>
      <c r="B3477" s="4">
        <v>45344.742638888885</v>
      </c>
      <c r="C3477" s="3" t="s">
        <v>4</v>
      </c>
    </row>
    <row r="3478">
      <c r="A3478" s="3">
        <v>1204.0</v>
      </c>
      <c r="B3478" s="4">
        <v>45344.75622685185</v>
      </c>
      <c r="C3478" s="3" t="s">
        <v>7</v>
      </c>
    </row>
    <row r="3479">
      <c r="A3479" s="3">
        <v>6256.0</v>
      </c>
      <c r="B3479" s="4">
        <v>45344.75653935185</v>
      </c>
      <c r="C3479" s="3" t="s">
        <v>3</v>
      </c>
    </row>
    <row r="3480">
      <c r="A3480" s="3">
        <v>5890.0</v>
      </c>
      <c r="B3480" s="4">
        <v>45344.782534722224</v>
      </c>
      <c r="C3480" s="3" t="s">
        <v>3</v>
      </c>
    </row>
    <row r="3481">
      <c r="A3481" s="3">
        <v>1508.0</v>
      </c>
      <c r="B3481" s="4">
        <v>45344.80123842593</v>
      </c>
      <c r="C3481" s="3" t="s">
        <v>3</v>
      </c>
    </row>
    <row r="3482">
      <c r="A3482" s="3">
        <v>7124.0</v>
      </c>
      <c r="B3482" s="4">
        <v>45344.81061342593</v>
      </c>
      <c r="C3482" s="3" t="s">
        <v>3</v>
      </c>
    </row>
    <row r="3483">
      <c r="A3483" s="3">
        <v>5503.0</v>
      </c>
      <c r="B3483" s="4">
        <v>45344.81952546296</v>
      </c>
      <c r="C3483" s="3" t="s">
        <v>6</v>
      </c>
    </row>
    <row r="3484">
      <c r="A3484" s="3">
        <v>7805.0</v>
      </c>
      <c r="B3484" s="4">
        <v>45344.82913194445</v>
      </c>
      <c r="C3484" s="3" t="s">
        <v>5</v>
      </c>
    </row>
    <row r="3485">
      <c r="A3485" s="3">
        <v>7456.0</v>
      </c>
      <c r="B3485" s="4">
        <v>45344.83130787037</v>
      </c>
      <c r="C3485" s="3" t="s">
        <v>3</v>
      </c>
    </row>
    <row r="3486">
      <c r="A3486" s="3">
        <v>333.0</v>
      </c>
      <c r="B3486" s="4">
        <v>45344.84119212963</v>
      </c>
      <c r="C3486" s="3" t="s">
        <v>6</v>
      </c>
    </row>
    <row r="3487">
      <c r="A3487" s="3">
        <v>5455.0</v>
      </c>
      <c r="B3487" s="4">
        <v>45344.85667824074</v>
      </c>
      <c r="C3487" s="3" t="s">
        <v>7</v>
      </c>
    </row>
    <row r="3488">
      <c r="A3488" s="3">
        <v>6233.0</v>
      </c>
      <c r="B3488" s="4">
        <v>45344.86184027778</v>
      </c>
      <c r="C3488" s="3" t="s">
        <v>5</v>
      </c>
    </row>
    <row r="3489">
      <c r="A3489" s="3">
        <v>7076.0</v>
      </c>
      <c r="B3489" s="4">
        <v>45344.89172453704</v>
      </c>
      <c r="C3489" s="3" t="s">
        <v>3</v>
      </c>
    </row>
    <row r="3490">
      <c r="A3490" s="3">
        <v>1813.0</v>
      </c>
      <c r="B3490" s="4">
        <v>45344.90587962963</v>
      </c>
      <c r="C3490" s="3" t="s">
        <v>4</v>
      </c>
    </row>
    <row r="3491">
      <c r="A3491" s="3">
        <v>7805.0</v>
      </c>
      <c r="B3491" s="4">
        <v>45344.91101851852</v>
      </c>
      <c r="C3491" s="3" t="s">
        <v>6</v>
      </c>
    </row>
    <row r="3492">
      <c r="A3492" s="3">
        <v>2629.0</v>
      </c>
      <c r="B3492" s="4">
        <v>45344.94483796296</v>
      </c>
      <c r="C3492" s="3" t="s">
        <v>7</v>
      </c>
    </row>
    <row r="3493">
      <c r="A3493" s="3">
        <v>58.0</v>
      </c>
      <c r="B3493" s="4">
        <v>45344.945625</v>
      </c>
      <c r="C3493" s="3" t="s">
        <v>7</v>
      </c>
    </row>
    <row r="3494">
      <c r="A3494" s="3">
        <v>6461.0</v>
      </c>
      <c r="B3494" s="4">
        <v>45344.9509375</v>
      </c>
      <c r="C3494" s="3" t="s">
        <v>4</v>
      </c>
    </row>
    <row r="3495">
      <c r="A3495" s="3">
        <v>4740.0</v>
      </c>
      <c r="B3495" s="4">
        <v>45344.95300925926</v>
      </c>
      <c r="C3495" s="3" t="s">
        <v>3</v>
      </c>
    </row>
    <row r="3496">
      <c r="A3496" s="3">
        <v>2629.0</v>
      </c>
      <c r="B3496" s="4">
        <v>45344.95616898148</v>
      </c>
      <c r="C3496" s="3" t="s">
        <v>5</v>
      </c>
    </row>
    <row r="3497">
      <c r="A3497" s="3">
        <v>7517.0</v>
      </c>
      <c r="B3497" s="4">
        <v>45344.966828703706</v>
      </c>
      <c r="C3497" s="3" t="s">
        <v>3</v>
      </c>
    </row>
    <row r="3498">
      <c r="A3498" s="3">
        <v>1050.0</v>
      </c>
      <c r="B3498" s="4">
        <v>45344.974224537036</v>
      </c>
      <c r="C3498" s="3" t="s">
        <v>7</v>
      </c>
    </row>
    <row r="3499">
      <c r="A3499" s="3">
        <v>333.0</v>
      </c>
      <c r="B3499" s="4">
        <v>45344.975324074076</v>
      </c>
      <c r="C3499" s="3" t="s">
        <v>7</v>
      </c>
    </row>
    <row r="3500">
      <c r="A3500" s="3">
        <v>7121.0</v>
      </c>
      <c r="B3500" s="4">
        <v>45344.9799537037</v>
      </c>
      <c r="C3500" s="3" t="s">
        <v>3</v>
      </c>
    </row>
    <row r="3501">
      <c r="A3501" s="3">
        <v>1563.0</v>
      </c>
      <c r="B3501" s="4">
        <v>45344.988541666666</v>
      </c>
      <c r="C3501" s="3" t="s">
        <v>6</v>
      </c>
    </row>
    <row r="3502">
      <c r="A3502" s="3">
        <v>6952.0</v>
      </c>
      <c r="B3502" s="4">
        <v>45345.01175925926</v>
      </c>
      <c r="C3502" s="3" t="s">
        <v>5</v>
      </c>
    </row>
    <row r="3503">
      <c r="A3503" s="3">
        <v>1860.0</v>
      </c>
      <c r="B3503" s="4">
        <v>45345.04209490741</v>
      </c>
      <c r="C3503" s="3" t="s">
        <v>3</v>
      </c>
    </row>
    <row r="3504">
      <c r="A3504" s="3">
        <v>7000.0</v>
      </c>
      <c r="B3504" s="4">
        <v>45345.04775462963</v>
      </c>
      <c r="C3504" s="3" t="s">
        <v>4</v>
      </c>
    </row>
    <row r="3505">
      <c r="A3505" s="3">
        <v>7994.0</v>
      </c>
      <c r="B3505" s="4">
        <v>45345.087060185186</v>
      </c>
      <c r="C3505" s="3" t="s">
        <v>3</v>
      </c>
    </row>
    <row r="3506">
      <c r="A3506" s="3">
        <v>1508.0</v>
      </c>
      <c r="B3506" s="4">
        <v>45345.09976851852</v>
      </c>
      <c r="C3506" s="3" t="s">
        <v>5</v>
      </c>
    </row>
    <row r="3507">
      <c r="A3507" s="3">
        <v>2289.0</v>
      </c>
      <c r="B3507" s="4">
        <v>45345.105532407404</v>
      </c>
      <c r="C3507" s="3" t="s">
        <v>3</v>
      </c>
    </row>
    <row r="3508">
      <c r="A3508" s="3">
        <v>2958.0</v>
      </c>
      <c r="B3508" s="4">
        <v>45345.14034722222</v>
      </c>
      <c r="C3508" s="3" t="s">
        <v>3</v>
      </c>
    </row>
    <row r="3509">
      <c r="A3509" s="3">
        <v>5493.0</v>
      </c>
      <c r="B3509" s="4">
        <v>45345.155023148145</v>
      </c>
      <c r="C3509" s="3" t="s">
        <v>4</v>
      </c>
    </row>
    <row r="3510">
      <c r="A3510" s="3">
        <v>3482.0</v>
      </c>
      <c r="B3510" s="4">
        <v>45345.16131944444</v>
      </c>
      <c r="C3510" s="3" t="s">
        <v>3</v>
      </c>
    </row>
    <row r="3511">
      <c r="A3511" s="3">
        <v>7799.0</v>
      </c>
      <c r="B3511" s="4">
        <v>45345.1862962963</v>
      </c>
      <c r="C3511" s="3" t="s">
        <v>3</v>
      </c>
    </row>
    <row r="3512">
      <c r="A3512" s="3">
        <v>6700.0</v>
      </c>
      <c r="B3512" s="4">
        <v>45345.21739583334</v>
      </c>
      <c r="C3512" s="3" t="s">
        <v>3</v>
      </c>
    </row>
    <row r="3513">
      <c r="A3513" s="3">
        <v>6144.0</v>
      </c>
      <c r="B3513" s="4">
        <v>45345.219247685185</v>
      </c>
      <c r="C3513" s="3" t="s">
        <v>3</v>
      </c>
    </row>
    <row r="3514">
      <c r="A3514" s="3">
        <v>7606.0</v>
      </c>
      <c r="B3514" s="4">
        <v>45345.22179398148</v>
      </c>
      <c r="C3514" s="3" t="s">
        <v>6</v>
      </c>
    </row>
    <row r="3515">
      <c r="A3515" s="3">
        <v>743.0</v>
      </c>
      <c r="B3515" s="4">
        <v>45345.229212962964</v>
      </c>
      <c r="C3515" s="3" t="s">
        <v>4</v>
      </c>
    </row>
    <row r="3516">
      <c r="A3516" s="3">
        <v>4550.0</v>
      </c>
      <c r="B3516" s="4">
        <v>45345.233194444445</v>
      </c>
      <c r="C3516" s="3" t="s">
        <v>3</v>
      </c>
    </row>
    <row r="3517">
      <c r="A3517" s="3">
        <v>7000.0</v>
      </c>
      <c r="B3517" s="4">
        <v>45345.238171296296</v>
      </c>
      <c r="C3517" s="3" t="s">
        <v>3</v>
      </c>
    </row>
    <row r="3518">
      <c r="A3518" s="3">
        <v>6049.0</v>
      </c>
      <c r="B3518" s="4">
        <v>45345.23841435185</v>
      </c>
      <c r="C3518" s="3" t="s">
        <v>4</v>
      </c>
    </row>
    <row r="3519">
      <c r="A3519" s="3">
        <v>1860.0</v>
      </c>
      <c r="B3519" s="4">
        <v>45345.23892361111</v>
      </c>
      <c r="C3519" s="3" t="s">
        <v>4</v>
      </c>
    </row>
    <row r="3520">
      <c r="A3520" s="3">
        <v>1508.0</v>
      </c>
      <c r="B3520" s="4">
        <v>45345.253067129626</v>
      </c>
      <c r="C3520" s="3" t="s">
        <v>6</v>
      </c>
    </row>
    <row r="3521">
      <c r="A3521" s="3">
        <v>1791.0</v>
      </c>
      <c r="B3521" s="4">
        <v>45345.254212962966</v>
      </c>
      <c r="C3521" s="3" t="s">
        <v>6</v>
      </c>
    </row>
    <row r="3522">
      <c r="A3522" s="3">
        <v>6049.0</v>
      </c>
      <c r="B3522" s="4">
        <v>45345.26994212963</v>
      </c>
      <c r="C3522" s="3" t="s">
        <v>3</v>
      </c>
    </row>
    <row r="3523">
      <c r="A3523" s="3">
        <v>4487.0</v>
      </c>
      <c r="B3523" s="4">
        <v>45345.28011574074</v>
      </c>
      <c r="C3523" s="3" t="s">
        <v>3</v>
      </c>
    </row>
    <row r="3524">
      <c r="A3524" s="3">
        <v>2908.0</v>
      </c>
      <c r="B3524" s="4">
        <v>45345.30777777778</v>
      </c>
      <c r="C3524" s="3" t="s">
        <v>3</v>
      </c>
    </row>
    <row r="3525">
      <c r="A3525" s="3">
        <v>2958.0</v>
      </c>
      <c r="B3525" s="4">
        <v>45345.309212962966</v>
      </c>
      <c r="C3525" s="3" t="s">
        <v>4</v>
      </c>
    </row>
    <row r="3526">
      <c r="A3526" s="3">
        <v>1672.0</v>
      </c>
      <c r="B3526" s="4">
        <v>45345.31266203704</v>
      </c>
      <c r="C3526" s="3" t="s">
        <v>6</v>
      </c>
    </row>
    <row r="3527">
      <c r="A3527" s="3">
        <v>7622.0</v>
      </c>
      <c r="B3527" s="4">
        <v>45345.364120370374</v>
      </c>
      <c r="C3527" s="3" t="s">
        <v>3</v>
      </c>
    </row>
    <row r="3528">
      <c r="A3528" s="3">
        <v>411.0</v>
      </c>
      <c r="B3528" s="4">
        <v>45345.393900462965</v>
      </c>
      <c r="C3528" s="3" t="s">
        <v>6</v>
      </c>
    </row>
    <row r="3529">
      <c r="A3529" s="3">
        <v>7000.0</v>
      </c>
      <c r="B3529" s="4">
        <v>45345.398414351854</v>
      </c>
      <c r="C3529" s="3" t="s">
        <v>5</v>
      </c>
    </row>
    <row r="3530">
      <c r="A3530" s="3">
        <v>3862.0</v>
      </c>
      <c r="B3530" s="4">
        <v>45345.400555555556</v>
      </c>
      <c r="C3530" s="3" t="s">
        <v>6</v>
      </c>
    </row>
    <row r="3531">
      <c r="A3531" s="3">
        <v>255.0</v>
      </c>
      <c r="B3531" s="4">
        <v>45345.40534722222</v>
      </c>
      <c r="C3531" s="3" t="s">
        <v>6</v>
      </c>
    </row>
    <row r="3532">
      <c r="A3532" s="3">
        <v>6637.0</v>
      </c>
      <c r="B3532" s="4">
        <v>45345.422118055554</v>
      </c>
      <c r="C3532" s="3" t="s">
        <v>4</v>
      </c>
    </row>
    <row r="3533">
      <c r="A3533" s="3">
        <v>7452.0</v>
      </c>
      <c r="B3533" s="4">
        <v>45345.437002314815</v>
      </c>
      <c r="C3533" s="3" t="s">
        <v>4</v>
      </c>
    </row>
    <row r="3534">
      <c r="A3534" s="3">
        <v>743.0</v>
      </c>
      <c r="B3534" s="4">
        <v>45345.450833333336</v>
      </c>
      <c r="C3534" s="3" t="s">
        <v>6</v>
      </c>
    </row>
    <row r="3535">
      <c r="A3535" s="3">
        <v>6233.0</v>
      </c>
      <c r="B3535" s="4">
        <v>45345.45637731482</v>
      </c>
      <c r="C3535" s="3" t="s">
        <v>7</v>
      </c>
    </row>
    <row r="3536">
      <c r="A3536" s="3">
        <v>6346.0</v>
      </c>
      <c r="B3536" s="4">
        <v>45345.47913194444</v>
      </c>
      <c r="C3536" s="3" t="s">
        <v>3</v>
      </c>
    </row>
    <row r="3537">
      <c r="A3537" s="3">
        <v>6713.0</v>
      </c>
      <c r="B3537" s="4">
        <v>45345.48324074074</v>
      </c>
      <c r="C3537" s="3" t="s">
        <v>5</v>
      </c>
    </row>
    <row r="3538">
      <c r="A3538" s="3">
        <v>5212.0</v>
      </c>
      <c r="B3538" s="4">
        <v>45345.51148148148</v>
      </c>
      <c r="C3538" s="3" t="s">
        <v>3</v>
      </c>
    </row>
    <row r="3539">
      <c r="A3539" s="3">
        <v>7282.0</v>
      </c>
      <c r="B3539" s="4">
        <v>45345.534224537034</v>
      </c>
      <c r="C3539" s="3" t="s">
        <v>4</v>
      </c>
    </row>
    <row r="3540">
      <c r="A3540" s="3">
        <v>6626.0</v>
      </c>
      <c r="B3540" s="4">
        <v>45345.53886574074</v>
      </c>
      <c r="C3540" s="3" t="s">
        <v>3</v>
      </c>
    </row>
    <row r="3541">
      <c r="A3541" s="3">
        <v>4538.0</v>
      </c>
      <c r="B3541" s="4">
        <v>45345.552094907405</v>
      </c>
      <c r="C3541" s="3" t="s">
        <v>3</v>
      </c>
    </row>
    <row r="3542">
      <c r="A3542" s="3">
        <v>6817.0</v>
      </c>
      <c r="B3542" s="4">
        <v>45345.58681712963</v>
      </c>
      <c r="C3542" s="3" t="s">
        <v>3</v>
      </c>
    </row>
    <row r="3543">
      <c r="A3543" s="3">
        <v>1184.0</v>
      </c>
      <c r="B3543" s="4">
        <v>45345.59106481481</v>
      </c>
      <c r="C3543" s="3" t="s">
        <v>3</v>
      </c>
    </row>
    <row r="3544">
      <c r="A3544" s="3">
        <v>6626.0</v>
      </c>
      <c r="B3544" s="4">
        <v>45345.592141203706</v>
      </c>
      <c r="C3544" s="3" t="s">
        <v>4</v>
      </c>
    </row>
    <row r="3545">
      <c r="A3545" s="3">
        <v>4202.0</v>
      </c>
      <c r="B3545" s="4">
        <v>45345.59998842593</v>
      </c>
      <c r="C3545" s="3" t="s">
        <v>3</v>
      </c>
    </row>
    <row r="3546">
      <c r="A3546" s="3">
        <v>1602.0</v>
      </c>
      <c r="B3546" s="4">
        <v>45345.62163194444</v>
      </c>
      <c r="C3546" s="3" t="s">
        <v>3</v>
      </c>
    </row>
    <row r="3547">
      <c r="A3547" s="3">
        <v>7606.0</v>
      </c>
      <c r="B3547" s="4">
        <v>45345.63486111111</v>
      </c>
      <c r="C3547" s="3" t="s">
        <v>7</v>
      </c>
    </row>
    <row r="3548">
      <c r="A3548" s="3">
        <v>7765.0</v>
      </c>
      <c r="B3548" s="4">
        <v>45345.659525462965</v>
      </c>
      <c r="C3548" s="3" t="s">
        <v>3</v>
      </c>
    </row>
    <row r="3549">
      <c r="A3549" s="3">
        <v>588.0</v>
      </c>
      <c r="B3549" s="4">
        <v>45345.68109953704</v>
      </c>
      <c r="C3549" s="3" t="s">
        <v>4</v>
      </c>
    </row>
    <row r="3550">
      <c r="A3550" s="3">
        <v>4995.0</v>
      </c>
      <c r="B3550" s="4">
        <v>45345.68846064815</v>
      </c>
      <c r="C3550" s="3" t="s">
        <v>3</v>
      </c>
    </row>
    <row r="3551">
      <c r="A3551" s="3">
        <v>4740.0</v>
      </c>
      <c r="B3551" s="4">
        <v>45345.690254629626</v>
      </c>
      <c r="C3551" s="3" t="s">
        <v>5</v>
      </c>
    </row>
    <row r="3552">
      <c r="A3552" s="3">
        <v>5890.0</v>
      </c>
      <c r="B3552" s="4">
        <v>45345.69902777778</v>
      </c>
      <c r="C3552" s="3" t="s">
        <v>6</v>
      </c>
    </row>
    <row r="3553">
      <c r="A3553" s="3">
        <v>48.0</v>
      </c>
      <c r="B3553" s="4">
        <v>45345.71528935185</v>
      </c>
      <c r="C3553" s="3" t="s">
        <v>4</v>
      </c>
    </row>
    <row r="3554">
      <c r="A3554" s="3">
        <v>3438.0</v>
      </c>
      <c r="B3554" s="4">
        <v>45345.726122685184</v>
      </c>
      <c r="C3554" s="3" t="s">
        <v>5</v>
      </c>
    </row>
    <row r="3555">
      <c r="A3555" s="3">
        <v>5957.0</v>
      </c>
      <c r="B3555" s="4">
        <v>45345.73818287037</v>
      </c>
      <c r="C3555" s="3" t="s">
        <v>6</v>
      </c>
    </row>
    <row r="3556">
      <c r="A3556" s="3">
        <v>2020.0</v>
      </c>
      <c r="B3556" s="4">
        <v>45345.746342592596</v>
      </c>
      <c r="C3556" s="3" t="s">
        <v>3</v>
      </c>
    </row>
    <row r="3557">
      <c r="A3557" s="3">
        <v>7331.0</v>
      </c>
      <c r="B3557" s="4">
        <v>45345.75119212963</v>
      </c>
      <c r="C3557" s="3" t="s">
        <v>4</v>
      </c>
    </row>
    <row r="3558">
      <c r="A3558" s="3">
        <v>1097.0</v>
      </c>
      <c r="B3558" s="4">
        <v>45345.766689814816</v>
      </c>
      <c r="C3558" s="3" t="s">
        <v>3</v>
      </c>
    </row>
    <row r="3559">
      <c r="A3559" s="3">
        <v>3258.0</v>
      </c>
      <c r="B3559" s="4">
        <v>45345.789988425924</v>
      </c>
      <c r="C3559" s="3" t="s">
        <v>5</v>
      </c>
    </row>
    <row r="3560">
      <c r="A3560" s="3">
        <v>3096.0</v>
      </c>
      <c r="B3560" s="4">
        <v>45345.795752314814</v>
      </c>
      <c r="C3560" s="3" t="s">
        <v>6</v>
      </c>
    </row>
    <row r="3561">
      <c r="A3561" s="3">
        <v>1156.0</v>
      </c>
      <c r="B3561" s="4">
        <v>45345.80537037037</v>
      </c>
      <c r="C3561" s="3" t="s">
        <v>3</v>
      </c>
    </row>
    <row r="3562">
      <c r="A3562" s="3">
        <v>3661.0</v>
      </c>
      <c r="B3562" s="4">
        <v>45345.83128472222</v>
      </c>
      <c r="C3562" s="3" t="s">
        <v>5</v>
      </c>
    </row>
    <row r="3563">
      <c r="A3563" s="3">
        <v>7068.0</v>
      </c>
      <c r="B3563" s="4">
        <v>45345.831342592595</v>
      </c>
      <c r="C3563" s="3" t="s">
        <v>3</v>
      </c>
    </row>
    <row r="3564">
      <c r="A3564" s="3">
        <v>4343.0</v>
      </c>
      <c r="B3564" s="4">
        <v>45345.844618055555</v>
      </c>
      <c r="C3564" s="3" t="s">
        <v>3</v>
      </c>
    </row>
    <row r="3565">
      <c r="A3565" s="3">
        <v>5493.0</v>
      </c>
      <c r="B3565" s="4">
        <v>45345.88086805555</v>
      </c>
      <c r="C3565" s="3" t="s">
        <v>7</v>
      </c>
    </row>
    <row r="3566">
      <c r="A3566" s="3">
        <v>3217.0</v>
      </c>
      <c r="B3566" s="4">
        <v>45345.88201388889</v>
      </c>
      <c r="C3566" s="3" t="s">
        <v>4</v>
      </c>
    </row>
    <row r="3567">
      <c r="A3567" s="3">
        <v>685.0</v>
      </c>
      <c r="B3567" s="4">
        <v>45345.90524305555</v>
      </c>
      <c r="C3567" s="3" t="s">
        <v>3</v>
      </c>
    </row>
    <row r="3568">
      <c r="A3568" s="3">
        <v>5304.0</v>
      </c>
      <c r="B3568" s="4">
        <v>45345.90996527778</v>
      </c>
      <c r="C3568" s="3" t="s">
        <v>5</v>
      </c>
    </row>
    <row r="3569">
      <c r="A3569" s="3">
        <v>7452.0</v>
      </c>
      <c r="B3569" s="4">
        <v>45345.9103125</v>
      </c>
      <c r="C3569" s="3" t="s">
        <v>3</v>
      </c>
    </row>
    <row r="3570">
      <c r="A3570" s="3">
        <v>7606.0</v>
      </c>
      <c r="B3570" s="4">
        <v>45345.94466435185</v>
      </c>
      <c r="C3570" s="3" t="s">
        <v>5</v>
      </c>
    </row>
    <row r="3571">
      <c r="A3571" s="3">
        <v>6817.0</v>
      </c>
      <c r="B3571" s="4">
        <v>45345.95395833333</v>
      </c>
      <c r="C3571" s="3" t="s">
        <v>4</v>
      </c>
    </row>
    <row r="3572">
      <c r="A3572" s="3">
        <v>7294.0</v>
      </c>
      <c r="B3572" s="4">
        <v>45345.97756944445</v>
      </c>
      <c r="C3572" s="3" t="s">
        <v>3</v>
      </c>
    </row>
    <row r="3573">
      <c r="A3573" s="3">
        <v>3461.0</v>
      </c>
      <c r="B3573" s="4">
        <v>45346.006631944445</v>
      </c>
      <c r="C3573" s="3" t="s">
        <v>4</v>
      </c>
    </row>
    <row r="3574">
      <c r="A3574" s="3">
        <v>4538.0</v>
      </c>
      <c r="B3574" s="4">
        <v>45346.00819444445</v>
      </c>
      <c r="C3574" s="3" t="s">
        <v>4</v>
      </c>
    </row>
    <row r="3575">
      <c r="A3575" s="3">
        <v>3525.0</v>
      </c>
      <c r="B3575" s="4">
        <v>45346.014074074075</v>
      </c>
      <c r="C3575" s="3" t="s">
        <v>3</v>
      </c>
    </row>
    <row r="3576">
      <c r="A3576" s="3">
        <v>7208.0</v>
      </c>
      <c r="B3576" s="4">
        <v>45346.02637731482</v>
      </c>
      <c r="C3576" s="3" t="s">
        <v>4</v>
      </c>
    </row>
    <row r="3577">
      <c r="A3577" s="3">
        <v>3904.0</v>
      </c>
      <c r="B3577" s="4">
        <v>45346.03582175926</v>
      </c>
      <c r="C3577" s="3" t="s">
        <v>3</v>
      </c>
    </row>
    <row r="3578">
      <c r="A3578" s="3">
        <v>80.0</v>
      </c>
      <c r="B3578" s="4">
        <v>45346.06518518519</v>
      </c>
      <c r="C3578" s="3" t="s">
        <v>3</v>
      </c>
    </row>
    <row r="3579">
      <c r="A3579" s="3">
        <v>6700.0</v>
      </c>
      <c r="B3579" s="4">
        <v>45346.0703125</v>
      </c>
      <c r="C3579" s="3" t="s">
        <v>7</v>
      </c>
    </row>
    <row r="3580">
      <c r="A3580" s="3">
        <v>3552.0</v>
      </c>
      <c r="B3580" s="4">
        <v>45346.08631944445</v>
      </c>
      <c r="C3580" s="3" t="s">
        <v>3</v>
      </c>
    </row>
    <row r="3581">
      <c r="A3581" s="3">
        <v>4538.0</v>
      </c>
      <c r="B3581" s="4">
        <v>45346.10221064815</v>
      </c>
      <c r="C3581" s="3" t="s">
        <v>5</v>
      </c>
    </row>
    <row r="3582">
      <c r="A3582" s="3">
        <v>199.0</v>
      </c>
      <c r="B3582" s="4">
        <v>45346.10365740741</v>
      </c>
      <c r="C3582" s="3" t="s">
        <v>5</v>
      </c>
    </row>
    <row r="3583">
      <c r="A3583" s="3">
        <v>6217.0</v>
      </c>
      <c r="B3583" s="4">
        <v>45346.10818287037</v>
      </c>
      <c r="C3583" s="3" t="s">
        <v>3</v>
      </c>
    </row>
    <row r="3584">
      <c r="A3584" s="3">
        <v>4343.0</v>
      </c>
      <c r="B3584" s="4">
        <v>45346.12335648148</v>
      </c>
      <c r="C3584" s="3" t="s">
        <v>7</v>
      </c>
    </row>
    <row r="3585">
      <c r="A3585" s="3">
        <v>6901.0</v>
      </c>
      <c r="B3585" s="4">
        <v>45346.13533564815</v>
      </c>
      <c r="C3585" s="3" t="s">
        <v>3</v>
      </c>
    </row>
    <row r="3586">
      <c r="A3586" s="3">
        <v>3482.0</v>
      </c>
      <c r="B3586" s="4">
        <v>45346.13730324074</v>
      </c>
      <c r="C3586" s="3" t="s">
        <v>5</v>
      </c>
    </row>
    <row r="3587">
      <c r="A3587" s="3">
        <v>4804.0</v>
      </c>
      <c r="B3587" s="4">
        <v>45346.149097222224</v>
      </c>
      <c r="C3587" s="3" t="s">
        <v>4</v>
      </c>
    </row>
    <row r="3588">
      <c r="A3588" s="3">
        <v>7331.0</v>
      </c>
      <c r="B3588" s="4">
        <v>45346.15133101852</v>
      </c>
      <c r="C3588" s="3" t="s">
        <v>7</v>
      </c>
    </row>
    <row r="3589">
      <c r="A3589" s="3">
        <v>1009.0</v>
      </c>
      <c r="B3589" s="4">
        <v>45346.15755787037</v>
      </c>
      <c r="C3589" s="3" t="s">
        <v>3</v>
      </c>
    </row>
    <row r="3590">
      <c r="A3590" s="3">
        <v>3788.0</v>
      </c>
      <c r="B3590" s="4">
        <v>45346.16559027778</v>
      </c>
      <c r="C3590" s="3" t="s">
        <v>4</v>
      </c>
    </row>
    <row r="3591">
      <c r="A3591" s="3">
        <v>2261.0</v>
      </c>
      <c r="B3591" s="4">
        <v>45346.171261574076</v>
      </c>
      <c r="C3591" s="3" t="s">
        <v>6</v>
      </c>
    </row>
    <row r="3592">
      <c r="A3592" s="3">
        <v>2359.0</v>
      </c>
      <c r="B3592" s="4">
        <v>45346.195810185185</v>
      </c>
      <c r="C3592" s="3" t="s">
        <v>3</v>
      </c>
    </row>
    <row r="3593">
      <c r="A3593" s="3">
        <v>4861.0</v>
      </c>
      <c r="B3593" s="4">
        <v>45346.224386574075</v>
      </c>
      <c r="C3593" s="3" t="s">
        <v>5</v>
      </c>
    </row>
    <row r="3594">
      <c r="A3594" s="3">
        <v>3853.0</v>
      </c>
      <c r="B3594" s="4">
        <v>45346.25644675926</v>
      </c>
      <c r="C3594" s="3" t="s">
        <v>3</v>
      </c>
    </row>
    <row r="3595">
      <c r="A3595" s="3">
        <v>2376.0</v>
      </c>
      <c r="B3595" s="4">
        <v>45346.27011574074</v>
      </c>
      <c r="C3595" s="3" t="s">
        <v>5</v>
      </c>
    </row>
    <row r="3596">
      <c r="A3596" s="3">
        <v>5890.0</v>
      </c>
      <c r="B3596" s="4">
        <v>45346.27224537037</v>
      </c>
      <c r="C3596" s="3" t="s">
        <v>7</v>
      </c>
    </row>
    <row r="3597">
      <c r="A3597" s="3">
        <v>4673.0</v>
      </c>
      <c r="B3597" s="4">
        <v>45346.272673611114</v>
      </c>
      <c r="C3597" s="3" t="s">
        <v>4</v>
      </c>
    </row>
    <row r="3598">
      <c r="A3598" s="3">
        <v>6256.0</v>
      </c>
      <c r="B3598" s="4">
        <v>45346.28820601852</v>
      </c>
      <c r="C3598" s="3" t="s">
        <v>4</v>
      </c>
    </row>
    <row r="3599">
      <c r="A3599" s="3">
        <v>7208.0</v>
      </c>
      <c r="B3599" s="4">
        <v>45346.320439814815</v>
      </c>
      <c r="C3599" s="3" t="s">
        <v>3</v>
      </c>
    </row>
    <row r="3600">
      <c r="A3600" s="3">
        <v>7101.0</v>
      </c>
      <c r="B3600" s="4">
        <v>45346.33546296296</v>
      </c>
      <c r="C3600" s="3" t="s">
        <v>3</v>
      </c>
    </row>
    <row r="3601">
      <c r="A3601" s="3">
        <v>3482.0</v>
      </c>
      <c r="B3601" s="4">
        <v>45346.35427083333</v>
      </c>
      <c r="C3601" s="3" t="s">
        <v>4</v>
      </c>
    </row>
    <row r="3602">
      <c r="A3602" s="3">
        <v>5667.0</v>
      </c>
      <c r="B3602" s="4">
        <v>45346.356469907405</v>
      </c>
      <c r="C3602" s="3" t="s">
        <v>3</v>
      </c>
    </row>
    <row r="3603">
      <c r="A3603" s="3">
        <v>6521.0</v>
      </c>
      <c r="B3603" s="4">
        <v>45346.40592592592</v>
      </c>
      <c r="C3603" s="3" t="s">
        <v>4</v>
      </c>
    </row>
    <row r="3604">
      <c r="A3604" s="3">
        <v>6114.0</v>
      </c>
      <c r="B3604" s="4">
        <v>45346.42053240741</v>
      </c>
      <c r="C3604" s="3" t="s">
        <v>3</v>
      </c>
    </row>
    <row r="3605">
      <c r="A3605" s="3">
        <v>4285.0</v>
      </c>
      <c r="B3605" s="4">
        <v>45346.437997685185</v>
      </c>
      <c r="C3605" s="3" t="s">
        <v>3</v>
      </c>
    </row>
    <row r="3606">
      <c r="A3606" s="3">
        <v>2289.0</v>
      </c>
      <c r="B3606" s="4">
        <v>45346.47131944444</v>
      </c>
      <c r="C3606" s="3" t="s">
        <v>7</v>
      </c>
    </row>
    <row r="3607">
      <c r="A3607" s="3">
        <v>1196.0</v>
      </c>
      <c r="B3607" s="4">
        <v>45346.478842592594</v>
      </c>
      <c r="C3607" s="3" t="s">
        <v>7</v>
      </c>
    </row>
    <row r="3608">
      <c r="A3608" s="3">
        <v>5844.0</v>
      </c>
      <c r="B3608" s="4">
        <v>45346.49398148148</v>
      </c>
      <c r="C3608" s="3" t="s">
        <v>3</v>
      </c>
    </row>
    <row r="3609">
      <c r="A3609" s="3">
        <v>2376.0</v>
      </c>
      <c r="B3609" s="4">
        <v>45346.50506944444</v>
      </c>
      <c r="C3609" s="3" t="s">
        <v>3</v>
      </c>
    </row>
    <row r="3610">
      <c r="A3610" s="3">
        <v>373.0</v>
      </c>
      <c r="B3610" s="4">
        <v>45346.515625</v>
      </c>
      <c r="C3610" s="3" t="s">
        <v>4</v>
      </c>
    </row>
    <row r="3611">
      <c r="A3611" s="3">
        <v>5325.0</v>
      </c>
      <c r="B3611" s="4">
        <v>45346.52318287037</v>
      </c>
      <c r="C3611" s="3" t="s">
        <v>3</v>
      </c>
    </row>
    <row r="3612">
      <c r="A3612" s="3">
        <v>5414.0</v>
      </c>
      <c r="B3612" s="4">
        <v>45346.55829861111</v>
      </c>
      <c r="C3612" s="3" t="s">
        <v>3</v>
      </c>
    </row>
    <row r="3613">
      <c r="A3613" s="3">
        <v>5915.0</v>
      </c>
      <c r="B3613" s="4">
        <v>45346.55836805556</v>
      </c>
      <c r="C3613" s="3" t="s">
        <v>3</v>
      </c>
    </row>
    <row r="3614">
      <c r="A3614" s="3">
        <v>6346.0</v>
      </c>
      <c r="B3614" s="4">
        <v>45346.5584375</v>
      </c>
      <c r="C3614" s="3" t="s">
        <v>4</v>
      </c>
    </row>
    <row r="3615">
      <c r="A3615" s="3">
        <v>2289.0</v>
      </c>
      <c r="B3615" s="4">
        <v>45346.599131944444</v>
      </c>
      <c r="C3615" s="3" t="s">
        <v>4</v>
      </c>
    </row>
    <row r="3616">
      <c r="A3616" s="3">
        <v>328.0</v>
      </c>
      <c r="B3616" s="4">
        <v>45346.60916666667</v>
      </c>
      <c r="C3616" s="3" t="s">
        <v>3</v>
      </c>
    </row>
    <row r="3617">
      <c r="A3617" s="3">
        <v>3337.0</v>
      </c>
      <c r="B3617" s="4">
        <v>45346.627604166664</v>
      </c>
      <c r="C3617" s="3" t="s">
        <v>3</v>
      </c>
    </row>
    <row r="3618">
      <c r="A3618" s="3">
        <v>5163.0</v>
      </c>
      <c r="B3618" s="4">
        <v>45346.63334490741</v>
      </c>
      <c r="C3618" s="3" t="s">
        <v>5</v>
      </c>
    </row>
    <row r="3619">
      <c r="A3619" s="3">
        <v>5047.0</v>
      </c>
      <c r="B3619" s="4">
        <v>45346.63359953704</v>
      </c>
      <c r="C3619" s="3" t="s">
        <v>6</v>
      </c>
    </row>
    <row r="3620">
      <c r="A3620" s="3">
        <v>3461.0</v>
      </c>
      <c r="B3620" s="4">
        <v>45346.670625</v>
      </c>
      <c r="C3620" s="3" t="s">
        <v>3</v>
      </c>
    </row>
    <row r="3621">
      <c r="A3621" s="3">
        <v>2480.0</v>
      </c>
      <c r="B3621" s="4">
        <v>45346.677037037036</v>
      </c>
      <c r="C3621" s="3" t="s">
        <v>3</v>
      </c>
    </row>
    <row r="3622">
      <c r="A3622" s="3">
        <v>415.0</v>
      </c>
      <c r="B3622" s="4">
        <v>45346.69180555556</v>
      </c>
      <c r="C3622" s="3" t="s">
        <v>6</v>
      </c>
    </row>
    <row r="3623">
      <c r="A3623" s="3">
        <v>74.0</v>
      </c>
      <c r="B3623" s="4">
        <v>45346.69515046296</v>
      </c>
      <c r="C3623" s="3" t="s">
        <v>6</v>
      </c>
    </row>
    <row r="3624">
      <c r="A3624" s="3">
        <v>5844.0</v>
      </c>
      <c r="B3624" s="4">
        <v>45346.701203703706</v>
      </c>
      <c r="C3624" s="3" t="s">
        <v>4</v>
      </c>
    </row>
    <row r="3625">
      <c r="A3625" s="3">
        <v>7139.0</v>
      </c>
      <c r="B3625" s="4">
        <v>45346.70354166667</v>
      </c>
      <c r="C3625" s="3" t="s">
        <v>3</v>
      </c>
    </row>
    <row r="3626">
      <c r="A3626" s="3">
        <v>1010.0</v>
      </c>
      <c r="B3626" s="4">
        <v>45346.71496527778</v>
      </c>
      <c r="C3626" s="3" t="s">
        <v>6</v>
      </c>
    </row>
    <row r="3627">
      <c r="A3627" s="3">
        <v>7994.0</v>
      </c>
      <c r="B3627" s="4">
        <v>45346.728900462964</v>
      </c>
      <c r="C3627" s="3" t="s">
        <v>4</v>
      </c>
    </row>
    <row r="3628">
      <c r="A3628" s="3">
        <v>2579.0</v>
      </c>
      <c r="B3628" s="4">
        <v>45346.73604166666</v>
      </c>
      <c r="C3628" s="3" t="s">
        <v>4</v>
      </c>
    </row>
    <row r="3629">
      <c r="A3629" s="3">
        <v>6817.0</v>
      </c>
      <c r="B3629" s="4">
        <v>45346.749606481484</v>
      </c>
      <c r="C3629" s="3" t="s">
        <v>6</v>
      </c>
    </row>
    <row r="3630">
      <c r="A3630" s="3">
        <v>7251.0</v>
      </c>
      <c r="B3630" s="4">
        <v>45346.754849537036</v>
      </c>
      <c r="C3630" s="3" t="s">
        <v>4</v>
      </c>
    </row>
    <row r="3631">
      <c r="A3631" s="3">
        <v>3258.0</v>
      </c>
      <c r="B3631" s="4">
        <v>45346.75777777778</v>
      </c>
      <c r="C3631" s="3" t="s">
        <v>7</v>
      </c>
    </row>
    <row r="3632">
      <c r="A3632" s="3">
        <v>1417.0</v>
      </c>
      <c r="B3632" s="4">
        <v>45346.76193287037</v>
      </c>
      <c r="C3632" s="3" t="s">
        <v>3</v>
      </c>
    </row>
    <row r="3633">
      <c r="A3633" s="3">
        <v>6114.0</v>
      </c>
      <c r="B3633" s="4">
        <v>45346.76215277778</v>
      </c>
      <c r="C3633" s="3" t="s">
        <v>4</v>
      </c>
    </row>
    <row r="3634">
      <c r="A3634" s="3">
        <v>3661.0</v>
      </c>
      <c r="B3634" s="4">
        <v>45346.774560185186</v>
      </c>
      <c r="C3634" s="3" t="s">
        <v>6</v>
      </c>
    </row>
    <row r="3635">
      <c r="A3635" s="3">
        <v>5807.0</v>
      </c>
      <c r="B3635" s="4">
        <v>45346.77479166666</v>
      </c>
      <c r="C3635" s="3" t="s">
        <v>3</v>
      </c>
    </row>
    <row r="3636">
      <c r="A3636" s="3">
        <v>546.0</v>
      </c>
      <c r="B3636" s="4">
        <v>45346.778599537036</v>
      </c>
      <c r="C3636" s="3" t="s">
        <v>3</v>
      </c>
    </row>
    <row r="3637">
      <c r="A3637" s="3">
        <v>3923.0</v>
      </c>
      <c r="B3637" s="4">
        <v>45346.77914351852</v>
      </c>
      <c r="C3637" s="3" t="s">
        <v>3</v>
      </c>
    </row>
    <row r="3638">
      <c r="A3638" s="3">
        <v>3247.0</v>
      </c>
      <c r="B3638" s="4">
        <v>45346.79423611111</v>
      </c>
      <c r="C3638" s="3" t="s">
        <v>3</v>
      </c>
    </row>
    <row r="3639">
      <c r="A3639" s="3">
        <v>1257.0</v>
      </c>
      <c r="B3639" s="4">
        <v>45346.82184027778</v>
      </c>
      <c r="C3639" s="3" t="s">
        <v>3</v>
      </c>
    </row>
    <row r="3640">
      <c r="A3640" s="3">
        <v>4343.0</v>
      </c>
      <c r="B3640" s="4">
        <v>45346.82482638889</v>
      </c>
      <c r="C3640" s="3" t="s">
        <v>5</v>
      </c>
    </row>
    <row r="3641">
      <c r="A3641" s="3">
        <v>1009.0</v>
      </c>
      <c r="B3641" s="4">
        <v>45346.82533564815</v>
      </c>
      <c r="C3641" s="3" t="s">
        <v>4</v>
      </c>
    </row>
    <row r="3642">
      <c r="A3642" s="3">
        <v>1184.0</v>
      </c>
      <c r="B3642" s="4">
        <v>45346.86645833333</v>
      </c>
      <c r="C3642" s="3" t="s">
        <v>4</v>
      </c>
    </row>
    <row r="3643">
      <c r="A3643" s="3">
        <v>6713.0</v>
      </c>
      <c r="B3643" s="4">
        <v>45346.875763888886</v>
      </c>
      <c r="C3643" s="3" t="s">
        <v>7</v>
      </c>
    </row>
    <row r="3644">
      <c r="A3644" s="3">
        <v>3209.0</v>
      </c>
      <c r="B3644" s="4">
        <v>45346.895682870374</v>
      </c>
      <c r="C3644" s="3" t="s">
        <v>3</v>
      </c>
    </row>
    <row r="3645">
      <c r="A3645" s="3">
        <v>3788.0</v>
      </c>
      <c r="B3645" s="4">
        <v>45346.913819444446</v>
      </c>
      <c r="C3645" s="3" t="s">
        <v>3</v>
      </c>
    </row>
    <row r="3646">
      <c r="A3646" s="3">
        <v>4673.0</v>
      </c>
      <c r="B3646" s="4">
        <v>45346.92171296296</v>
      </c>
      <c r="C3646" s="3" t="s">
        <v>3</v>
      </c>
    </row>
    <row r="3647">
      <c r="A3647" s="3">
        <v>2033.0</v>
      </c>
      <c r="B3647" s="4">
        <v>45346.945925925924</v>
      </c>
      <c r="C3647" s="3" t="s">
        <v>3</v>
      </c>
    </row>
    <row r="3648">
      <c r="A3648" s="3">
        <v>7452.0</v>
      </c>
      <c r="B3648" s="4">
        <v>45346.94631944445</v>
      </c>
      <c r="C3648" s="3" t="s">
        <v>5</v>
      </c>
    </row>
    <row r="3649">
      <c r="A3649" s="3">
        <v>5055.0</v>
      </c>
      <c r="B3649" s="4">
        <v>45346.95265046296</v>
      </c>
      <c r="C3649" s="3" t="s">
        <v>3</v>
      </c>
    </row>
    <row r="3650">
      <c r="A3650" s="3">
        <v>4538.0</v>
      </c>
      <c r="B3650" s="4">
        <v>45346.95851851852</v>
      </c>
      <c r="C3650" s="3" t="s">
        <v>7</v>
      </c>
    </row>
    <row r="3651">
      <c r="A3651" s="3">
        <v>3482.0</v>
      </c>
      <c r="B3651" s="4">
        <v>45346.96734953704</v>
      </c>
      <c r="C3651" s="3" t="s">
        <v>6</v>
      </c>
    </row>
    <row r="3652">
      <c r="A3652" s="3">
        <v>6062.0</v>
      </c>
      <c r="B3652" s="4">
        <v>45347.014710648145</v>
      </c>
      <c r="C3652" s="3" t="s">
        <v>4</v>
      </c>
    </row>
    <row r="3653">
      <c r="A3653" s="3">
        <v>4086.0</v>
      </c>
      <c r="B3653" s="4">
        <v>45347.02311342592</v>
      </c>
      <c r="C3653" s="3" t="s">
        <v>3</v>
      </c>
    </row>
    <row r="3654">
      <c r="A3654" s="3">
        <v>5768.0</v>
      </c>
      <c r="B3654" s="4">
        <v>45347.027766203704</v>
      </c>
      <c r="C3654" s="3" t="s">
        <v>3</v>
      </c>
    </row>
    <row r="3655">
      <c r="A3655" s="3">
        <v>3814.0</v>
      </c>
      <c r="B3655" s="4">
        <v>45347.035405092596</v>
      </c>
      <c r="C3655" s="3" t="s">
        <v>5</v>
      </c>
    </row>
    <row r="3656">
      <c r="A3656" s="3">
        <v>3659.0</v>
      </c>
      <c r="B3656" s="4">
        <v>45347.07675925926</v>
      </c>
      <c r="C3656" s="3" t="s">
        <v>6</v>
      </c>
    </row>
    <row r="3657">
      <c r="A3657" s="3">
        <v>5915.0</v>
      </c>
      <c r="B3657" s="4">
        <v>45347.08351851852</v>
      </c>
      <c r="C3657" s="3" t="s">
        <v>4</v>
      </c>
    </row>
    <row r="3658">
      <c r="A3658" s="3">
        <v>80.0</v>
      </c>
      <c r="B3658" s="4">
        <v>45347.09663194444</v>
      </c>
      <c r="C3658" s="3" t="s">
        <v>4</v>
      </c>
    </row>
    <row r="3659">
      <c r="A3659" s="3">
        <v>1590.0</v>
      </c>
      <c r="B3659" s="4">
        <v>45347.19188657407</v>
      </c>
      <c r="C3659" s="3" t="s">
        <v>3</v>
      </c>
    </row>
    <row r="3660">
      <c r="A3660" s="3">
        <v>3470.0</v>
      </c>
      <c r="B3660" s="4">
        <v>45347.201157407406</v>
      </c>
      <c r="C3660" s="3" t="s">
        <v>3</v>
      </c>
    </row>
    <row r="3661">
      <c r="A3661" s="3">
        <v>80.0</v>
      </c>
      <c r="B3661" s="4">
        <v>45347.21565972222</v>
      </c>
      <c r="C3661" s="3" t="s">
        <v>6</v>
      </c>
    </row>
    <row r="3662">
      <c r="A3662" s="3">
        <v>1616.0</v>
      </c>
      <c r="B3662" s="4">
        <v>45347.220138888886</v>
      </c>
      <c r="C3662" s="3" t="s">
        <v>5</v>
      </c>
    </row>
    <row r="3663">
      <c r="A3663" s="3">
        <v>3729.0</v>
      </c>
      <c r="B3663" s="4">
        <v>45347.228680555556</v>
      </c>
      <c r="C3663" s="3" t="s">
        <v>3</v>
      </c>
    </row>
    <row r="3664">
      <c r="A3664" s="3">
        <v>6465.0</v>
      </c>
      <c r="B3664" s="4">
        <v>45347.25239583333</v>
      </c>
      <c r="C3664" s="3" t="s">
        <v>3</v>
      </c>
    </row>
    <row r="3665">
      <c r="A3665" s="3">
        <v>3247.0</v>
      </c>
      <c r="B3665" s="4">
        <v>45347.25457175926</v>
      </c>
      <c r="C3665" s="3" t="s">
        <v>5</v>
      </c>
    </row>
    <row r="3666">
      <c r="A3666" s="3">
        <v>1838.0</v>
      </c>
      <c r="B3666" s="4">
        <v>45347.314479166664</v>
      </c>
      <c r="C3666" s="3" t="s">
        <v>3</v>
      </c>
    </row>
    <row r="3667">
      <c r="A3667" s="3">
        <v>6817.0</v>
      </c>
      <c r="B3667" s="4">
        <v>45347.318333333336</v>
      </c>
      <c r="C3667" s="3" t="s">
        <v>5</v>
      </c>
    </row>
    <row r="3668">
      <c r="A3668" s="3">
        <v>7358.0</v>
      </c>
      <c r="B3668" s="4">
        <v>45347.319560185184</v>
      </c>
      <c r="C3668" s="3" t="s">
        <v>4</v>
      </c>
    </row>
    <row r="3669">
      <c r="A3669" s="3">
        <v>1616.0</v>
      </c>
      <c r="B3669" s="4">
        <v>45347.340104166666</v>
      </c>
      <c r="C3669" s="3" t="s">
        <v>3</v>
      </c>
    </row>
    <row r="3670">
      <c r="A3670" s="3">
        <v>4343.0</v>
      </c>
      <c r="B3670" s="4">
        <v>45347.354317129626</v>
      </c>
      <c r="C3670" s="3" t="s">
        <v>4</v>
      </c>
    </row>
    <row r="3671">
      <c r="A3671" s="3">
        <v>1508.0</v>
      </c>
      <c r="B3671" s="4">
        <v>45347.41395833333</v>
      </c>
      <c r="C3671" s="3" t="s">
        <v>7</v>
      </c>
    </row>
    <row r="3672">
      <c r="A3672" s="3">
        <v>5455.0</v>
      </c>
      <c r="B3672" s="4">
        <v>45347.450324074074</v>
      </c>
      <c r="C3672" s="3" t="s">
        <v>5</v>
      </c>
    </row>
    <row r="3673">
      <c r="A3673" s="3">
        <v>345.0</v>
      </c>
      <c r="B3673" s="4">
        <v>45347.48846064815</v>
      </c>
      <c r="C3673" s="3" t="s">
        <v>3</v>
      </c>
    </row>
    <row r="3674">
      <c r="A3674" s="3">
        <v>4960.0</v>
      </c>
      <c r="B3674" s="4">
        <v>45347.500439814816</v>
      </c>
      <c r="C3674" s="3" t="s">
        <v>3</v>
      </c>
    </row>
    <row r="3675">
      <c r="A3675" s="3">
        <v>2289.0</v>
      </c>
      <c r="B3675" s="4">
        <v>45347.531377314815</v>
      </c>
      <c r="C3675" s="3" t="s">
        <v>6</v>
      </c>
    </row>
    <row r="3676">
      <c r="A3676" s="3">
        <v>3729.0</v>
      </c>
      <c r="B3676" s="4">
        <v>45347.54913194444</v>
      </c>
      <c r="C3676" s="3" t="s">
        <v>4</v>
      </c>
    </row>
    <row r="3677">
      <c r="A3677" s="3">
        <v>6104.0</v>
      </c>
      <c r="B3677" s="4">
        <v>45347.5525462963</v>
      </c>
      <c r="C3677" s="3" t="s">
        <v>4</v>
      </c>
    </row>
    <row r="3678">
      <c r="A3678" s="3">
        <v>1454.0</v>
      </c>
      <c r="B3678" s="4">
        <v>45347.572384259256</v>
      </c>
      <c r="C3678" s="3" t="s">
        <v>3</v>
      </c>
    </row>
    <row r="3679">
      <c r="A3679" s="3">
        <v>1851.0</v>
      </c>
      <c r="B3679" s="4">
        <v>45347.60113425926</v>
      </c>
      <c r="C3679" s="3" t="s">
        <v>3</v>
      </c>
    </row>
    <row r="3680">
      <c r="A3680" s="3">
        <v>7047.0</v>
      </c>
      <c r="B3680" s="4">
        <v>45347.61206018519</v>
      </c>
      <c r="C3680" s="3" t="s">
        <v>4</v>
      </c>
    </row>
    <row r="3681">
      <c r="A3681" s="3">
        <v>4086.0</v>
      </c>
      <c r="B3681" s="4">
        <v>45347.6121412037</v>
      </c>
      <c r="C3681" s="3" t="s">
        <v>4</v>
      </c>
    </row>
    <row r="3682">
      <c r="A3682" s="3">
        <v>3858.0</v>
      </c>
      <c r="B3682" s="4">
        <v>45347.639236111114</v>
      </c>
      <c r="C3682" s="3" t="s">
        <v>3</v>
      </c>
    </row>
    <row r="3683">
      <c r="A3683" s="3">
        <v>7101.0</v>
      </c>
      <c r="B3683" s="4">
        <v>45347.64527777778</v>
      </c>
      <c r="C3683" s="3" t="s">
        <v>4</v>
      </c>
    </row>
    <row r="3684">
      <c r="A3684" s="3">
        <v>7047.0</v>
      </c>
      <c r="B3684" s="4">
        <v>45347.656006944446</v>
      </c>
      <c r="C3684" s="3" t="s">
        <v>3</v>
      </c>
    </row>
    <row r="3685">
      <c r="A3685" s="3">
        <v>6062.0</v>
      </c>
      <c r="B3685" s="4">
        <v>45347.7159837963</v>
      </c>
      <c r="C3685" s="3" t="s">
        <v>3</v>
      </c>
    </row>
    <row r="3686">
      <c r="A3686" s="3">
        <v>3788.0</v>
      </c>
      <c r="B3686" s="4">
        <v>45347.71673611111</v>
      </c>
      <c r="C3686" s="3" t="s">
        <v>6</v>
      </c>
    </row>
    <row r="3687">
      <c r="A3687" s="3">
        <v>6049.0</v>
      </c>
      <c r="B3687" s="4">
        <v>45347.72390046297</v>
      </c>
      <c r="C3687" s="3" t="s">
        <v>7</v>
      </c>
    </row>
    <row r="3688">
      <c r="A3688" s="3">
        <v>7622.0</v>
      </c>
      <c r="B3688" s="4">
        <v>45347.7575462963</v>
      </c>
      <c r="C3688" s="3" t="s">
        <v>4</v>
      </c>
    </row>
    <row r="3689">
      <c r="A3689" s="3">
        <v>1923.0</v>
      </c>
      <c r="B3689" s="4">
        <v>45347.77539351852</v>
      </c>
      <c r="C3689" s="3" t="s">
        <v>7</v>
      </c>
    </row>
    <row r="3690">
      <c r="A3690" s="3">
        <v>5163.0</v>
      </c>
      <c r="B3690" s="4">
        <v>45347.78467592593</v>
      </c>
      <c r="C3690" s="3" t="s">
        <v>7</v>
      </c>
    </row>
    <row r="3691">
      <c r="A3691" s="3">
        <v>4383.0</v>
      </c>
      <c r="B3691" s="4">
        <v>45347.789872685185</v>
      </c>
      <c r="C3691" s="3" t="s">
        <v>3</v>
      </c>
    </row>
    <row r="3692">
      <c r="A3692" s="3">
        <v>4673.0</v>
      </c>
      <c r="B3692" s="4">
        <v>45347.83545138889</v>
      </c>
      <c r="C3692" s="3" t="s">
        <v>7</v>
      </c>
    </row>
    <row r="3693">
      <c r="A3693" s="3">
        <v>1545.0</v>
      </c>
      <c r="B3693" s="4">
        <v>45347.853217592594</v>
      </c>
      <c r="C3693" s="3" t="s">
        <v>3</v>
      </c>
    </row>
    <row r="3694">
      <c r="A3694" s="3">
        <v>3096.0</v>
      </c>
      <c r="B3694" s="4">
        <v>45347.88976851852</v>
      </c>
      <c r="C3694" s="3" t="s">
        <v>7</v>
      </c>
    </row>
    <row r="3695">
      <c r="A3695" s="3">
        <v>3687.0</v>
      </c>
      <c r="B3695" s="4">
        <v>45347.899976851855</v>
      </c>
      <c r="C3695" s="3" t="s">
        <v>3</v>
      </c>
    </row>
    <row r="3696">
      <c r="A3696" s="3">
        <v>4383.0</v>
      </c>
      <c r="B3696" s="4">
        <v>45347.908321759256</v>
      </c>
      <c r="C3696" s="3" t="s">
        <v>4</v>
      </c>
    </row>
    <row r="3697">
      <c r="A3697" s="3">
        <v>3351.0</v>
      </c>
      <c r="B3697" s="4">
        <v>45347.90888888889</v>
      </c>
      <c r="C3697" s="3" t="s">
        <v>6</v>
      </c>
    </row>
    <row r="3698">
      <c r="A3698" s="3">
        <v>7793.0</v>
      </c>
      <c r="B3698" s="4">
        <v>45347.92471064815</v>
      </c>
      <c r="C3698" s="3" t="s">
        <v>3</v>
      </c>
    </row>
    <row r="3699">
      <c r="A3699" s="3">
        <v>7834.0</v>
      </c>
      <c r="B3699" s="4">
        <v>45347.94159722222</v>
      </c>
      <c r="C3699" s="3" t="s">
        <v>3</v>
      </c>
    </row>
    <row r="3700">
      <c r="A3700" s="3">
        <v>3814.0</v>
      </c>
      <c r="B3700" s="4">
        <v>45347.946805555555</v>
      </c>
      <c r="C3700" s="3" t="s">
        <v>3</v>
      </c>
    </row>
    <row r="3701">
      <c r="A3701" s="3">
        <v>6933.0</v>
      </c>
      <c r="B3701" s="4">
        <v>45347.95400462963</v>
      </c>
      <c r="C3701" s="3" t="s">
        <v>3</v>
      </c>
    </row>
    <row r="3702">
      <c r="A3702" s="3">
        <v>3548.0</v>
      </c>
      <c r="B3702" s="4">
        <v>45347.966458333336</v>
      </c>
      <c r="C3702" s="3" t="s">
        <v>3</v>
      </c>
    </row>
    <row r="3703">
      <c r="A3703" s="3">
        <v>1196.0</v>
      </c>
      <c r="B3703" s="4">
        <v>45347.97409722222</v>
      </c>
      <c r="C3703" s="3" t="s">
        <v>6</v>
      </c>
    </row>
    <row r="3704">
      <c r="A3704" s="3">
        <v>5667.0</v>
      </c>
      <c r="B3704" s="4">
        <v>45347.995208333334</v>
      </c>
      <c r="C3704" s="3" t="s">
        <v>4</v>
      </c>
    </row>
    <row r="3705">
      <c r="A3705" s="3">
        <v>7994.0</v>
      </c>
      <c r="B3705" s="4">
        <v>45348.00671296296</v>
      </c>
      <c r="C3705" s="3" t="s">
        <v>7</v>
      </c>
    </row>
    <row r="3706">
      <c r="A3706" s="3">
        <v>7517.0</v>
      </c>
      <c r="B3706" s="4">
        <v>45348.00753472222</v>
      </c>
      <c r="C3706" s="3" t="s">
        <v>4</v>
      </c>
    </row>
    <row r="3707">
      <c r="A3707" s="3">
        <v>4489.0</v>
      </c>
      <c r="B3707" s="4">
        <v>45348.01415509259</v>
      </c>
      <c r="C3707" s="3" t="s">
        <v>3</v>
      </c>
    </row>
    <row r="3708">
      <c r="A3708" s="3">
        <v>6049.0</v>
      </c>
      <c r="B3708" s="4">
        <v>45348.02190972222</v>
      </c>
      <c r="C3708" s="3" t="s">
        <v>5</v>
      </c>
    </row>
    <row r="3709">
      <c r="A3709" s="3">
        <v>5325.0</v>
      </c>
      <c r="B3709" s="4">
        <v>45348.04143518519</v>
      </c>
      <c r="C3709" s="3" t="s">
        <v>4</v>
      </c>
    </row>
    <row r="3710">
      <c r="A3710" s="3">
        <v>587.0</v>
      </c>
      <c r="B3710" s="4">
        <v>45348.04481481481</v>
      </c>
      <c r="C3710" s="3" t="s">
        <v>7</v>
      </c>
    </row>
    <row r="3711">
      <c r="A3711" s="3">
        <v>6700.0</v>
      </c>
      <c r="B3711" s="4">
        <v>45348.05979166667</v>
      </c>
      <c r="C3711" s="3" t="s">
        <v>5</v>
      </c>
    </row>
    <row r="3712">
      <c r="A3712" s="3">
        <v>5163.0</v>
      </c>
      <c r="B3712" s="4">
        <v>45348.07667824074</v>
      </c>
      <c r="C3712" s="3" t="s">
        <v>6</v>
      </c>
    </row>
    <row r="3713">
      <c r="A3713" s="3">
        <v>3348.0</v>
      </c>
      <c r="B3713" s="4">
        <v>45348.10300925926</v>
      </c>
      <c r="C3713" s="3" t="s">
        <v>5</v>
      </c>
    </row>
    <row r="3714">
      <c r="A3714" s="3">
        <v>7068.0</v>
      </c>
      <c r="B3714" s="4">
        <v>45348.11084490741</v>
      </c>
      <c r="C3714" s="3" t="s">
        <v>4</v>
      </c>
    </row>
    <row r="3715">
      <c r="A3715" s="3">
        <v>3351.0</v>
      </c>
      <c r="B3715" s="4">
        <v>45348.11194444444</v>
      </c>
      <c r="C3715" s="3" t="s">
        <v>7</v>
      </c>
    </row>
    <row r="3716">
      <c r="A3716" s="3">
        <v>2821.0</v>
      </c>
      <c r="B3716" s="4">
        <v>45348.11482638889</v>
      </c>
      <c r="C3716" s="3" t="s">
        <v>4</v>
      </c>
    </row>
    <row r="3717">
      <c r="A3717" s="3">
        <v>5915.0</v>
      </c>
      <c r="B3717" s="4">
        <v>45348.11684027778</v>
      </c>
      <c r="C3717" s="3" t="s">
        <v>6</v>
      </c>
    </row>
    <row r="3718">
      <c r="A3718" s="3">
        <v>3858.0</v>
      </c>
      <c r="B3718" s="4">
        <v>45348.168020833335</v>
      </c>
      <c r="C3718" s="3" t="s">
        <v>7</v>
      </c>
    </row>
    <row r="3719">
      <c r="A3719" s="3">
        <v>7047.0</v>
      </c>
      <c r="B3719" s="4">
        <v>45348.19336805555</v>
      </c>
      <c r="C3719" s="3" t="s">
        <v>6</v>
      </c>
    </row>
    <row r="3720">
      <c r="A3720" s="3">
        <v>3470.0</v>
      </c>
      <c r="B3720" s="4">
        <v>45348.19422453704</v>
      </c>
      <c r="C3720" s="3" t="s">
        <v>6</v>
      </c>
    </row>
    <row r="3721">
      <c r="A3721" s="3">
        <v>6062.0</v>
      </c>
      <c r="B3721" s="4">
        <v>45348.21765046296</v>
      </c>
      <c r="C3721" s="3" t="s">
        <v>7</v>
      </c>
    </row>
    <row r="3722">
      <c r="A3722" s="3">
        <v>4579.0</v>
      </c>
      <c r="B3722" s="4">
        <v>45348.217881944445</v>
      </c>
      <c r="C3722" s="3" t="s">
        <v>3</v>
      </c>
    </row>
    <row r="3723">
      <c r="A3723" s="3">
        <v>329.0</v>
      </c>
      <c r="B3723" s="4">
        <v>45348.23877314815</v>
      </c>
      <c r="C3723" s="3" t="s">
        <v>6</v>
      </c>
    </row>
    <row r="3724">
      <c r="A3724" s="3">
        <v>6257.0</v>
      </c>
      <c r="B3724" s="4">
        <v>45348.24083333334</v>
      </c>
      <c r="C3724" s="3" t="s">
        <v>3</v>
      </c>
    </row>
    <row r="3725">
      <c r="A3725" s="3">
        <v>4960.0</v>
      </c>
      <c r="B3725" s="4">
        <v>45348.24972222222</v>
      </c>
      <c r="C3725" s="3" t="s">
        <v>4</v>
      </c>
    </row>
    <row r="3726">
      <c r="A3726" s="3">
        <v>3470.0</v>
      </c>
      <c r="B3726" s="4">
        <v>45348.25790509259</v>
      </c>
      <c r="C3726" s="3" t="s">
        <v>4</v>
      </c>
    </row>
    <row r="3727">
      <c r="A3727" s="3">
        <v>6488.0</v>
      </c>
      <c r="B3727" s="4">
        <v>45348.27070601852</v>
      </c>
      <c r="C3727" s="3" t="s">
        <v>6</v>
      </c>
    </row>
    <row r="3728">
      <c r="A3728" s="3">
        <v>4858.0</v>
      </c>
      <c r="B3728" s="4">
        <v>45348.27148148148</v>
      </c>
      <c r="C3728" s="3" t="s">
        <v>6</v>
      </c>
    </row>
    <row r="3729">
      <c r="A3729" s="3">
        <v>1616.0</v>
      </c>
      <c r="B3729" s="4">
        <v>45348.30305555555</v>
      </c>
      <c r="C3729" s="3" t="s">
        <v>6</v>
      </c>
    </row>
    <row r="3730">
      <c r="A3730" s="3">
        <v>1184.0</v>
      </c>
      <c r="B3730" s="4">
        <v>45348.324328703704</v>
      </c>
      <c r="C3730" s="3" t="s">
        <v>5</v>
      </c>
    </row>
    <row r="3731">
      <c r="A3731" s="3">
        <v>1184.0</v>
      </c>
      <c r="B3731" s="4">
        <v>45348.34409722222</v>
      </c>
      <c r="C3731" s="3" t="s">
        <v>7</v>
      </c>
    </row>
    <row r="3732">
      <c r="A3732" s="3">
        <v>3483.0</v>
      </c>
      <c r="B3732" s="4">
        <v>45348.34914351852</v>
      </c>
      <c r="C3732" s="3" t="s">
        <v>3</v>
      </c>
    </row>
    <row r="3733">
      <c r="A3733" s="3">
        <v>4275.0</v>
      </c>
      <c r="B3733" s="4">
        <v>45348.352847222224</v>
      </c>
      <c r="C3733" s="3" t="s">
        <v>3</v>
      </c>
    </row>
    <row r="3734">
      <c r="A3734" s="3">
        <v>3483.0</v>
      </c>
      <c r="B3734" s="4">
        <v>45348.365208333336</v>
      </c>
      <c r="C3734" s="3" t="s">
        <v>4</v>
      </c>
    </row>
    <row r="3735">
      <c r="A3735" s="3">
        <v>2803.0</v>
      </c>
      <c r="B3735" s="4">
        <v>45348.395104166666</v>
      </c>
      <c r="C3735" s="3" t="s">
        <v>5</v>
      </c>
    </row>
    <row r="3736">
      <c r="A3736" s="3">
        <v>4086.0</v>
      </c>
      <c r="B3736" s="4">
        <v>45348.419537037036</v>
      </c>
      <c r="C3736" s="3" t="s">
        <v>5</v>
      </c>
    </row>
    <row r="3737">
      <c r="A3737" s="3">
        <v>3482.0</v>
      </c>
      <c r="B3737" s="4">
        <v>45348.431979166664</v>
      </c>
      <c r="C3737" s="3" t="s">
        <v>7</v>
      </c>
    </row>
    <row r="3738">
      <c r="A3738" s="3">
        <v>2367.0</v>
      </c>
      <c r="B3738" s="4">
        <v>45348.45076388889</v>
      </c>
      <c r="C3738" s="3" t="s">
        <v>3</v>
      </c>
    </row>
    <row r="3739">
      <c r="A3739" s="3">
        <v>6476.0</v>
      </c>
      <c r="B3739" s="4">
        <v>45348.46026620371</v>
      </c>
      <c r="C3739" s="3" t="s">
        <v>3</v>
      </c>
    </row>
    <row r="3740">
      <c r="A3740" s="3">
        <v>743.0</v>
      </c>
      <c r="B3740" s="4">
        <v>45348.463009259256</v>
      </c>
      <c r="C3740" s="3" t="s">
        <v>5</v>
      </c>
    </row>
    <row r="3741">
      <c r="A3741" s="3">
        <v>3136.0</v>
      </c>
      <c r="B3741" s="4">
        <v>45348.477789351855</v>
      </c>
      <c r="C3741" s="3" t="s">
        <v>7</v>
      </c>
    </row>
    <row r="3742">
      <c r="A3742" s="3">
        <v>5916.0</v>
      </c>
      <c r="B3742" s="4">
        <v>45348.48746527778</v>
      </c>
      <c r="C3742" s="3" t="s">
        <v>3</v>
      </c>
    </row>
    <row r="3743">
      <c r="A3743" s="3">
        <v>5012.0</v>
      </c>
      <c r="B3743" s="4">
        <v>45348.49172453704</v>
      </c>
      <c r="C3743" s="3" t="s">
        <v>3</v>
      </c>
    </row>
    <row r="3744">
      <c r="A3744" s="3">
        <v>6098.0</v>
      </c>
      <c r="B3744" s="4">
        <v>45348.492743055554</v>
      </c>
      <c r="C3744" s="3" t="s">
        <v>3</v>
      </c>
    </row>
    <row r="3745">
      <c r="A3745" s="3">
        <v>7701.0</v>
      </c>
      <c r="B3745" s="4">
        <v>45348.49983796296</v>
      </c>
      <c r="C3745" s="3" t="s">
        <v>6</v>
      </c>
    </row>
    <row r="3746">
      <c r="A3746" s="3">
        <v>2900.0</v>
      </c>
      <c r="B3746" s="4">
        <v>45348.52684027778</v>
      </c>
      <c r="C3746" s="3" t="s">
        <v>6</v>
      </c>
    </row>
    <row r="3747">
      <c r="A3747" s="3">
        <v>4896.0</v>
      </c>
      <c r="B3747" s="4">
        <v>45348.52726851852</v>
      </c>
      <c r="C3747" s="3" t="s">
        <v>3</v>
      </c>
    </row>
    <row r="3748">
      <c r="A3748" s="3">
        <v>5212.0</v>
      </c>
      <c r="B3748" s="4">
        <v>45348.53600694444</v>
      </c>
      <c r="C3748" s="3" t="s">
        <v>4</v>
      </c>
    </row>
    <row r="3749">
      <c r="A3749" s="3">
        <v>3525.0</v>
      </c>
      <c r="B3749" s="4">
        <v>45348.549467592595</v>
      </c>
      <c r="C3749" s="3" t="s">
        <v>5</v>
      </c>
    </row>
    <row r="3750">
      <c r="A3750" s="3">
        <v>3395.0</v>
      </c>
      <c r="B3750" s="4">
        <v>45348.56118055555</v>
      </c>
      <c r="C3750" s="3" t="s">
        <v>3</v>
      </c>
    </row>
    <row r="3751">
      <c r="A3751" s="3">
        <v>2803.0</v>
      </c>
      <c r="B3751" s="4">
        <v>45348.57052083333</v>
      </c>
      <c r="C3751" s="3" t="s">
        <v>4</v>
      </c>
    </row>
    <row r="3752">
      <c r="A3752" s="3">
        <v>3707.0</v>
      </c>
      <c r="B3752" s="4">
        <v>45348.58326388889</v>
      </c>
      <c r="C3752" s="3" t="s">
        <v>3</v>
      </c>
    </row>
    <row r="3753">
      <c r="A3753" s="3">
        <v>3865.0</v>
      </c>
      <c r="B3753" s="4">
        <v>45348.58771990741</v>
      </c>
      <c r="C3753" s="3" t="s">
        <v>3</v>
      </c>
    </row>
    <row r="3754">
      <c r="A3754" s="3">
        <v>2376.0</v>
      </c>
      <c r="B3754" s="4">
        <v>45348.60496527778</v>
      </c>
      <c r="C3754" s="3" t="s">
        <v>4</v>
      </c>
    </row>
    <row r="3755">
      <c r="A3755" s="3">
        <v>2803.0</v>
      </c>
      <c r="B3755" s="4">
        <v>45348.62542824074</v>
      </c>
      <c r="C3755" s="3" t="s">
        <v>3</v>
      </c>
    </row>
    <row r="3756">
      <c r="A3756" s="3">
        <v>4383.0</v>
      </c>
      <c r="B3756" s="4">
        <v>45348.66504629629</v>
      </c>
      <c r="C3756" s="3" t="s">
        <v>5</v>
      </c>
    </row>
    <row r="3757">
      <c r="A3757" s="3">
        <v>7706.0</v>
      </c>
      <c r="B3757" s="4">
        <v>45348.66570601852</v>
      </c>
      <c r="C3757" s="3" t="s">
        <v>3</v>
      </c>
    </row>
    <row r="3758">
      <c r="A3758" s="3">
        <v>7208.0</v>
      </c>
      <c r="B3758" s="4">
        <v>45348.67275462963</v>
      </c>
      <c r="C3758" s="3" t="s">
        <v>7</v>
      </c>
    </row>
    <row r="3759">
      <c r="A3759" s="3">
        <v>2500.0</v>
      </c>
      <c r="B3759" s="4">
        <v>45348.68528935185</v>
      </c>
      <c r="C3759" s="3" t="s">
        <v>3</v>
      </c>
    </row>
    <row r="3760">
      <c r="A3760" s="3">
        <v>1851.0</v>
      </c>
      <c r="B3760" s="4">
        <v>45348.694652777776</v>
      </c>
      <c r="C3760" s="3" t="s">
        <v>4</v>
      </c>
    </row>
    <row r="3761">
      <c r="A3761" s="3">
        <v>3483.0</v>
      </c>
      <c r="B3761" s="4">
        <v>45348.69731481482</v>
      </c>
      <c r="C3761" s="3" t="s">
        <v>5</v>
      </c>
    </row>
    <row r="3762">
      <c r="A3762" s="3">
        <v>2210.0</v>
      </c>
      <c r="B3762" s="4">
        <v>45348.73302083334</v>
      </c>
      <c r="C3762" s="3" t="s">
        <v>3</v>
      </c>
    </row>
    <row r="3763">
      <c r="A3763" s="3">
        <v>743.0</v>
      </c>
      <c r="B3763" s="4">
        <v>45348.7368287037</v>
      </c>
      <c r="C3763" s="3" t="s">
        <v>7</v>
      </c>
    </row>
    <row r="3764">
      <c r="A3764" s="3">
        <v>1276.0</v>
      </c>
      <c r="B3764" s="4">
        <v>45348.7743287037</v>
      </c>
      <c r="C3764" s="3" t="s">
        <v>3</v>
      </c>
    </row>
    <row r="3765">
      <c r="A3765" s="3">
        <v>4343.0</v>
      </c>
      <c r="B3765" s="4">
        <v>45348.79293981481</v>
      </c>
      <c r="C3765" s="3" t="s">
        <v>6</v>
      </c>
    </row>
    <row r="3766">
      <c r="A3766" s="3">
        <v>4522.0</v>
      </c>
      <c r="B3766" s="4">
        <v>45348.871342592596</v>
      </c>
      <c r="C3766" s="3" t="s">
        <v>3</v>
      </c>
    </row>
    <row r="3767">
      <c r="A3767" s="3">
        <v>4250.0</v>
      </c>
      <c r="B3767" s="4">
        <v>45348.89175925926</v>
      </c>
      <c r="C3767" s="3" t="s">
        <v>3</v>
      </c>
    </row>
    <row r="3768">
      <c r="A3768" s="3">
        <v>1074.0</v>
      </c>
      <c r="B3768" s="4">
        <v>45348.8937037037</v>
      </c>
      <c r="C3768" s="3" t="s">
        <v>3</v>
      </c>
    </row>
    <row r="3769">
      <c r="A3769" s="3">
        <v>1215.0</v>
      </c>
      <c r="B3769" s="4">
        <v>45348.895636574074</v>
      </c>
      <c r="C3769" s="3" t="s">
        <v>3</v>
      </c>
    </row>
    <row r="3770">
      <c r="A3770" s="3">
        <v>6606.0</v>
      </c>
      <c r="B3770" s="4">
        <v>45348.91059027778</v>
      </c>
      <c r="C3770" s="3" t="s">
        <v>3</v>
      </c>
    </row>
    <row r="3771">
      <c r="A3771" s="3">
        <v>398.0</v>
      </c>
      <c r="B3771" s="4">
        <v>45348.91322916667</v>
      </c>
      <c r="C3771" s="3" t="s">
        <v>3</v>
      </c>
    </row>
    <row r="3772">
      <c r="A3772" s="3">
        <v>1484.0</v>
      </c>
      <c r="B3772" s="4">
        <v>45348.920069444444</v>
      </c>
      <c r="C3772" s="3" t="s">
        <v>3</v>
      </c>
    </row>
    <row r="3773">
      <c r="A3773" s="3">
        <v>2690.0</v>
      </c>
      <c r="B3773" s="4">
        <v>45348.92332175926</v>
      </c>
      <c r="C3773" s="3" t="s">
        <v>6</v>
      </c>
    </row>
    <row r="3774">
      <c r="A3774" s="3">
        <v>3814.0</v>
      </c>
      <c r="B3774" s="4">
        <v>45348.939675925925</v>
      </c>
      <c r="C3774" s="3" t="s">
        <v>4</v>
      </c>
    </row>
    <row r="3775">
      <c r="A3775" s="3">
        <v>1971.0</v>
      </c>
      <c r="B3775" s="4">
        <v>45348.94662037037</v>
      </c>
      <c r="C3775" s="3" t="s">
        <v>3</v>
      </c>
    </row>
    <row r="3776">
      <c r="A3776" s="3">
        <v>1851.0</v>
      </c>
      <c r="B3776" s="4">
        <v>45348.94981481481</v>
      </c>
      <c r="C3776" s="3" t="s">
        <v>7</v>
      </c>
    </row>
    <row r="3777">
      <c r="A3777" s="3">
        <v>3461.0</v>
      </c>
      <c r="B3777" s="4">
        <v>45348.95532407407</v>
      </c>
      <c r="C3777" s="3" t="s">
        <v>5</v>
      </c>
    </row>
    <row r="3778">
      <c r="A3778" s="3">
        <v>4740.0</v>
      </c>
      <c r="B3778" s="4">
        <v>45348.970671296294</v>
      </c>
      <c r="C3778" s="3" t="s">
        <v>7</v>
      </c>
    </row>
    <row r="3779">
      <c r="A3779" s="3">
        <v>1296.0</v>
      </c>
      <c r="B3779" s="4">
        <v>45348.97552083333</v>
      </c>
      <c r="C3779" s="3" t="s">
        <v>6</v>
      </c>
    </row>
    <row r="3780">
      <c r="A3780" s="3">
        <v>3348.0</v>
      </c>
      <c r="B3780" s="4">
        <v>45348.980162037034</v>
      </c>
      <c r="C3780" s="3" t="s">
        <v>6</v>
      </c>
    </row>
    <row r="3781">
      <c r="A3781" s="3">
        <v>7208.0</v>
      </c>
      <c r="B3781" s="4">
        <v>45348.9946412037</v>
      </c>
      <c r="C3781" s="3" t="s">
        <v>6</v>
      </c>
    </row>
    <row r="3782">
      <c r="A3782" s="3">
        <v>3483.0</v>
      </c>
      <c r="B3782" s="4">
        <v>45349.00341435185</v>
      </c>
      <c r="C3782" s="3" t="s">
        <v>6</v>
      </c>
    </row>
    <row r="3783">
      <c r="A3783" s="3">
        <v>2958.0</v>
      </c>
      <c r="B3783" s="4">
        <v>45349.01012731482</v>
      </c>
      <c r="C3783" s="3" t="s">
        <v>5</v>
      </c>
    </row>
    <row r="3784">
      <c r="A3784" s="3">
        <v>1616.0</v>
      </c>
      <c r="B3784" s="4">
        <v>45349.020787037036</v>
      </c>
      <c r="C3784" s="3" t="s">
        <v>4</v>
      </c>
    </row>
    <row r="3785">
      <c r="A3785" s="3">
        <v>3438.0</v>
      </c>
      <c r="B3785" s="4">
        <v>45349.024201388886</v>
      </c>
      <c r="C3785" s="3" t="s">
        <v>6</v>
      </c>
    </row>
    <row r="3786">
      <c r="A3786" s="3">
        <v>3136.0</v>
      </c>
      <c r="B3786" s="4">
        <v>45349.064108796294</v>
      </c>
      <c r="C3786" s="3" t="s">
        <v>6</v>
      </c>
    </row>
    <row r="3787">
      <c r="A3787" s="3">
        <v>6637.0</v>
      </c>
      <c r="B3787" s="4">
        <v>45349.06765046297</v>
      </c>
      <c r="C3787" s="3" t="s">
        <v>6</v>
      </c>
    </row>
    <row r="3788">
      <c r="A3788" s="3">
        <v>1804.0</v>
      </c>
      <c r="B3788" s="4">
        <v>45349.07318287037</v>
      </c>
      <c r="C3788" s="3" t="s">
        <v>5</v>
      </c>
    </row>
    <row r="3789">
      <c r="A3789" s="3">
        <v>4383.0</v>
      </c>
      <c r="B3789" s="4">
        <v>45349.08809027778</v>
      </c>
      <c r="C3789" s="3" t="s">
        <v>7</v>
      </c>
    </row>
    <row r="3790">
      <c r="A3790" s="3">
        <v>4890.0</v>
      </c>
      <c r="B3790" s="4">
        <v>45349.102430555555</v>
      </c>
      <c r="C3790" s="3" t="s">
        <v>3</v>
      </c>
    </row>
    <row r="3791">
      <c r="A3791" s="3">
        <v>6721.0</v>
      </c>
      <c r="B3791" s="4">
        <v>45349.11394675926</v>
      </c>
      <c r="C3791" s="3" t="s">
        <v>3</v>
      </c>
    </row>
    <row r="3792">
      <c r="A3792" s="3">
        <v>7282.0</v>
      </c>
      <c r="B3792" s="4">
        <v>45349.117060185185</v>
      </c>
      <c r="C3792" s="3" t="s">
        <v>7</v>
      </c>
    </row>
    <row r="3793">
      <c r="A3793" s="3">
        <v>6239.0</v>
      </c>
      <c r="B3793" s="4">
        <v>45349.13700231481</v>
      </c>
      <c r="C3793" s="3" t="s">
        <v>3</v>
      </c>
    </row>
    <row r="3794">
      <c r="A3794" s="3">
        <v>3858.0</v>
      </c>
      <c r="B3794" s="4">
        <v>45349.14946759259</v>
      </c>
      <c r="C3794" s="3" t="s">
        <v>4</v>
      </c>
    </row>
    <row r="3795">
      <c r="A3795" s="3">
        <v>6784.0</v>
      </c>
      <c r="B3795" s="4">
        <v>45349.17400462963</v>
      </c>
      <c r="C3795" s="3" t="s">
        <v>3</v>
      </c>
    </row>
    <row r="3796">
      <c r="A3796" s="3">
        <v>1162.0</v>
      </c>
      <c r="B3796" s="4">
        <v>45349.18898148148</v>
      </c>
      <c r="C3796" s="3" t="s">
        <v>3</v>
      </c>
    </row>
    <row r="3797">
      <c r="A3797" s="3">
        <v>6465.0</v>
      </c>
      <c r="B3797" s="4">
        <v>45349.25579861111</v>
      </c>
      <c r="C3797" s="3" t="s">
        <v>4</v>
      </c>
    </row>
    <row r="3798">
      <c r="A3798" s="3">
        <v>7294.0</v>
      </c>
      <c r="B3798" s="4">
        <v>45349.3028587963</v>
      </c>
      <c r="C3798" s="3" t="s">
        <v>4</v>
      </c>
    </row>
    <row r="3799">
      <c r="A3799" s="3">
        <v>1103.0</v>
      </c>
      <c r="B3799" s="4">
        <v>45349.31128472222</v>
      </c>
      <c r="C3799" s="3" t="s">
        <v>3</v>
      </c>
    </row>
    <row r="3800">
      <c r="A3800" s="3">
        <v>1340.0</v>
      </c>
      <c r="B3800" s="4">
        <v>45349.32079861111</v>
      </c>
      <c r="C3800" s="3" t="s">
        <v>3</v>
      </c>
    </row>
    <row r="3801">
      <c r="A3801" s="3">
        <v>180.0</v>
      </c>
      <c r="B3801" s="4">
        <v>45349.32991898148</v>
      </c>
      <c r="C3801" s="3" t="s">
        <v>3</v>
      </c>
    </row>
    <row r="3802">
      <c r="A3802" s="3">
        <v>3814.0</v>
      </c>
      <c r="B3802" s="4">
        <v>45349.3534375</v>
      </c>
      <c r="C3802" s="3" t="s">
        <v>7</v>
      </c>
    </row>
    <row r="3803">
      <c r="A3803" s="3">
        <v>6748.0</v>
      </c>
      <c r="B3803" s="4">
        <v>45349.35570601852</v>
      </c>
      <c r="C3803" s="3" t="s">
        <v>3</v>
      </c>
    </row>
    <row r="3804">
      <c r="A3804" s="3">
        <v>6476.0</v>
      </c>
      <c r="B3804" s="4">
        <v>45349.36292824074</v>
      </c>
      <c r="C3804" s="3" t="s">
        <v>7</v>
      </c>
    </row>
    <row r="3805">
      <c r="A3805" s="3">
        <v>2997.0</v>
      </c>
      <c r="B3805" s="4">
        <v>45349.36518518518</v>
      </c>
      <c r="C3805" s="3" t="s">
        <v>3</v>
      </c>
    </row>
    <row r="3806">
      <c r="A3806" s="3">
        <v>1545.0</v>
      </c>
      <c r="B3806" s="4">
        <v>45349.38171296296</v>
      </c>
      <c r="C3806" s="3" t="s">
        <v>6</v>
      </c>
    </row>
    <row r="3807">
      <c r="A3807" s="3">
        <v>7994.0</v>
      </c>
      <c r="B3807" s="4">
        <v>45349.476064814815</v>
      </c>
      <c r="C3807" s="3" t="s">
        <v>6</v>
      </c>
    </row>
    <row r="3808">
      <c r="A3808" s="3">
        <v>7129.0</v>
      </c>
      <c r="B3808" s="4">
        <v>45349.47697916667</v>
      </c>
      <c r="C3808" s="3" t="s">
        <v>3</v>
      </c>
    </row>
    <row r="3809">
      <c r="A3809" s="3">
        <v>199.0</v>
      </c>
      <c r="B3809" s="4">
        <v>45349.48787037037</v>
      </c>
      <c r="C3809" s="3" t="s">
        <v>6</v>
      </c>
    </row>
    <row r="3810">
      <c r="A3810" s="3">
        <v>6476.0</v>
      </c>
      <c r="B3810" s="4">
        <v>45349.50515046297</v>
      </c>
      <c r="C3810" s="3" t="s">
        <v>4</v>
      </c>
    </row>
    <row r="3811">
      <c r="A3811" s="3">
        <v>6273.0</v>
      </c>
      <c r="B3811" s="4">
        <v>45349.5691087963</v>
      </c>
      <c r="C3811" s="3" t="s">
        <v>3</v>
      </c>
    </row>
    <row r="3812">
      <c r="A3812" s="3">
        <v>3329.0</v>
      </c>
      <c r="B3812" s="4">
        <v>45349.569918981484</v>
      </c>
      <c r="C3812" s="3" t="s">
        <v>6</v>
      </c>
    </row>
    <row r="3813">
      <c r="A3813" s="3">
        <v>1804.0</v>
      </c>
      <c r="B3813" s="4">
        <v>45349.580625</v>
      </c>
      <c r="C3813" s="3" t="s">
        <v>3</v>
      </c>
    </row>
    <row r="3814">
      <c r="A3814" s="3">
        <v>50.0</v>
      </c>
      <c r="B3814" s="4">
        <v>45349.581967592596</v>
      </c>
      <c r="C3814" s="3" t="s">
        <v>3</v>
      </c>
    </row>
    <row r="3815">
      <c r="A3815" s="3">
        <v>2376.0</v>
      </c>
      <c r="B3815" s="4">
        <v>45349.60868055555</v>
      </c>
      <c r="C3815" s="3" t="s">
        <v>7</v>
      </c>
    </row>
    <row r="3816">
      <c r="A3816" s="3">
        <v>6606.0</v>
      </c>
      <c r="B3816" s="4">
        <v>45349.61790509259</v>
      </c>
      <c r="C3816" s="3" t="s">
        <v>6</v>
      </c>
    </row>
    <row r="3817">
      <c r="A3817" s="3">
        <v>2289.0</v>
      </c>
      <c r="B3817" s="4">
        <v>45349.61813657408</v>
      </c>
      <c r="C3817" s="3" t="s">
        <v>5</v>
      </c>
    </row>
    <row r="3818">
      <c r="A3818" s="3">
        <v>2500.0</v>
      </c>
      <c r="B3818" s="4">
        <v>45349.631203703706</v>
      </c>
      <c r="C3818" s="3" t="s">
        <v>6</v>
      </c>
    </row>
    <row r="3819">
      <c r="A3819" s="3">
        <v>3283.0</v>
      </c>
      <c r="B3819" s="4">
        <v>45349.653645833336</v>
      </c>
      <c r="C3819" s="3" t="s">
        <v>3</v>
      </c>
    </row>
    <row r="3820">
      <c r="A3820" s="3">
        <v>1484.0</v>
      </c>
      <c r="B3820" s="4">
        <v>45349.65614583333</v>
      </c>
      <c r="C3820" s="3" t="s">
        <v>4</v>
      </c>
    </row>
    <row r="3821">
      <c r="A3821" s="3">
        <v>7452.0</v>
      </c>
      <c r="B3821" s="4">
        <v>45349.67300925926</v>
      </c>
      <c r="C3821" s="3" t="s">
        <v>7</v>
      </c>
    </row>
    <row r="3822">
      <c r="A3822" s="3">
        <v>1418.0</v>
      </c>
      <c r="B3822" s="4">
        <v>45349.68177083333</v>
      </c>
      <c r="C3822" s="3" t="s">
        <v>3</v>
      </c>
    </row>
    <row r="3823">
      <c r="A3823" s="3">
        <v>816.0</v>
      </c>
      <c r="B3823" s="4">
        <v>45349.696747685186</v>
      </c>
      <c r="C3823" s="3" t="s">
        <v>3</v>
      </c>
    </row>
    <row r="3824">
      <c r="A3824" s="3">
        <v>2066.0</v>
      </c>
      <c r="B3824" s="4">
        <v>45349.70292824074</v>
      </c>
      <c r="C3824" s="3" t="s">
        <v>3</v>
      </c>
    </row>
    <row r="3825">
      <c r="A3825" s="3">
        <v>6787.0</v>
      </c>
      <c r="B3825" s="4">
        <v>45349.71795138889</v>
      </c>
      <c r="C3825" s="3" t="s">
        <v>3</v>
      </c>
    </row>
    <row r="3826">
      <c r="A3826" s="3">
        <v>2958.0</v>
      </c>
      <c r="B3826" s="4">
        <v>45349.73609953704</v>
      </c>
      <c r="C3826" s="3" t="s">
        <v>6</v>
      </c>
    </row>
    <row r="3827">
      <c r="A3827" s="3">
        <v>7876.0</v>
      </c>
      <c r="B3827" s="4">
        <v>45349.769328703704</v>
      </c>
      <c r="C3827" s="3" t="s">
        <v>3</v>
      </c>
    </row>
    <row r="3828">
      <c r="A3828" s="3">
        <v>1316.0</v>
      </c>
      <c r="B3828" s="4">
        <v>45349.7803125</v>
      </c>
      <c r="C3828" s="3" t="s">
        <v>3</v>
      </c>
    </row>
    <row r="3829">
      <c r="A3829" s="3">
        <v>4673.0</v>
      </c>
      <c r="B3829" s="4">
        <v>45349.79804398148</v>
      </c>
      <c r="C3829" s="3" t="s">
        <v>5</v>
      </c>
    </row>
    <row r="3830">
      <c r="A3830" s="3">
        <v>3145.0</v>
      </c>
      <c r="B3830" s="4">
        <v>45349.8134375</v>
      </c>
      <c r="C3830" s="3" t="s">
        <v>3</v>
      </c>
    </row>
    <row r="3831">
      <c r="A3831" s="3">
        <v>1357.0</v>
      </c>
      <c r="B3831" s="4">
        <v>45349.82666666667</v>
      </c>
      <c r="C3831" s="3" t="s">
        <v>3</v>
      </c>
    </row>
    <row r="3832">
      <c r="A3832" s="3">
        <v>1851.0</v>
      </c>
      <c r="B3832" s="4">
        <v>45349.83168981481</v>
      </c>
      <c r="C3832" s="3" t="s">
        <v>5</v>
      </c>
    </row>
    <row r="3833">
      <c r="A3833" s="3">
        <v>3858.0</v>
      </c>
      <c r="B3833" s="4">
        <v>45349.834085648145</v>
      </c>
      <c r="C3833" s="3" t="s">
        <v>5</v>
      </c>
    </row>
    <row r="3834">
      <c r="A3834" s="3">
        <v>4326.0</v>
      </c>
      <c r="B3834" s="4">
        <v>45349.84307870371</v>
      </c>
      <c r="C3834" s="3" t="s">
        <v>3</v>
      </c>
    </row>
    <row r="3835">
      <c r="A3835" s="3">
        <v>2958.0</v>
      </c>
      <c r="B3835" s="4">
        <v>45349.85178240741</v>
      </c>
      <c r="C3835" s="3" t="s">
        <v>7</v>
      </c>
    </row>
    <row r="3836">
      <c r="A3836" s="3">
        <v>6235.0</v>
      </c>
      <c r="B3836" s="4">
        <v>45349.86215277778</v>
      </c>
      <c r="C3836" s="3" t="s">
        <v>3</v>
      </c>
    </row>
    <row r="3837">
      <c r="A3837" s="3">
        <v>6787.0</v>
      </c>
      <c r="B3837" s="4">
        <v>45349.87070601852</v>
      </c>
      <c r="C3837" s="3" t="s">
        <v>4</v>
      </c>
    </row>
    <row r="3838">
      <c r="A3838" s="3">
        <v>5012.0</v>
      </c>
      <c r="B3838" s="4">
        <v>45349.874340277776</v>
      </c>
      <c r="C3838" s="3" t="s">
        <v>4</v>
      </c>
    </row>
    <row r="3839">
      <c r="A3839" s="3">
        <v>4740.0</v>
      </c>
      <c r="B3839" s="4">
        <v>45349.908680555556</v>
      </c>
      <c r="C3839" s="3" t="s">
        <v>6</v>
      </c>
    </row>
    <row r="3840">
      <c r="A3840" s="3">
        <v>4258.0</v>
      </c>
      <c r="B3840" s="4">
        <v>45349.94877314815</v>
      </c>
      <c r="C3840" s="3" t="s">
        <v>3</v>
      </c>
    </row>
    <row r="3841">
      <c r="A3841" s="3">
        <v>4383.0</v>
      </c>
      <c r="B3841" s="4">
        <v>45349.959398148145</v>
      </c>
      <c r="C3841" s="3" t="s">
        <v>6</v>
      </c>
    </row>
    <row r="3842">
      <c r="A3842" s="3">
        <v>4238.0</v>
      </c>
      <c r="B3842" s="4">
        <v>45349.9890625</v>
      </c>
      <c r="C3842" s="3" t="s">
        <v>3</v>
      </c>
    </row>
    <row r="3843">
      <c r="A3843" s="3">
        <v>2634.0</v>
      </c>
      <c r="B3843" s="4">
        <v>45350.01511574074</v>
      </c>
      <c r="C3843" s="3" t="s">
        <v>3</v>
      </c>
    </row>
    <row r="3844">
      <c r="A3844" s="3">
        <v>3144.0</v>
      </c>
      <c r="B3844" s="4">
        <v>45350.03590277778</v>
      </c>
      <c r="C3844" s="3" t="s">
        <v>3</v>
      </c>
    </row>
    <row r="3845">
      <c r="A3845" s="3">
        <v>6606.0</v>
      </c>
      <c r="B3845" s="4">
        <v>45350.0509375</v>
      </c>
      <c r="C3845" s="3" t="s">
        <v>7</v>
      </c>
    </row>
    <row r="3846">
      <c r="A3846" s="3">
        <v>1074.0</v>
      </c>
      <c r="B3846" s="4">
        <v>45350.053506944445</v>
      </c>
      <c r="C3846" s="3" t="s">
        <v>4</v>
      </c>
    </row>
    <row r="3847">
      <c r="A3847" s="3">
        <v>6378.0</v>
      </c>
      <c r="B3847" s="4">
        <v>45350.05876157407</v>
      </c>
      <c r="C3847" s="3" t="s">
        <v>3</v>
      </c>
    </row>
    <row r="3848">
      <c r="A3848" s="3">
        <v>2642.0</v>
      </c>
      <c r="B3848" s="4">
        <v>45350.07927083333</v>
      </c>
      <c r="C3848" s="3" t="s">
        <v>3</v>
      </c>
    </row>
    <row r="3849">
      <c r="A3849" s="3">
        <v>3872.0</v>
      </c>
      <c r="B3849" s="4">
        <v>45350.08667824074</v>
      </c>
      <c r="C3849" s="3" t="s">
        <v>3</v>
      </c>
    </row>
    <row r="3850">
      <c r="A3850" s="3">
        <v>4086.0</v>
      </c>
      <c r="B3850" s="4">
        <v>45350.10142361111</v>
      </c>
      <c r="C3850" s="3" t="s">
        <v>7</v>
      </c>
    </row>
    <row r="3851">
      <c r="A3851" s="3">
        <v>974.0</v>
      </c>
      <c r="B3851" s="4">
        <v>45350.12068287037</v>
      </c>
      <c r="C3851" s="3" t="s">
        <v>3</v>
      </c>
    </row>
    <row r="3852">
      <c r="A3852" s="3">
        <v>7079.0</v>
      </c>
      <c r="B3852" s="4">
        <v>45350.131886574076</v>
      </c>
      <c r="C3852" s="3" t="s">
        <v>3</v>
      </c>
    </row>
    <row r="3853">
      <c r="A3853" s="3">
        <v>5325.0</v>
      </c>
      <c r="B3853" s="4">
        <v>45350.15226851852</v>
      </c>
      <c r="C3853" s="3" t="s">
        <v>7</v>
      </c>
    </row>
    <row r="3854">
      <c r="A3854" s="3">
        <v>1490.0</v>
      </c>
      <c r="B3854" s="4">
        <v>45350.15418981481</v>
      </c>
      <c r="C3854" s="3" t="s">
        <v>3</v>
      </c>
    </row>
    <row r="3855">
      <c r="A3855" s="3">
        <v>4890.0</v>
      </c>
      <c r="B3855" s="4">
        <v>45350.17244212963</v>
      </c>
      <c r="C3855" s="3" t="s">
        <v>4</v>
      </c>
    </row>
    <row r="3856">
      <c r="A3856" s="3">
        <v>6721.0</v>
      </c>
      <c r="B3856" s="4">
        <v>45350.20064814815</v>
      </c>
      <c r="C3856" s="3" t="s">
        <v>4</v>
      </c>
    </row>
    <row r="3857">
      <c r="A3857" s="3">
        <v>4326.0</v>
      </c>
      <c r="B3857" s="4">
        <v>45350.21613425926</v>
      </c>
      <c r="C3857" s="3" t="s">
        <v>5</v>
      </c>
    </row>
    <row r="3858">
      <c r="A3858" s="3">
        <v>4237.0</v>
      </c>
      <c r="B3858" s="4">
        <v>45350.24854166667</v>
      </c>
      <c r="C3858" s="3" t="s">
        <v>3</v>
      </c>
    </row>
    <row r="3859">
      <c r="A3859" s="3">
        <v>3865.0</v>
      </c>
      <c r="B3859" s="4">
        <v>45350.250069444446</v>
      </c>
      <c r="C3859" s="3" t="s">
        <v>4</v>
      </c>
    </row>
    <row r="3860">
      <c r="A3860" s="3">
        <v>5334.0</v>
      </c>
      <c r="B3860" s="4">
        <v>45350.260671296295</v>
      </c>
      <c r="C3860" s="3" t="s">
        <v>5</v>
      </c>
    </row>
    <row r="3861">
      <c r="A3861" s="3">
        <v>6476.0</v>
      </c>
      <c r="B3861" s="4">
        <v>45350.27805555556</v>
      </c>
      <c r="C3861" s="3" t="s">
        <v>6</v>
      </c>
    </row>
    <row r="3862">
      <c r="A3862" s="3">
        <v>398.0</v>
      </c>
      <c r="B3862" s="4">
        <v>45350.2875462963</v>
      </c>
      <c r="C3862" s="3" t="s">
        <v>4</v>
      </c>
    </row>
    <row r="3863">
      <c r="A3863" s="3">
        <v>1391.0</v>
      </c>
      <c r="B3863" s="4">
        <v>45350.30579861111</v>
      </c>
      <c r="C3863" s="3" t="s">
        <v>3</v>
      </c>
    </row>
    <row r="3864">
      <c r="A3864" s="3">
        <v>479.0</v>
      </c>
      <c r="B3864" s="4">
        <v>45350.32069444445</v>
      </c>
      <c r="C3864" s="3" t="s">
        <v>4</v>
      </c>
    </row>
    <row r="3865">
      <c r="A3865" s="3">
        <v>5334.0</v>
      </c>
      <c r="B3865" s="4">
        <v>45350.34234953704</v>
      </c>
      <c r="C3865" s="3" t="s">
        <v>3</v>
      </c>
    </row>
    <row r="3866">
      <c r="A3866" s="3">
        <v>3873.0</v>
      </c>
      <c r="B3866" s="4">
        <v>45350.345821759256</v>
      </c>
      <c r="C3866" s="3" t="s">
        <v>3</v>
      </c>
    </row>
    <row r="3867">
      <c r="A3867" s="3">
        <v>6533.0</v>
      </c>
      <c r="B3867" s="4">
        <v>45350.379583333335</v>
      </c>
      <c r="C3867" s="3" t="s">
        <v>4</v>
      </c>
    </row>
    <row r="3868">
      <c r="A3868" s="3">
        <v>2876.0</v>
      </c>
      <c r="B3868" s="4">
        <v>45350.41158564815</v>
      </c>
      <c r="C3868" s="3" t="s">
        <v>3</v>
      </c>
    </row>
    <row r="3869">
      <c r="A3869" s="3">
        <v>7139.0</v>
      </c>
      <c r="B3869" s="4">
        <v>45350.440150462964</v>
      </c>
      <c r="C3869" s="3" t="s">
        <v>4</v>
      </c>
    </row>
    <row r="3870">
      <c r="A3870" s="3">
        <v>1162.0</v>
      </c>
      <c r="B3870" s="4">
        <v>45350.473761574074</v>
      </c>
      <c r="C3870" s="3" t="s">
        <v>4</v>
      </c>
    </row>
    <row r="3871">
      <c r="A3871" s="3">
        <v>3548.0</v>
      </c>
      <c r="B3871" s="4">
        <v>45350.48119212963</v>
      </c>
      <c r="C3871" s="3" t="s">
        <v>4</v>
      </c>
    </row>
    <row r="3872">
      <c r="A3872" s="3">
        <v>5401.0</v>
      </c>
      <c r="B3872" s="4">
        <v>45350.48303240741</v>
      </c>
      <c r="C3872" s="3" t="s">
        <v>5</v>
      </c>
    </row>
    <row r="3873">
      <c r="A3873" s="3">
        <v>3247.0</v>
      </c>
      <c r="B3873" s="4">
        <v>45350.51375</v>
      </c>
      <c r="C3873" s="3" t="s">
        <v>7</v>
      </c>
    </row>
    <row r="3874">
      <c r="A3874" s="3">
        <v>3552.0</v>
      </c>
      <c r="B3874" s="4">
        <v>45350.52853009259</v>
      </c>
      <c r="C3874" s="3" t="s">
        <v>4</v>
      </c>
    </row>
    <row r="3875">
      <c r="A3875" s="3">
        <v>623.0</v>
      </c>
      <c r="B3875" s="4">
        <v>45350.53326388889</v>
      </c>
      <c r="C3875" s="3" t="s">
        <v>3</v>
      </c>
    </row>
    <row r="3876">
      <c r="A3876" s="3">
        <v>6217.0</v>
      </c>
      <c r="B3876" s="4">
        <v>45350.5362962963</v>
      </c>
      <c r="C3876" s="3" t="s">
        <v>6</v>
      </c>
    </row>
    <row r="3877">
      <c r="A3877" s="3">
        <v>2182.0</v>
      </c>
      <c r="B3877" s="4">
        <v>45350.537303240744</v>
      </c>
      <c r="C3877" s="3" t="s">
        <v>3</v>
      </c>
    </row>
    <row r="3878">
      <c r="A3878" s="3">
        <v>7101.0</v>
      </c>
      <c r="B3878" s="4">
        <v>45350.5381712963</v>
      </c>
      <c r="C3878" s="3" t="s">
        <v>7</v>
      </c>
    </row>
    <row r="3879">
      <c r="A3879" s="3">
        <v>176.0</v>
      </c>
      <c r="B3879" s="4">
        <v>45350.54746527778</v>
      </c>
      <c r="C3879" s="3" t="s">
        <v>3</v>
      </c>
    </row>
    <row r="3880">
      <c r="A3880" s="3">
        <v>7620.0</v>
      </c>
      <c r="B3880" s="4">
        <v>45350.548726851855</v>
      </c>
      <c r="C3880" s="3" t="s">
        <v>3</v>
      </c>
    </row>
    <row r="3881">
      <c r="A3881" s="3">
        <v>2742.0</v>
      </c>
      <c r="B3881" s="4">
        <v>45350.55263888889</v>
      </c>
      <c r="C3881" s="3" t="s">
        <v>3</v>
      </c>
    </row>
    <row r="3882">
      <c r="A3882" s="3">
        <v>182.0</v>
      </c>
      <c r="B3882" s="4">
        <v>45350.5596875</v>
      </c>
      <c r="C3882" s="3" t="s">
        <v>6</v>
      </c>
    </row>
    <row r="3883">
      <c r="A3883" s="3">
        <v>1497.0</v>
      </c>
      <c r="B3883" s="4">
        <v>45350.57256944444</v>
      </c>
      <c r="C3883" s="3" t="s">
        <v>3</v>
      </c>
    </row>
    <row r="3884">
      <c r="A3884" s="3">
        <v>1340.0</v>
      </c>
      <c r="B3884" s="4">
        <v>45350.57648148148</v>
      </c>
      <c r="C3884" s="3" t="s">
        <v>7</v>
      </c>
    </row>
    <row r="3885">
      <c r="A3885" s="3">
        <v>5055.0</v>
      </c>
      <c r="B3885" s="4">
        <v>45350.581828703704</v>
      </c>
      <c r="C3885" s="3" t="s">
        <v>4</v>
      </c>
    </row>
    <row r="3886">
      <c r="A3886" s="3">
        <v>3788.0</v>
      </c>
      <c r="B3886" s="4">
        <v>45350.590995370374</v>
      </c>
      <c r="C3886" s="3" t="s">
        <v>5</v>
      </c>
    </row>
    <row r="3887">
      <c r="A3887" s="3">
        <v>650.0</v>
      </c>
      <c r="B3887" s="4">
        <v>45350.60920138889</v>
      </c>
      <c r="C3887" s="3" t="s">
        <v>3</v>
      </c>
    </row>
    <row r="3888">
      <c r="A3888" s="3">
        <v>3144.0</v>
      </c>
      <c r="B3888" s="4">
        <v>45350.61790509259</v>
      </c>
      <c r="C3888" s="3" t="s">
        <v>4</v>
      </c>
    </row>
    <row r="3889">
      <c r="A3889" s="3">
        <v>1279.0</v>
      </c>
      <c r="B3889" s="4">
        <v>45350.6193287037</v>
      </c>
      <c r="C3889" s="3" t="s">
        <v>3</v>
      </c>
    </row>
    <row r="3890">
      <c r="A3890" s="3">
        <v>3144.0</v>
      </c>
      <c r="B3890" s="4">
        <v>45350.63642361111</v>
      </c>
      <c r="C3890" s="3" t="s">
        <v>5</v>
      </c>
    </row>
    <row r="3891">
      <c r="A3891" s="3">
        <v>6533.0</v>
      </c>
      <c r="B3891" s="4">
        <v>45350.64394675926</v>
      </c>
      <c r="C3891" s="3" t="s">
        <v>3</v>
      </c>
    </row>
    <row r="3892">
      <c r="A3892" s="3">
        <v>623.0</v>
      </c>
      <c r="B3892" s="4">
        <v>45350.645150462966</v>
      </c>
      <c r="C3892" s="3" t="s">
        <v>4</v>
      </c>
    </row>
    <row r="3893">
      <c r="A3893" s="3">
        <v>6606.0</v>
      </c>
      <c r="B3893" s="4">
        <v>45350.677511574075</v>
      </c>
      <c r="C3893" s="3" t="s">
        <v>4</v>
      </c>
    </row>
    <row r="3894">
      <c r="A3894" s="3">
        <v>5401.0</v>
      </c>
      <c r="B3894" s="4">
        <v>45350.693194444444</v>
      </c>
      <c r="C3894" s="3" t="s">
        <v>3</v>
      </c>
    </row>
    <row r="3895">
      <c r="A3895" s="3">
        <v>479.0</v>
      </c>
      <c r="B3895" s="4">
        <v>45350.696180555555</v>
      </c>
      <c r="C3895" s="3" t="s">
        <v>3</v>
      </c>
    </row>
    <row r="3896">
      <c r="A3896" s="3">
        <v>1616.0</v>
      </c>
      <c r="B3896" s="4">
        <v>45350.69938657407</v>
      </c>
      <c r="C3896" s="3" t="s">
        <v>7</v>
      </c>
    </row>
    <row r="3897">
      <c r="A3897" s="3">
        <v>6573.0</v>
      </c>
      <c r="B3897" s="4">
        <v>45350.753854166665</v>
      </c>
      <c r="C3897" s="3" t="s">
        <v>3</v>
      </c>
    </row>
    <row r="3898">
      <c r="A3898" s="3">
        <v>1340.0</v>
      </c>
      <c r="B3898" s="4">
        <v>45350.75517361111</v>
      </c>
      <c r="C3898" s="3" t="s">
        <v>4</v>
      </c>
    </row>
    <row r="3899">
      <c r="A3899" s="3">
        <v>7945.0</v>
      </c>
      <c r="B3899" s="4">
        <v>45350.80467592592</v>
      </c>
      <c r="C3899" s="3" t="s">
        <v>6</v>
      </c>
    </row>
    <row r="3900">
      <c r="A3900" s="3">
        <v>3591.0</v>
      </c>
      <c r="B3900" s="4">
        <v>45350.81835648148</v>
      </c>
      <c r="C3900" s="3" t="s">
        <v>3</v>
      </c>
    </row>
    <row r="3901">
      <c r="A3901" s="3">
        <v>4100.0</v>
      </c>
      <c r="B3901" s="4">
        <v>45350.842314814814</v>
      </c>
      <c r="C3901" s="3" t="s">
        <v>3</v>
      </c>
    </row>
    <row r="3902">
      <c r="A3902" s="3">
        <v>7101.0</v>
      </c>
      <c r="B3902" s="4">
        <v>45350.860925925925</v>
      </c>
      <c r="C3902" s="3" t="s">
        <v>5</v>
      </c>
    </row>
    <row r="3903">
      <c r="A3903" s="3">
        <v>5277.0</v>
      </c>
      <c r="B3903" s="4">
        <v>45350.86471064815</v>
      </c>
      <c r="C3903" s="3" t="s">
        <v>3</v>
      </c>
    </row>
    <row r="3904">
      <c r="A3904" s="3">
        <v>80.0</v>
      </c>
      <c r="B3904" s="4">
        <v>45350.86974537037</v>
      </c>
      <c r="C3904" s="3" t="s">
        <v>5</v>
      </c>
    </row>
    <row r="3905">
      <c r="A3905" s="3">
        <v>3687.0</v>
      </c>
      <c r="B3905" s="4">
        <v>45350.88494212963</v>
      </c>
      <c r="C3905" s="3" t="s">
        <v>4</v>
      </c>
    </row>
    <row r="3906">
      <c r="A3906" s="3">
        <v>5325.0</v>
      </c>
      <c r="B3906" s="4">
        <v>45350.894537037035</v>
      </c>
      <c r="C3906" s="3" t="s">
        <v>5</v>
      </c>
    </row>
    <row r="3907">
      <c r="A3907" s="3">
        <v>7000.0</v>
      </c>
      <c r="B3907" s="4">
        <v>45350.916342592594</v>
      </c>
      <c r="C3907" s="3" t="s">
        <v>6</v>
      </c>
    </row>
    <row r="3908">
      <c r="A3908" s="3">
        <v>4507.0</v>
      </c>
      <c r="B3908" s="4">
        <v>45350.919652777775</v>
      </c>
      <c r="C3908" s="3" t="s">
        <v>3</v>
      </c>
    </row>
    <row r="3909">
      <c r="A3909" s="3">
        <v>7129.0</v>
      </c>
      <c r="B3909" s="4">
        <v>45350.96328703704</v>
      </c>
      <c r="C3909" s="3" t="s">
        <v>4</v>
      </c>
    </row>
    <row r="3910">
      <c r="A3910" s="3">
        <v>1804.0</v>
      </c>
      <c r="B3910" s="4">
        <v>45350.96855324074</v>
      </c>
      <c r="C3910" s="3" t="s">
        <v>4</v>
      </c>
    </row>
    <row r="3911">
      <c r="A3911" s="3">
        <v>1224.0</v>
      </c>
      <c r="B3911" s="4">
        <v>45350.97466435185</v>
      </c>
      <c r="C3911" s="3" t="s">
        <v>3</v>
      </c>
    </row>
    <row r="3912">
      <c r="A3912" s="3">
        <v>3729.0</v>
      </c>
      <c r="B3912" s="4">
        <v>45350.993159722224</v>
      </c>
      <c r="C3912" s="3" t="s">
        <v>5</v>
      </c>
    </row>
    <row r="3913">
      <c r="A3913" s="3">
        <v>6748.0</v>
      </c>
      <c r="B3913" s="4">
        <v>45351.01137731481</v>
      </c>
      <c r="C3913" s="3" t="s">
        <v>4</v>
      </c>
    </row>
    <row r="3914">
      <c r="A3914" s="3">
        <v>2797.0</v>
      </c>
      <c r="B3914" s="4">
        <v>45351.015555555554</v>
      </c>
      <c r="C3914" s="3" t="s">
        <v>3</v>
      </c>
    </row>
    <row r="3915">
      <c r="A3915" s="3">
        <v>4538.0</v>
      </c>
      <c r="B3915" s="4">
        <v>45351.01650462963</v>
      </c>
      <c r="C3915" s="3" t="s">
        <v>6</v>
      </c>
    </row>
    <row r="3916">
      <c r="A3916" s="3">
        <v>2997.0</v>
      </c>
      <c r="B3916" s="4">
        <v>45351.036157407405</v>
      </c>
      <c r="C3916" s="3" t="s">
        <v>5</v>
      </c>
    </row>
    <row r="3917">
      <c r="A3917" s="3">
        <v>7943.0</v>
      </c>
      <c r="B3917" s="4">
        <v>45351.0362962963</v>
      </c>
      <c r="C3917" s="3" t="s">
        <v>3</v>
      </c>
    </row>
    <row r="3918">
      <c r="A3918" s="3">
        <v>111.0</v>
      </c>
      <c r="B3918" s="4">
        <v>45351.06303240741</v>
      </c>
      <c r="C3918" s="3" t="s">
        <v>3</v>
      </c>
    </row>
    <row r="3919">
      <c r="A3919" s="3">
        <v>7545.0</v>
      </c>
      <c r="B3919" s="4">
        <v>45351.06351851852</v>
      </c>
      <c r="C3919" s="3" t="s">
        <v>3</v>
      </c>
    </row>
    <row r="3920">
      <c r="A3920" s="3">
        <v>1408.0</v>
      </c>
      <c r="B3920" s="4">
        <v>45351.0643287037</v>
      </c>
      <c r="C3920" s="3" t="s">
        <v>4</v>
      </c>
    </row>
    <row r="3921">
      <c r="A3921" s="3">
        <v>1340.0</v>
      </c>
      <c r="B3921" s="4">
        <v>45351.1134375</v>
      </c>
      <c r="C3921" s="3" t="s">
        <v>5</v>
      </c>
    </row>
    <row r="3922">
      <c r="A3922" s="3">
        <v>180.0</v>
      </c>
      <c r="B3922" s="4">
        <v>45351.11601851852</v>
      </c>
      <c r="C3922" s="3" t="s">
        <v>5</v>
      </c>
    </row>
    <row r="3923">
      <c r="A3923" s="3">
        <v>1184.0</v>
      </c>
      <c r="B3923" s="4">
        <v>45351.13182870371</v>
      </c>
      <c r="C3923" s="3" t="s">
        <v>6</v>
      </c>
    </row>
    <row r="3924">
      <c r="A3924" s="3">
        <v>4326.0</v>
      </c>
      <c r="B3924" s="4">
        <v>45351.13291666667</v>
      </c>
      <c r="C3924" s="3" t="s">
        <v>4</v>
      </c>
    </row>
    <row r="3925">
      <c r="A3925" s="3">
        <v>5411.0</v>
      </c>
      <c r="B3925" s="4">
        <v>45351.137824074074</v>
      </c>
      <c r="C3925" s="3" t="s">
        <v>3</v>
      </c>
    </row>
    <row r="3926">
      <c r="A3926" s="3">
        <v>3258.0</v>
      </c>
      <c r="B3926" s="4">
        <v>45351.14197916666</v>
      </c>
      <c r="C3926" s="3" t="s">
        <v>6</v>
      </c>
    </row>
    <row r="3927">
      <c r="A3927" s="3">
        <v>6420.0</v>
      </c>
      <c r="B3927" s="4">
        <v>45351.15126157407</v>
      </c>
      <c r="C3927" s="3" t="s">
        <v>3</v>
      </c>
    </row>
    <row r="3928">
      <c r="A3928" s="3">
        <v>781.0</v>
      </c>
      <c r="B3928" s="4">
        <v>45351.15856481482</v>
      </c>
      <c r="C3928" s="3" t="s">
        <v>4</v>
      </c>
    </row>
    <row r="3929">
      <c r="A3929" s="3">
        <v>3814.0</v>
      </c>
      <c r="B3929" s="4">
        <v>45351.16127314815</v>
      </c>
      <c r="C3929" s="3" t="s">
        <v>6</v>
      </c>
    </row>
    <row r="3930">
      <c r="A3930" s="3">
        <v>2642.0</v>
      </c>
      <c r="B3930" s="4">
        <v>45351.1840625</v>
      </c>
      <c r="C3930" s="3" t="s">
        <v>4</v>
      </c>
    </row>
    <row r="3931">
      <c r="A3931" s="3">
        <v>3474.0</v>
      </c>
      <c r="B3931" s="4">
        <v>45351.23212962963</v>
      </c>
      <c r="C3931" s="3" t="s">
        <v>3</v>
      </c>
    </row>
    <row r="3932">
      <c r="A3932" s="3">
        <v>1484.0</v>
      </c>
      <c r="B3932" s="4">
        <v>45351.24528935185</v>
      </c>
      <c r="C3932" s="3" t="s">
        <v>7</v>
      </c>
    </row>
    <row r="3933">
      <c r="A3933" s="3">
        <v>1632.0</v>
      </c>
      <c r="B3933" s="4">
        <v>45351.24865740741</v>
      </c>
      <c r="C3933" s="3" t="s">
        <v>3</v>
      </c>
    </row>
    <row r="3934">
      <c r="A3934" s="3">
        <v>3474.0</v>
      </c>
      <c r="B3934" s="4">
        <v>45351.24984953704</v>
      </c>
      <c r="C3934" s="3" t="s">
        <v>4</v>
      </c>
    </row>
    <row r="3935">
      <c r="A3935" s="3">
        <v>499.0</v>
      </c>
      <c r="B3935" s="4">
        <v>45351.259722222225</v>
      </c>
      <c r="C3935" s="3" t="s">
        <v>3</v>
      </c>
    </row>
    <row r="3936">
      <c r="A3936" s="3">
        <v>1224.0</v>
      </c>
      <c r="B3936" s="4">
        <v>45351.26082175926</v>
      </c>
      <c r="C3936" s="3" t="s">
        <v>4</v>
      </c>
    </row>
    <row r="3937">
      <c r="A3937" s="3">
        <v>5401.0</v>
      </c>
      <c r="B3937" s="4">
        <v>45351.26640046296</v>
      </c>
      <c r="C3937" s="3" t="s">
        <v>4</v>
      </c>
    </row>
    <row r="3938">
      <c r="A3938" s="3">
        <v>1490.0</v>
      </c>
      <c r="B3938" s="4">
        <v>45351.28261574074</v>
      </c>
      <c r="C3938" s="3" t="s">
        <v>4</v>
      </c>
    </row>
    <row r="3939">
      <c r="A3939" s="3">
        <v>479.0</v>
      </c>
      <c r="B3939" s="4">
        <v>45351.31335648148</v>
      </c>
      <c r="C3939" s="3" t="s">
        <v>5</v>
      </c>
    </row>
    <row r="3940">
      <c r="A3940" s="3">
        <v>7565.0</v>
      </c>
      <c r="B3940" s="4">
        <v>45351.32009259259</v>
      </c>
      <c r="C3940" s="3" t="s">
        <v>4</v>
      </c>
    </row>
    <row r="3941">
      <c r="A3941" s="3">
        <v>5753.0</v>
      </c>
      <c r="B3941" s="4">
        <v>45351.32201388889</v>
      </c>
      <c r="C3941" s="3" t="s">
        <v>3</v>
      </c>
    </row>
    <row r="3942">
      <c r="A3942" s="3">
        <v>5024.0</v>
      </c>
      <c r="B3942" s="4">
        <v>45351.3403125</v>
      </c>
      <c r="C3942" s="3" t="s">
        <v>3</v>
      </c>
    </row>
    <row r="3943">
      <c r="A3943" s="3">
        <v>1447.0</v>
      </c>
      <c r="B3943" s="4">
        <v>45351.365428240744</v>
      </c>
      <c r="C3943" s="3" t="s">
        <v>3</v>
      </c>
    </row>
    <row r="3944">
      <c r="A3944" s="3">
        <v>7640.0</v>
      </c>
      <c r="B3944" s="4">
        <v>45351.37048611111</v>
      </c>
      <c r="C3944" s="3" t="s">
        <v>3</v>
      </c>
    </row>
    <row r="3945">
      <c r="A3945" s="3">
        <v>2293.0</v>
      </c>
      <c r="B3945" s="4">
        <v>45351.38244212963</v>
      </c>
      <c r="C3945" s="3" t="s">
        <v>3</v>
      </c>
    </row>
    <row r="3946">
      <c r="A3946" s="3">
        <v>5012.0</v>
      </c>
      <c r="B3946" s="4">
        <v>45351.38511574074</v>
      </c>
      <c r="C3946" s="3" t="s">
        <v>6</v>
      </c>
    </row>
    <row r="3947">
      <c r="A3947" s="3">
        <v>1944.0</v>
      </c>
      <c r="B3947" s="4">
        <v>45351.390439814815</v>
      </c>
      <c r="C3947" s="3" t="s">
        <v>3</v>
      </c>
    </row>
    <row r="3948">
      <c r="A3948" s="3">
        <v>121.0</v>
      </c>
      <c r="B3948" s="4">
        <v>45351.39167824074</v>
      </c>
      <c r="C3948" s="3" t="s">
        <v>3</v>
      </c>
    </row>
    <row r="3949">
      <c r="A3949" s="3">
        <v>6100.0</v>
      </c>
      <c r="B3949" s="4">
        <v>45351.401354166665</v>
      </c>
      <c r="C3949" s="3" t="s">
        <v>3</v>
      </c>
    </row>
    <row r="3950">
      <c r="A3950" s="3">
        <v>781.0</v>
      </c>
      <c r="B3950" s="4">
        <v>45351.40366898148</v>
      </c>
      <c r="C3950" s="3" t="s">
        <v>3</v>
      </c>
    </row>
    <row r="3951">
      <c r="A3951" s="3">
        <v>1030.0</v>
      </c>
      <c r="B3951" s="4">
        <v>45351.41019675926</v>
      </c>
      <c r="C3951" s="3" t="s">
        <v>3</v>
      </c>
    </row>
    <row r="3952">
      <c r="A3952" s="3">
        <v>5725.0</v>
      </c>
      <c r="B3952" s="4">
        <v>45351.41119212963</v>
      </c>
      <c r="C3952" s="3" t="s">
        <v>3</v>
      </c>
    </row>
    <row r="3953">
      <c r="A3953" s="3">
        <v>6378.0</v>
      </c>
      <c r="B3953" s="4">
        <v>45351.4196875</v>
      </c>
      <c r="C3953" s="3" t="s">
        <v>4</v>
      </c>
    </row>
    <row r="3954">
      <c r="A3954" s="3">
        <v>1497.0</v>
      </c>
      <c r="B3954" s="4">
        <v>45351.42403935185</v>
      </c>
      <c r="C3954" s="3" t="s">
        <v>4</v>
      </c>
    </row>
    <row r="3955">
      <c r="A3955" s="3">
        <v>4482.0</v>
      </c>
      <c r="B3955" s="4">
        <v>45351.43011574074</v>
      </c>
      <c r="C3955" s="3" t="s">
        <v>3</v>
      </c>
    </row>
    <row r="3956">
      <c r="A3956" s="3">
        <v>7047.0</v>
      </c>
      <c r="B3956" s="4">
        <v>45351.47070601852</v>
      </c>
      <c r="C3956" s="3" t="s">
        <v>5</v>
      </c>
    </row>
    <row r="3957">
      <c r="A3957" s="3">
        <v>4279.0</v>
      </c>
      <c r="B3957" s="4">
        <v>45351.47697916667</v>
      </c>
      <c r="C3957" s="3" t="s">
        <v>3</v>
      </c>
    </row>
    <row r="3958">
      <c r="A3958" s="3">
        <v>6049.0</v>
      </c>
      <c r="B3958" s="4">
        <v>45351.48652777778</v>
      </c>
      <c r="C3958" s="3" t="s">
        <v>6</v>
      </c>
    </row>
    <row r="3959">
      <c r="A3959" s="3">
        <v>6713.0</v>
      </c>
      <c r="B3959" s="4">
        <v>45351.49149305555</v>
      </c>
      <c r="C3959" s="3" t="s">
        <v>6</v>
      </c>
    </row>
    <row r="3960">
      <c r="A3960" s="3">
        <v>3600.0</v>
      </c>
      <c r="B3960" s="4">
        <v>45351.50790509259</v>
      </c>
      <c r="C3960" s="3" t="s">
        <v>3</v>
      </c>
    </row>
    <row r="3961">
      <c r="A3961" s="3">
        <v>7565.0</v>
      </c>
      <c r="B3961" s="4">
        <v>45351.50821759259</v>
      </c>
      <c r="C3961" s="3" t="s">
        <v>3</v>
      </c>
    </row>
    <row r="3962">
      <c r="A3962" s="3">
        <v>6100.0</v>
      </c>
      <c r="B3962" s="4">
        <v>45351.515648148146</v>
      </c>
      <c r="C3962" s="3" t="s">
        <v>4</v>
      </c>
    </row>
    <row r="3963">
      <c r="A3963" s="3">
        <v>3729.0</v>
      </c>
      <c r="B3963" s="4">
        <v>45351.52454861111</v>
      </c>
      <c r="C3963" s="3" t="s">
        <v>6</v>
      </c>
    </row>
    <row r="3964">
      <c r="A3964" s="3">
        <v>4100.0</v>
      </c>
      <c r="B3964" s="4">
        <v>45351.52715277778</v>
      </c>
      <c r="C3964" s="3" t="s">
        <v>4</v>
      </c>
    </row>
    <row r="3965">
      <c r="A3965" s="3">
        <v>5768.0</v>
      </c>
      <c r="B3965" s="4">
        <v>45351.546747685185</v>
      </c>
      <c r="C3965" s="3" t="s">
        <v>4</v>
      </c>
    </row>
    <row r="3966">
      <c r="A3966" s="3">
        <v>1545.0</v>
      </c>
      <c r="B3966" s="4">
        <v>45351.54813657407</v>
      </c>
      <c r="C3966" s="3" t="s">
        <v>5</v>
      </c>
    </row>
    <row r="3967">
      <c r="A3967" s="3">
        <v>2713.0</v>
      </c>
      <c r="B3967" s="4">
        <v>45351.55384259259</v>
      </c>
      <c r="C3967" s="3" t="s">
        <v>3</v>
      </c>
    </row>
    <row r="3968">
      <c r="A3968" s="3">
        <v>3291.0</v>
      </c>
      <c r="B3968" s="4">
        <v>45351.56663194444</v>
      </c>
      <c r="C3968" s="3" t="s">
        <v>3</v>
      </c>
    </row>
    <row r="3969">
      <c r="A3969" s="3">
        <v>2997.0</v>
      </c>
      <c r="B3969" s="4">
        <v>45351.570972222224</v>
      </c>
      <c r="C3969" s="3" t="s">
        <v>4</v>
      </c>
    </row>
    <row r="3970">
      <c r="A3970" s="3">
        <v>4861.0</v>
      </c>
      <c r="B3970" s="4">
        <v>45351.57854166667</v>
      </c>
      <c r="C3970" s="3" t="s">
        <v>6</v>
      </c>
    </row>
    <row r="3971">
      <c r="A3971" s="3">
        <v>180.0</v>
      </c>
      <c r="B3971" s="4">
        <v>45351.61641203704</v>
      </c>
      <c r="C3971" s="3" t="s">
        <v>7</v>
      </c>
    </row>
    <row r="3972">
      <c r="A3972" s="3">
        <v>1316.0</v>
      </c>
      <c r="B3972" s="4">
        <v>45351.655625</v>
      </c>
      <c r="C3972" s="3" t="s">
        <v>6</v>
      </c>
    </row>
    <row r="3973">
      <c r="A3973" s="3">
        <v>2305.0</v>
      </c>
      <c r="B3973" s="4">
        <v>45351.66543981482</v>
      </c>
      <c r="C3973" s="3" t="s">
        <v>3</v>
      </c>
    </row>
    <row r="3974">
      <c r="A3974" s="3">
        <v>1408.0</v>
      </c>
      <c r="B3974" s="4">
        <v>45351.730833333335</v>
      </c>
      <c r="C3974" s="3" t="s">
        <v>3</v>
      </c>
    </row>
    <row r="3975">
      <c r="A3975" s="3">
        <v>2305.0</v>
      </c>
      <c r="B3975" s="4">
        <v>45351.735763888886</v>
      </c>
      <c r="C3975" s="3" t="s">
        <v>4</v>
      </c>
    </row>
    <row r="3976">
      <c r="A3976" s="3">
        <v>1316.0</v>
      </c>
      <c r="B3976" s="4">
        <v>45351.74565972222</v>
      </c>
      <c r="C3976" s="3" t="s">
        <v>4</v>
      </c>
    </row>
    <row r="3977">
      <c r="A3977" s="3">
        <v>4739.0</v>
      </c>
      <c r="B3977" s="4">
        <v>45351.75085648148</v>
      </c>
      <c r="C3977" s="3" t="s">
        <v>3</v>
      </c>
    </row>
    <row r="3978">
      <c r="A3978" s="3">
        <v>2066.0</v>
      </c>
      <c r="B3978" s="4">
        <v>45351.763773148145</v>
      </c>
      <c r="C3978" s="3" t="s">
        <v>4</v>
      </c>
    </row>
    <row r="3979">
      <c r="A3979" s="3">
        <v>704.0</v>
      </c>
      <c r="B3979" s="4">
        <v>45351.77644675926</v>
      </c>
      <c r="C3979" s="3" t="s">
        <v>3</v>
      </c>
    </row>
    <row r="3980">
      <c r="A3980" s="3">
        <v>5915.0</v>
      </c>
      <c r="B3980" s="4">
        <v>45351.77690972222</v>
      </c>
      <c r="C3980" s="3" t="s">
        <v>7</v>
      </c>
    </row>
    <row r="3981">
      <c r="A3981" s="3">
        <v>2182.0</v>
      </c>
      <c r="B3981" s="4">
        <v>45351.77880787037</v>
      </c>
      <c r="C3981" s="3" t="s">
        <v>6</v>
      </c>
    </row>
    <row r="3982">
      <c r="A3982" s="3">
        <v>2182.0</v>
      </c>
      <c r="B3982" s="4">
        <v>45351.78331018519</v>
      </c>
      <c r="C3982" s="3" t="s">
        <v>4</v>
      </c>
    </row>
    <row r="3983">
      <c r="A3983" s="3">
        <v>6100.0</v>
      </c>
      <c r="B3983" s="4">
        <v>45351.80886574074</v>
      </c>
      <c r="C3983" s="3" t="s">
        <v>5</v>
      </c>
    </row>
    <row r="3984">
      <c r="A3984" s="3">
        <v>6062.0</v>
      </c>
      <c r="B3984" s="4">
        <v>45351.81626157407</v>
      </c>
      <c r="C3984" s="3" t="s">
        <v>5</v>
      </c>
    </row>
    <row r="3985">
      <c r="A3985" s="3">
        <v>4556.0</v>
      </c>
      <c r="B3985" s="4">
        <v>45351.830671296295</v>
      </c>
      <c r="C3985" s="3" t="s">
        <v>3</v>
      </c>
    </row>
    <row r="3986">
      <c r="A3986" s="3">
        <v>1418.0</v>
      </c>
      <c r="B3986" s="4">
        <v>45351.84310185185</v>
      </c>
      <c r="C3986" s="3" t="s">
        <v>6</v>
      </c>
    </row>
    <row r="3987">
      <c r="A3987" s="3">
        <v>2210.0</v>
      </c>
      <c r="B3987" s="4">
        <v>45351.89150462963</v>
      </c>
      <c r="C3987" s="3" t="s">
        <v>4</v>
      </c>
    </row>
    <row r="3988">
      <c r="A3988" s="3">
        <v>2625.0</v>
      </c>
      <c r="B3988" s="4">
        <v>45351.8921412037</v>
      </c>
      <c r="C3988" s="3" t="s">
        <v>3</v>
      </c>
    </row>
    <row r="3989">
      <c r="A3989" s="3">
        <v>7943.0</v>
      </c>
      <c r="B3989" s="4">
        <v>45351.892962962964</v>
      </c>
      <c r="C3989" s="3" t="s">
        <v>5</v>
      </c>
    </row>
    <row r="3990">
      <c r="A3990" s="3">
        <v>7101.0</v>
      </c>
      <c r="B3990" s="4">
        <v>45351.91248842593</v>
      </c>
      <c r="C3990" s="3" t="s">
        <v>6</v>
      </c>
    </row>
    <row r="3991">
      <c r="A3991" s="3">
        <v>916.0</v>
      </c>
      <c r="B3991" s="4">
        <v>45351.940567129626</v>
      </c>
      <c r="C3991" s="3" t="s">
        <v>3</v>
      </c>
    </row>
    <row r="3992">
      <c r="A3992" s="3">
        <v>623.0</v>
      </c>
      <c r="B3992" s="4">
        <v>45351.9675</v>
      </c>
      <c r="C3992" s="3" t="s">
        <v>7</v>
      </c>
    </row>
    <row r="3993">
      <c r="A3993" s="3">
        <v>2182.0</v>
      </c>
      <c r="B3993" s="4">
        <v>45351.98255787037</v>
      </c>
      <c r="C3993" s="3" t="s">
        <v>7</v>
      </c>
    </row>
    <row r="3994">
      <c r="A3994" s="3">
        <v>1490.0</v>
      </c>
      <c r="B3994" s="4">
        <v>45351.99427083333</v>
      </c>
      <c r="C3994" s="3" t="s">
        <v>5</v>
      </c>
    </row>
    <row r="3995">
      <c r="A3995" s="3">
        <v>1386.0</v>
      </c>
      <c r="B3995" s="4">
        <v>45352.00708333333</v>
      </c>
      <c r="C3995" s="3" t="s">
        <v>3</v>
      </c>
    </row>
    <row r="3996">
      <c r="A3996" s="3">
        <v>6089.0</v>
      </c>
      <c r="B3996" s="4">
        <v>45352.01142361111</v>
      </c>
      <c r="C3996" s="3" t="s">
        <v>3</v>
      </c>
    </row>
    <row r="3997">
      <c r="A3997" s="3">
        <v>3461.0</v>
      </c>
      <c r="B3997" s="4">
        <v>45352.04206018519</v>
      </c>
      <c r="C3997" s="3" t="s">
        <v>6</v>
      </c>
    </row>
    <row r="3998">
      <c r="A3998" s="3">
        <v>3525.0</v>
      </c>
      <c r="B3998" s="4">
        <v>45352.04425925926</v>
      </c>
      <c r="C3998" s="3" t="s">
        <v>7</v>
      </c>
    </row>
    <row r="3999">
      <c r="A3999" s="3">
        <v>3703.0</v>
      </c>
      <c r="B3999" s="4">
        <v>45352.08052083333</v>
      </c>
      <c r="C3999" s="3" t="s">
        <v>3</v>
      </c>
    </row>
    <row r="4000">
      <c r="A4000" s="3">
        <v>2623.0</v>
      </c>
      <c r="B4000" s="4">
        <v>45352.09753472222</v>
      </c>
      <c r="C4000" s="3" t="s">
        <v>3</v>
      </c>
    </row>
    <row r="4001">
      <c r="A4001" s="3">
        <v>3600.0</v>
      </c>
      <c r="B4001" s="4">
        <v>45352.09814814815</v>
      </c>
      <c r="C4001" s="3" t="s">
        <v>4</v>
      </c>
    </row>
    <row r="4002">
      <c r="A4002" s="3">
        <v>294.0</v>
      </c>
      <c r="B4002" s="4">
        <v>45352.11592592593</v>
      </c>
      <c r="C4002" s="3" t="s">
        <v>3</v>
      </c>
    </row>
    <row r="4003">
      <c r="A4003" s="3">
        <v>623.0</v>
      </c>
      <c r="B4003" s="4">
        <v>45352.159270833334</v>
      </c>
      <c r="C4003" s="3" t="s">
        <v>6</v>
      </c>
    </row>
    <row r="4004">
      <c r="A4004" s="3">
        <v>1103.0</v>
      </c>
      <c r="B4004" s="4">
        <v>45352.16590277778</v>
      </c>
      <c r="C4004" s="3" t="s">
        <v>4</v>
      </c>
    </row>
    <row r="4005">
      <c r="A4005" s="3">
        <v>5325.0</v>
      </c>
      <c r="B4005" s="4">
        <v>45352.16809027778</v>
      </c>
      <c r="C4005" s="3" t="s">
        <v>6</v>
      </c>
    </row>
    <row r="4006">
      <c r="A4006" s="3">
        <v>5455.0</v>
      </c>
      <c r="B4006" s="4">
        <v>45352.168761574074</v>
      </c>
      <c r="C4006" s="3" t="s">
        <v>6</v>
      </c>
    </row>
    <row r="4007">
      <c r="A4007" s="3">
        <v>5012.0</v>
      </c>
      <c r="B4007" s="4">
        <v>45352.17089120371</v>
      </c>
      <c r="C4007" s="3" t="s">
        <v>7</v>
      </c>
    </row>
    <row r="4008">
      <c r="A4008" s="3">
        <v>7545.0</v>
      </c>
      <c r="B4008" s="4">
        <v>45352.25506944444</v>
      </c>
      <c r="C4008" s="3" t="s">
        <v>4</v>
      </c>
    </row>
    <row r="4009">
      <c r="A4009" s="3">
        <v>6151.0</v>
      </c>
      <c r="B4009" s="4">
        <v>45352.29405092593</v>
      </c>
      <c r="C4009" s="3" t="s">
        <v>3</v>
      </c>
    </row>
    <row r="4010">
      <c r="A4010" s="3">
        <v>5753.0</v>
      </c>
      <c r="B4010" s="4">
        <v>45352.29888888889</v>
      </c>
      <c r="C4010" s="3" t="s">
        <v>6</v>
      </c>
    </row>
    <row r="4011">
      <c r="A4011" s="3">
        <v>6533.0</v>
      </c>
      <c r="B4011" s="4">
        <v>45352.30043981481</v>
      </c>
      <c r="C4011" s="3" t="s">
        <v>7</v>
      </c>
    </row>
    <row r="4012">
      <c r="A4012" s="3">
        <v>7833.0</v>
      </c>
      <c r="B4012" s="4">
        <v>45352.306446759256</v>
      </c>
      <c r="C4012" s="3" t="s">
        <v>3</v>
      </c>
    </row>
    <row r="4013">
      <c r="A4013" s="3">
        <v>111.0</v>
      </c>
      <c r="B4013" s="4">
        <v>45352.3181712963</v>
      </c>
      <c r="C4013" s="3" t="s">
        <v>6</v>
      </c>
    </row>
    <row r="4014">
      <c r="A4014" s="3">
        <v>5197.0</v>
      </c>
      <c r="B4014" s="4">
        <v>45352.32792824074</v>
      </c>
      <c r="C4014" s="3" t="s">
        <v>3</v>
      </c>
    </row>
    <row r="4015">
      <c r="A4015" s="3">
        <v>2200.0</v>
      </c>
      <c r="B4015" s="4">
        <v>45352.33627314815</v>
      </c>
      <c r="C4015" s="3" t="s">
        <v>3</v>
      </c>
    </row>
    <row r="4016">
      <c r="A4016" s="3">
        <v>1923.0</v>
      </c>
      <c r="B4016" s="4">
        <v>45352.33694444445</v>
      </c>
      <c r="C4016" s="3" t="s">
        <v>6</v>
      </c>
    </row>
    <row r="4017">
      <c r="A4017" s="3">
        <v>2358.0</v>
      </c>
      <c r="B4017" s="4">
        <v>45352.34556712963</v>
      </c>
      <c r="C4017" s="3" t="s">
        <v>3</v>
      </c>
    </row>
    <row r="4018">
      <c r="A4018" s="3">
        <v>1447.0</v>
      </c>
      <c r="B4018" s="4">
        <v>45352.35568287037</v>
      </c>
      <c r="C4018" s="3" t="s">
        <v>4</v>
      </c>
    </row>
    <row r="4019">
      <c r="A4019" s="3">
        <v>111.0</v>
      </c>
      <c r="B4019" s="4">
        <v>45352.3683912037</v>
      </c>
      <c r="C4019" s="3" t="s">
        <v>4</v>
      </c>
    </row>
    <row r="4020">
      <c r="A4020" s="3">
        <v>1671.0</v>
      </c>
      <c r="B4020" s="4">
        <v>45352.37542824074</v>
      </c>
      <c r="C4020" s="3" t="s">
        <v>3</v>
      </c>
    </row>
    <row r="4021">
      <c r="A4021" s="3">
        <v>3873.0</v>
      </c>
      <c r="B4021" s="4">
        <v>45352.38582175926</v>
      </c>
      <c r="C4021" s="3" t="s">
        <v>4</v>
      </c>
    </row>
    <row r="4022">
      <c r="A4022" s="3">
        <v>3858.0</v>
      </c>
      <c r="B4022" s="4">
        <v>45352.41643518519</v>
      </c>
      <c r="C4022" s="3" t="s">
        <v>6</v>
      </c>
    </row>
    <row r="4023">
      <c r="A4023" s="3">
        <v>5334.0</v>
      </c>
      <c r="B4023" s="4">
        <v>45352.454201388886</v>
      </c>
      <c r="C4023" s="3" t="s">
        <v>4</v>
      </c>
    </row>
    <row r="4024">
      <c r="A4024" s="3">
        <v>6239.0</v>
      </c>
      <c r="B4024" s="4">
        <v>45352.47925925926</v>
      </c>
      <c r="C4024" s="3" t="s">
        <v>4</v>
      </c>
    </row>
    <row r="4025">
      <c r="A4025" s="3">
        <v>1110.0</v>
      </c>
      <c r="B4025" s="4">
        <v>45352.491875</v>
      </c>
      <c r="C4025" s="3" t="s">
        <v>3</v>
      </c>
    </row>
    <row r="4026">
      <c r="A4026" s="3">
        <v>3872.0</v>
      </c>
      <c r="B4026" s="4">
        <v>45352.49349537037</v>
      </c>
      <c r="C4026" s="3" t="s">
        <v>4</v>
      </c>
    </row>
    <row r="4027">
      <c r="A4027" s="3">
        <v>5753.0</v>
      </c>
      <c r="B4027" s="4">
        <v>45352.50230324074</v>
      </c>
      <c r="C4027" s="3" t="s">
        <v>5</v>
      </c>
    </row>
    <row r="4028">
      <c r="A4028" s="3">
        <v>7432.0</v>
      </c>
      <c r="B4028" s="4">
        <v>45352.510833333334</v>
      </c>
      <c r="C4028" s="3" t="s">
        <v>3</v>
      </c>
    </row>
    <row r="4029">
      <c r="A4029" s="3">
        <v>3873.0</v>
      </c>
      <c r="B4029" s="4">
        <v>45352.535208333335</v>
      </c>
      <c r="C4029" s="3" t="s">
        <v>5</v>
      </c>
    </row>
    <row r="4030">
      <c r="A4030" s="3">
        <v>5493.0</v>
      </c>
      <c r="B4030" s="4">
        <v>45352.54225694444</v>
      </c>
      <c r="C4030" s="3" t="s">
        <v>6</v>
      </c>
    </row>
    <row r="4031">
      <c r="A4031" s="3">
        <v>6508.0</v>
      </c>
      <c r="B4031" s="4">
        <v>45352.555659722224</v>
      </c>
      <c r="C4031" s="3" t="s">
        <v>3</v>
      </c>
    </row>
    <row r="4032">
      <c r="A4032" s="3">
        <v>3806.0</v>
      </c>
      <c r="B4032" s="4">
        <v>45352.57129629629</v>
      </c>
      <c r="C4032" s="3" t="s">
        <v>5</v>
      </c>
    </row>
    <row r="4033">
      <c r="A4033" s="3">
        <v>398.0</v>
      </c>
      <c r="B4033" s="4">
        <v>45352.57450231481</v>
      </c>
      <c r="C4033" s="3" t="s">
        <v>6</v>
      </c>
    </row>
    <row r="4034">
      <c r="A4034" s="3">
        <v>3871.0</v>
      </c>
      <c r="B4034" s="4">
        <v>45352.57513888889</v>
      </c>
      <c r="C4034" s="3" t="s">
        <v>3</v>
      </c>
    </row>
    <row r="4035">
      <c r="A4035" s="3">
        <v>1447.0</v>
      </c>
      <c r="B4035" s="4">
        <v>45352.62013888889</v>
      </c>
      <c r="C4035" s="3" t="s">
        <v>6</v>
      </c>
    </row>
    <row r="4036">
      <c r="A4036" s="3">
        <v>6538.0</v>
      </c>
      <c r="B4036" s="4">
        <v>45352.62997685185</v>
      </c>
      <c r="C4036" s="3" t="s">
        <v>3</v>
      </c>
    </row>
    <row r="4037">
      <c r="A4037" s="3">
        <v>2642.0</v>
      </c>
      <c r="B4037" s="4">
        <v>45352.66662037037</v>
      </c>
      <c r="C4037" s="3" t="s">
        <v>7</v>
      </c>
    </row>
    <row r="4038">
      <c r="A4038" s="3">
        <v>3806.0</v>
      </c>
      <c r="B4038" s="4">
        <v>45352.68980324074</v>
      </c>
      <c r="C4038" s="3" t="s">
        <v>3</v>
      </c>
    </row>
    <row r="4039">
      <c r="A4039" s="3">
        <v>1059.0</v>
      </c>
      <c r="B4039" s="4">
        <v>45352.69018518519</v>
      </c>
      <c r="C4039" s="3" t="s">
        <v>3</v>
      </c>
    </row>
    <row r="4040">
      <c r="A4040" s="3">
        <v>3783.0</v>
      </c>
      <c r="B4040" s="4">
        <v>45352.704560185186</v>
      </c>
      <c r="C4040" s="3" t="s">
        <v>3</v>
      </c>
    </row>
    <row r="4041">
      <c r="A4041" s="3">
        <v>2623.0</v>
      </c>
      <c r="B4041" s="4">
        <v>45352.71704861111</v>
      </c>
      <c r="C4041" s="3" t="s">
        <v>4</v>
      </c>
    </row>
    <row r="4042">
      <c r="A4042" s="3">
        <v>2376.0</v>
      </c>
      <c r="B4042" s="4">
        <v>45352.73200231481</v>
      </c>
      <c r="C4042" s="3" t="s">
        <v>6</v>
      </c>
    </row>
    <row r="4043">
      <c r="A4043" s="3">
        <v>3291.0</v>
      </c>
      <c r="B4043" s="4">
        <v>45352.73479166667</v>
      </c>
      <c r="C4043" s="3" t="s">
        <v>5</v>
      </c>
    </row>
    <row r="4044">
      <c r="A4044" s="3">
        <v>1484.0</v>
      </c>
      <c r="B4044" s="4">
        <v>45352.74074074074</v>
      </c>
      <c r="C4044" s="3" t="s">
        <v>6</v>
      </c>
    </row>
    <row r="4045">
      <c r="A4045" s="3">
        <v>3160.0</v>
      </c>
      <c r="B4045" s="4">
        <v>45352.7497337963</v>
      </c>
      <c r="C4045" s="3" t="s">
        <v>3</v>
      </c>
    </row>
    <row r="4046">
      <c r="A4046" s="3">
        <v>1357.0</v>
      </c>
      <c r="B4046" s="4">
        <v>45352.75670138889</v>
      </c>
      <c r="C4046" s="3" t="s">
        <v>4</v>
      </c>
    </row>
    <row r="4047">
      <c r="A4047" s="3">
        <v>680.0</v>
      </c>
      <c r="B4047" s="4">
        <v>45352.87535879629</v>
      </c>
      <c r="C4047" s="3" t="s">
        <v>3</v>
      </c>
    </row>
    <row r="4048">
      <c r="A4048" s="3">
        <v>1205.0</v>
      </c>
      <c r="B4048" s="4">
        <v>45352.87847222222</v>
      </c>
      <c r="C4048" s="3" t="s">
        <v>3</v>
      </c>
    </row>
    <row r="4049">
      <c r="A4049" s="3">
        <v>2500.0</v>
      </c>
      <c r="B4049" s="4">
        <v>45352.883877314816</v>
      </c>
      <c r="C4049" s="3" t="s">
        <v>5</v>
      </c>
    </row>
    <row r="4050">
      <c r="A4050" s="3">
        <v>7545.0</v>
      </c>
      <c r="B4050" s="4">
        <v>45352.89481481481</v>
      </c>
      <c r="C4050" s="3" t="s">
        <v>5</v>
      </c>
    </row>
    <row r="4051">
      <c r="A4051" s="3">
        <v>3783.0</v>
      </c>
      <c r="B4051" s="4">
        <v>45352.90133101852</v>
      </c>
      <c r="C4051" s="3" t="s">
        <v>5</v>
      </c>
    </row>
    <row r="4052">
      <c r="A4052" s="3">
        <v>7331.0</v>
      </c>
      <c r="B4052" s="4">
        <v>45352.9080787037</v>
      </c>
      <c r="C4052" s="3" t="s">
        <v>6</v>
      </c>
    </row>
    <row r="4053">
      <c r="A4053" s="3">
        <v>5753.0</v>
      </c>
      <c r="B4053" s="4">
        <v>45352.91096064815</v>
      </c>
      <c r="C4053" s="3" t="s">
        <v>7</v>
      </c>
    </row>
    <row r="4054">
      <c r="A4054" s="3">
        <v>1229.0</v>
      </c>
      <c r="B4054" s="4">
        <v>45352.97741898148</v>
      </c>
      <c r="C4054" s="3" t="s">
        <v>3</v>
      </c>
    </row>
    <row r="4055">
      <c r="A4055" s="3">
        <v>6070.0</v>
      </c>
      <c r="B4055" s="4">
        <v>45353.03965277778</v>
      </c>
      <c r="C4055" s="3" t="s">
        <v>3</v>
      </c>
    </row>
    <row r="4056">
      <c r="A4056" s="3">
        <v>5644.0</v>
      </c>
      <c r="B4056" s="4">
        <v>45353.057534722226</v>
      </c>
      <c r="C4056" s="3" t="s">
        <v>4</v>
      </c>
    </row>
    <row r="4057">
      <c r="A4057" s="3">
        <v>6193.0</v>
      </c>
      <c r="B4057" s="4">
        <v>45353.06886574074</v>
      </c>
      <c r="C4057" s="3" t="s">
        <v>3</v>
      </c>
    </row>
    <row r="4058">
      <c r="A4058" s="3">
        <v>4326.0</v>
      </c>
      <c r="B4058" s="4">
        <v>45353.07876157408</v>
      </c>
      <c r="C4058" s="3" t="s">
        <v>6</v>
      </c>
    </row>
    <row r="4059">
      <c r="A4059" s="3">
        <v>6089.0</v>
      </c>
      <c r="B4059" s="4">
        <v>45353.09130787037</v>
      </c>
      <c r="C4059" s="3" t="s">
        <v>6</v>
      </c>
    </row>
    <row r="4060">
      <c r="A4060" s="3">
        <v>5996.0</v>
      </c>
      <c r="B4060" s="4">
        <v>45353.093877314815</v>
      </c>
      <c r="C4060" s="3" t="s">
        <v>3</v>
      </c>
    </row>
    <row r="4061">
      <c r="A4061" s="3">
        <v>1490.0</v>
      </c>
      <c r="B4061" s="4">
        <v>45353.0987962963</v>
      </c>
      <c r="C4061" s="3" t="s">
        <v>7</v>
      </c>
    </row>
    <row r="4062">
      <c r="A4062" s="3">
        <v>6721.0</v>
      </c>
      <c r="B4062" s="4">
        <v>45353.121342592596</v>
      </c>
      <c r="C4062" s="3" t="s">
        <v>5</v>
      </c>
    </row>
    <row r="4063">
      <c r="A4063" s="3">
        <v>3783.0</v>
      </c>
      <c r="B4063" s="4">
        <v>45353.167974537035</v>
      </c>
      <c r="C4063" s="3" t="s">
        <v>7</v>
      </c>
    </row>
    <row r="4064">
      <c r="A4064" s="3">
        <v>6249.0</v>
      </c>
      <c r="B4064" s="4">
        <v>45353.17925925926</v>
      </c>
      <c r="C4064" s="3" t="s">
        <v>3</v>
      </c>
    </row>
    <row r="4065">
      <c r="A4065" s="3">
        <v>7640.0</v>
      </c>
      <c r="B4065" s="4">
        <v>45353.182905092595</v>
      </c>
      <c r="C4065" s="3" t="s">
        <v>4</v>
      </c>
    </row>
    <row r="4066">
      <c r="A4066" s="3">
        <v>7452.0</v>
      </c>
      <c r="B4066" s="4">
        <v>45353.1903125</v>
      </c>
      <c r="C4066" s="3" t="s">
        <v>6</v>
      </c>
    </row>
    <row r="4067">
      <c r="A4067" s="3">
        <v>587.0</v>
      </c>
      <c r="B4067" s="4">
        <v>45353.19274305556</v>
      </c>
      <c r="C4067" s="3" t="s">
        <v>6</v>
      </c>
    </row>
    <row r="4068">
      <c r="A4068" s="3">
        <v>4739.0</v>
      </c>
      <c r="B4068" s="4">
        <v>45353.19613425926</v>
      </c>
      <c r="C4068" s="3" t="s">
        <v>4</v>
      </c>
    </row>
    <row r="4069">
      <c r="A4069" s="3">
        <v>240.0</v>
      </c>
      <c r="B4069" s="4">
        <v>45353.21126157408</v>
      </c>
      <c r="C4069" s="3" t="s">
        <v>3</v>
      </c>
    </row>
    <row r="4070">
      <c r="A4070" s="3">
        <v>1844.0</v>
      </c>
      <c r="B4070" s="4">
        <v>45353.2218287037</v>
      </c>
      <c r="C4070" s="3" t="s">
        <v>3</v>
      </c>
    </row>
    <row r="4071">
      <c r="A4071" s="3">
        <v>1774.0</v>
      </c>
      <c r="B4071" s="4">
        <v>45353.224490740744</v>
      </c>
      <c r="C4071" s="3" t="s">
        <v>3</v>
      </c>
    </row>
    <row r="4072">
      <c r="A4072" s="3">
        <v>390.0</v>
      </c>
      <c r="B4072" s="4">
        <v>45353.236759259256</v>
      </c>
      <c r="C4072" s="3" t="s">
        <v>3</v>
      </c>
    </row>
    <row r="4073">
      <c r="A4073" s="3">
        <v>3997.0</v>
      </c>
      <c r="B4073" s="4">
        <v>45353.258564814816</v>
      </c>
      <c r="C4073" s="3" t="s">
        <v>3</v>
      </c>
    </row>
    <row r="4074">
      <c r="A4074" s="3">
        <v>5644.0</v>
      </c>
      <c r="B4074" s="4">
        <v>45353.26157407407</v>
      </c>
      <c r="C4074" s="3" t="s">
        <v>3</v>
      </c>
    </row>
    <row r="4075">
      <c r="A4075" s="3">
        <v>3470.0</v>
      </c>
      <c r="B4075" s="4">
        <v>45353.2634837963</v>
      </c>
      <c r="C4075" s="3" t="s">
        <v>7</v>
      </c>
    </row>
    <row r="4076">
      <c r="A4076" s="3">
        <v>2200.0</v>
      </c>
      <c r="B4076" s="4">
        <v>45353.289664351854</v>
      </c>
      <c r="C4076" s="3" t="s">
        <v>5</v>
      </c>
    </row>
    <row r="4077">
      <c r="A4077" s="3">
        <v>3751.0</v>
      </c>
      <c r="B4077" s="4">
        <v>45353.31376157407</v>
      </c>
      <c r="C4077" s="3" t="s">
        <v>3</v>
      </c>
    </row>
    <row r="4078">
      <c r="A4078" s="3">
        <v>2174.0</v>
      </c>
      <c r="B4078" s="4">
        <v>45353.31390046296</v>
      </c>
      <c r="C4078" s="3" t="s">
        <v>3</v>
      </c>
    </row>
    <row r="4079">
      <c r="A4079" s="3">
        <v>7781.0</v>
      </c>
      <c r="B4079" s="4">
        <v>45353.32331018519</v>
      </c>
      <c r="C4079" s="3" t="s">
        <v>3</v>
      </c>
    </row>
    <row r="4080">
      <c r="A4080" s="3">
        <v>816.0</v>
      </c>
      <c r="B4080" s="4">
        <v>45353.38796296297</v>
      </c>
      <c r="C4080" s="3" t="s">
        <v>4</v>
      </c>
    </row>
    <row r="4081">
      <c r="A4081" s="3">
        <v>6089.0</v>
      </c>
      <c r="B4081" s="4">
        <v>45353.40221064815</v>
      </c>
      <c r="C4081" s="3" t="s">
        <v>5</v>
      </c>
    </row>
    <row r="4082">
      <c r="A4082" s="3">
        <v>3806.0</v>
      </c>
      <c r="B4082" s="4">
        <v>45353.42325231482</v>
      </c>
      <c r="C4082" s="3" t="s">
        <v>4</v>
      </c>
    </row>
    <row r="4083">
      <c r="A4083" s="3">
        <v>6328.0</v>
      </c>
      <c r="B4083" s="4">
        <v>45353.43423611111</v>
      </c>
      <c r="C4083" s="3" t="s">
        <v>3</v>
      </c>
    </row>
    <row r="4084">
      <c r="A4084" s="3">
        <v>4556.0</v>
      </c>
      <c r="B4084" s="4">
        <v>45353.44159722222</v>
      </c>
      <c r="C4084" s="3" t="s">
        <v>4</v>
      </c>
    </row>
    <row r="4085">
      <c r="A4085" s="3">
        <v>971.0</v>
      </c>
      <c r="B4085" s="4">
        <v>45353.441875</v>
      </c>
      <c r="C4085" s="3" t="s">
        <v>3</v>
      </c>
    </row>
    <row r="4086">
      <c r="A4086" s="3">
        <v>1685.0</v>
      </c>
      <c r="B4086" s="4">
        <v>45353.45582175926</v>
      </c>
      <c r="C4086" s="3" t="s">
        <v>3</v>
      </c>
    </row>
    <row r="4087">
      <c r="A4087" s="3">
        <v>294.0</v>
      </c>
      <c r="B4087" s="4">
        <v>45353.458125</v>
      </c>
      <c r="C4087" s="3" t="s">
        <v>4</v>
      </c>
    </row>
    <row r="4088">
      <c r="A4088" s="3">
        <v>7308.0</v>
      </c>
      <c r="B4088" s="4">
        <v>45353.45956018518</v>
      </c>
      <c r="C4088" s="3" t="s">
        <v>3</v>
      </c>
    </row>
    <row r="4089">
      <c r="A4089" s="3">
        <v>3160.0</v>
      </c>
      <c r="B4089" s="4">
        <v>45353.47498842593</v>
      </c>
      <c r="C4089" s="3" t="s">
        <v>4</v>
      </c>
    </row>
    <row r="4090">
      <c r="A4090" s="3">
        <v>6508.0</v>
      </c>
      <c r="B4090" s="4">
        <v>45353.50728009259</v>
      </c>
      <c r="C4090" s="3" t="s">
        <v>7</v>
      </c>
    </row>
    <row r="4091">
      <c r="A4091" s="3">
        <v>5753.0</v>
      </c>
      <c r="B4091" s="4">
        <v>45353.51582175926</v>
      </c>
      <c r="C4091" s="3" t="s">
        <v>4</v>
      </c>
    </row>
    <row r="4092">
      <c r="A4092" s="3">
        <v>6328.0</v>
      </c>
      <c r="B4092" s="4">
        <v>45353.51688657407</v>
      </c>
      <c r="C4092" s="3" t="s">
        <v>4</v>
      </c>
    </row>
    <row r="4093">
      <c r="A4093" s="3">
        <v>2683.0</v>
      </c>
      <c r="B4093" s="4">
        <v>45353.551712962966</v>
      </c>
      <c r="C4093" s="3" t="s">
        <v>3</v>
      </c>
    </row>
    <row r="4094">
      <c r="A4094" s="3">
        <v>1671.0</v>
      </c>
      <c r="B4094" s="4">
        <v>45353.56177083333</v>
      </c>
      <c r="C4094" s="3" t="s">
        <v>7</v>
      </c>
    </row>
    <row r="4095">
      <c r="A4095" s="3">
        <v>3623.0</v>
      </c>
      <c r="B4095" s="4">
        <v>45353.56590277778</v>
      </c>
      <c r="C4095" s="3" t="s">
        <v>3</v>
      </c>
    </row>
    <row r="4096">
      <c r="A4096" s="3">
        <v>3642.0</v>
      </c>
      <c r="B4096" s="4">
        <v>45353.61224537037</v>
      </c>
      <c r="C4096" s="3" t="s">
        <v>3</v>
      </c>
    </row>
    <row r="4097">
      <c r="A4097" s="3">
        <v>6748.0</v>
      </c>
      <c r="B4097" s="4">
        <v>45353.61614583333</v>
      </c>
      <c r="C4097" s="3" t="s">
        <v>5</v>
      </c>
    </row>
    <row r="4098">
      <c r="A4098" s="3">
        <v>2844.0</v>
      </c>
      <c r="B4098" s="4">
        <v>45353.617685185185</v>
      </c>
      <c r="C4098" s="3" t="s">
        <v>3</v>
      </c>
    </row>
    <row r="4099">
      <c r="A4099" s="3">
        <v>1896.0</v>
      </c>
      <c r="B4099" s="4">
        <v>45353.62293981481</v>
      </c>
      <c r="C4099" s="3" t="s">
        <v>3</v>
      </c>
    </row>
    <row r="4100">
      <c r="A4100" s="3">
        <v>2837.0</v>
      </c>
      <c r="B4100" s="4">
        <v>45353.63171296296</v>
      </c>
      <c r="C4100" s="3" t="s">
        <v>3</v>
      </c>
    </row>
    <row r="4101">
      <c r="A4101" s="3">
        <v>3144.0</v>
      </c>
      <c r="B4101" s="4">
        <v>45353.64129629629</v>
      </c>
      <c r="C4101" s="3" t="s">
        <v>6</v>
      </c>
    </row>
    <row r="4102">
      <c r="A4102" s="3">
        <v>1545.0</v>
      </c>
      <c r="B4102" s="4">
        <v>45353.670381944445</v>
      </c>
      <c r="C4102" s="3" t="s">
        <v>7</v>
      </c>
    </row>
    <row r="4103">
      <c r="A4103" s="3">
        <v>1110.0</v>
      </c>
      <c r="B4103" s="4">
        <v>45353.676620370374</v>
      </c>
      <c r="C4103" s="3" t="s">
        <v>4</v>
      </c>
    </row>
    <row r="4104">
      <c r="A4104" s="3">
        <v>3247.0</v>
      </c>
      <c r="B4104" s="4">
        <v>45353.68431712963</v>
      </c>
      <c r="C4104" s="3" t="s">
        <v>6</v>
      </c>
    </row>
    <row r="4105">
      <c r="A4105" s="3">
        <v>2305.0</v>
      </c>
      <c r="B4105" s="4">
        <v>45353.68900462963</v>
      </c>
      <c r="C4105" s="3" t="s">
        <v>5</v>
      </c>
    </row>
    <row r="4106">
      <c r="A4106" s="3">
        <v>1408.0</v>
      </c>
      <c r="B4106" s="4">
        <v>45353.69002314815</v>
      </c>
      <c r="C4106" s="3" t="s">
        <v>7</v>
      </c>
    </row>
    <row r="4107">
      <c r="A4107" s="3">
        <v>5509.0</v>
      </c>
      <c r="B4107" s="4">
        <v>45353.709710648145</v>
      </c>
      <c r="C4107" s="3" t="s">
        <v>3</v>
      </c>
    </row>
    <row r="4108">
      <c r="A4108" s="3">
        <v>793.0</v>
      </c>
      <c r="B4108" s="4">
        <v>45353.7175</v>
      </c>
      <c r="C4108" s="3" t="s">
        <v>3</v>
      </c>
    </row>
    <row r="4109">
      <c r="A4109" s="3">
        <v>240.0</v>
      </c>
      <c r="B4109" s="4">
        <v>45353.72287037037</v>
      </c>
      <c r="C4109" s="3" t="s">
        <v>5</v>
      </c>
    </row>
    <row r="4110">
      <c r="A4110" s="3">
        <v>6670.0</v>
      </c>
      <c r="B4110" s="4">
        <v>45353.72729166667</v>
      </c>
      <c r="C4110" s="3" t="s">
        <v>3</v>
      </c>
    </row>
    <row r="4111">
      <c r="A4111" s="3">
        <v>6089.0</v>
      </c>
      <c r="B4111" s="4">
        <v>45353.729837962965</v>
      </c>
      <c r="C4111" s="3" t="s">
        <v>4</v>
      </c>
    </row>
    <row r="4112">
      <c r="A4112" s="3">
        <v>978.0</v>
      </c>
      <c r="B4112" s="4">
        <v>45353.730266203704</v>
      </c>
      <c r="C4112" s="3" t="s">
        <v>3</v>
      </c>
    </row>
    <row r="4113">
      <c r="A4113" s="3">
        <v>3871.0</v>
      </c>
      <c r="B4113" s="4">
        <v>45353.739340277774</v>
      </c>
      <c r="C4113" s="3" t="s">
        <v>4</v>
      </c>
    </row>
    <row r="4114">
      <c r="A4114" s="3">
        <v>7129.0</v>
      </c>
      <c r="B4114" s="4">
        <v>45353.78628472222</v>
      </c>
      <c r="C4114" s="3" t="s">
        <v>5</v>
      </c>
    </row>
    <row r="4115">
      <c r="A4115" s="3">
        <v>2797.0</v>
      </c>
      <c r="B4115" s="4">
        <v>45353.786828703705</v>
      </c>
      <c r="C4115" s="3" t="s">
        <v>4</v>
      </c>
    </row>
    <row r="4116">
      <c r="A4116" s="3">
        <v>2738.0</v>
      </c>
      <c r="B4116" s="4">
        <v>45353.788831018515</v>
      </c>
      <c r="C4116" s="3" t="s">
        <v>3</v>
      </c>
    </row>
    <row r="4117">
      <c r="A4117" s="3">
        <v>7943.0</v>
      </c>
      <c r="B4117" s="4">
        <v>45353.789456018516</v>
      </c>
      <c r="C4117" s="3" t="s">
        <v>4</v>
      </c>
    </row>
    <row r="4118">
      <c r="A4118" s="3">
        <v>3829.0</v>
      </c>
      <c r="B4118" s="4">
        <v>45353.814108796294</v>
      </c>
      <c r="C4118" s="3" t="s">
        <v>3</v>
      </c>
    </row>
    <row r="4119">
      <c r="A4119" s="3">
        <v>6103.0</v>
      </c>
      <c r="B4119" s="4">
        <v>45353.83299768518</v>
      </c>
      <c r="C4119" s="3" t="s">
        <v>3</v>
      </c>
    </row>
    <row r="4120">
      <c r="A4120" s="3">
        <v>6533.0</v>
      </c>
      <c r="B4120" s="4">
        <v>45353.88414351852</v>
      </c>
      <c r="C4120" s="3" t="s">
        <v>5</v>
      </c>
    </row>
    <row r="4121">
      <c r="A4121" s="3">
        <v>3525.0</v>
      </c>
      <c r="B4121" s="4">
        <v>45353.89196759259</v>
      </c>
      <c r="C4121" s="3" t="s">
        <v>6</v>
      </c>
    </row>
    <row r="4122">
      <c r="A4122" s="3">
        <v>1386.0</v>
      </c>
      <c r="B4122" s="4">
        <v>45353.90283564815</v>
      </c>
      <c r="C4122" s="3" t="s">
        <v>6</v>
      </c>
    </row>
    <row r="4123">
      <c r="A4123" s="3">
        <v>1406.0</v>
      </c>
      <c r="B4123" s="4">
        <v>45353.911840277775</v>
      </c>
      <c r="C4123" s="3" t="s">
        <v>4</v>
      </c>
    </row>
    <row r="4124">
      <c r="A4124" s="3">
        <v>1406.0</v>
      </c>
      <c r="B4124" s="4">
        <v>45353.95564814815</v>
      </c>
      <c r="C4124" s="3" t="s">
        <v>3</v>
      </c>
    </row>
    <row r="4125">
      <c r="A4125" s="3">
        <v>4086.0</v>
      </c>
      <c r="B4125" s="4">
        <v>45354.04070601852</v>
      </c>
      <c r="C4125" s="3" t="s">
        <v>6</v>
      </c>
    </row>
    <row r="4126">
      <c r="A4126" s="3">
        <v>971.0</v>
      </c>
      <c r="B4126" s="4">
        <v>45354.04314814815</v>
      </c>
      <c r="C4126" s="3" t="s">
        <v>6</v>
      </c>
    </row>
    <row r="4127">
      <c r="A4127" s="3">
        <v>971.0</v>
      </c>
      <c r="B4127" s="4">
        <v>45354.056284722225</v>
      </c>
      <c r="C4127" s="3" t="s">
        <v>4</v>
      </c>
    </row>
    <row r="4128">
      <c r="A4128" s="3">
        <v>4731.0</v>
      </c>
      <c r="B4128" s="4">
        <v>45354.07252314815</v>
      </c>
      <c r="C4128" s="3" t="s">
        <v>3</v>
      </c>
    </row>
    <row r="4129">
      <c r="A4129" s="3">
        <v>5984.0</v>
      </c>
      <c r="B4129" s="4">
        <v>45354.07769675926</v>
      </c>
      <c r="C4129" s="3" t="s">
        <v>3</v>
      </c>
    </row>
    <row r="4130">
      <c r="A4130" s="3">
        <v>3871.0</v>
      </c>
      <c r="B4130" s="4">
        <v>45354.09155092593</v>
      </c>
      <c r="C4130" s="3" t="s">
        <v>7</v>
      </c>
    </row>
    <row r="4131">
      <c r="A4131" s="3">
        <v>294.0</v>
      </c>
      <c r="B4131" s="4">
        <v>45354.09233796296</v>
      </c>
      <c r="C4131" s="3" t="s">
        <v>5</v>
      </c>
    </row>
    <row r="4132">
      <c r="A4132" s="3">
        <v>177.0</v>
      </c>
      <c r="B4132" s="4">
        <v>45354.1003125</v>
      </c>
      <c r="C4132" s="3" t="s">
        <v>3</v>
      </c>
    </row>
    <row r="4133">
      <c r="A4133" s="3">
        <v>237.0</v>
      </c>
      <c r="B4133" s="4">
        <v>45354.12621527778</v>
      </c>
      <c r="C4133" s="3" t="s">
        <v>3</v>
      </c>
    </row>
    <row r="4134">
      <c r="A4134" s="3">
        <v>2311.0</v>
      </c>
      <c r="B4134" s="4">
        <v>45354.12627314815</v>
      </c>
      <c r="C4134" s="3" t="s">
        <v>3</v>
      </c>
    </row>
    <row r="4135">
      <c r="A4135" s="3">
        <v>2305.0</v>
      </c>
      <c r="B4135" s="4">
        <v>45354.149513888886</v>
      </c>
      <c r="C4135" s="3" t="s">
        <v>6</v>
      </c>
    </row>
    <row r="4136">
      <c r="A4136" s="3">
        <v>7129.0</v>
      </c>
      <c r="B4136" s="4">
        <v>45354.15252314815</v>
      </c>
      <c r="C4136" s="3" t="s">
        <v>6</v>
      </c>
    </row>
    <row r="4137">
      <c r="A4137" s="3">
        <v>2837.0</v>
      </c>
      <c r="B4137" s="4">
        <v>45354.155497685184</v>
      </c>
      <c r="C4137" s="3" t="s">
        <v>4</v>
      </c>
    </row>
    <row r="4138">
      <c r="A4138" s="3">
        <v>694.0</v>
      </c>
      <c r="B4138" s="4">
        <v>45354.157534722224</v>
      </c>
      <c r="C4138" s="3" t="s">
        <v>4</v>
      </c>
    </row>
    <row r="4139">
      <c r="A4139" s="3">
        <v>6879.0</v>
      </c>
      <c r="B4139" s="4">
        <v>45354.166180555556</v>
      </c>
      <c r="C4139" s="3" t="s">
        <v>3</v>
      </c>
    </row>
    <row r="4140">
      <c r="A4140" s="3">
        <v>2358.0</v>
      </c>
      <c r="B4140" s="4">
        <v>45354.17613425926</v>
      </c>
      <c r="C4140" s="3" t="s">
        <v>4</v>
      </c>
    </row>
    <row r="4141">
      <c r="A4141" s="3">
        <v>1804.0</v>
      </c>
      <c r="B4141" s="4">
        <v>45354.202418981484</v>
      </c>
      <c r="C4141" s="3" t="s">
        <v>7</v>
      </c>
    </row>
    <row r="4142">
      <c r="A4142" s="3">
        <v>6671.0</v>
      </c>
      <c r="B4142" s="4">
        <v>45354.20390046296</v>
      </c>
      <c r="C4142" s="3" t="s">
        <v>3</v>
      </c>
    </row>
    <row r="4143">
      <c r="A4143" s="3">
        <v>4098.0</v>
      </c>
      <c r="B4143" s="4">
        <v>45354.21806712963</v>
      </c>
      <c r="C4143" s="3" t="s">
        <v>3</v>
      </c>
    </row>
    <row r="4144">
      <c r="A4144" s="3">
        <v>3237.0</v>
      </c>
      <c r="B4144" s="4">
        <v>45354.29398148148</v>
      </c>
      <c r="C4144" s="3" t="s">
        <v>3</v>
      </c>
    </row>
    <row r="4145">
      <c r="A4145" s="3">
        <v>971.0</v>
      </c>
      <c r="B4145" s="4">
        <v>45354.31456018519</v>
      </c>
      <c r="C4145" s="3" t="s">
        <v>5</v>
      </c>
    </row>
    <row r="4146">
      <c r="A4146" s="3">
        <v>5399.0</v>
      </c>
      <c r="B4146" s="4">
        <v>45354.411469907405</v>
      </c>
      <c r="C4146" s="3" t="s">
        <v>3</v>
      </c>
    </row>
    <row r="4147">
      <c r="A4147" s="3">
        <v>2742.0</v>
      </c>
      <c r="B4147" s="4">
        <v>45354.43173611111</v>
      </c>
      <c r="C4147" s="3" t="s">
        <v>4</v>
      </c>
    </row>
    <row r="4148">
      <c r="A4148" s="3">
        <v>177.0</v>
      </c>
      <c r="B4148" s="4">
        <v>45354.44553240741</v>
      </c>
      <c r="C4148" s="3" t="s">
        <v>4</v>
      </c>
    </row>
    <row r="4149">
      <c r="A4149" s="3">
        <v>2174.0</v>
      </c>
      <c r="B4149" s="4">
        <v>45354.455659722225</v>
      </c>
      <c r="C4149" s="3" t="s">
        <v>5</v>
      </c>
    </row>
    <row r="4150">
      <c r="A4150" s="3">
        <v>1340.0</v>
      </c>
      <c r="B4150" s="4">
        <v>45354.48369212963</v>
      </c>
      <c r="C4150" s="3" t="s">
        <v>6</v>
      </c>
    </row>
    <row r="4151">
      <c r="A4151" s="3">
        <v>177.0</v>
      </c>
      <c r="B4151" s="4">
        <v>45354.48423611111</v>
      </c>
      <c r="C4151" s="3" t="s">
        <v>5</v>
      </c>
    </row>
    <row r="4152">
      <c r="A4152" s="3">
        <v>694.0</v>
      </c>
      <c r="B4152" s="4">
        <v>45354.48645833333</v>
      </c>
      <c r="C4152" s="3" t="s">
        <v>3</v>
      </c>
    </row>
    <row r="4153">
      <c r="A4153" s="3">
        <v>7637.0</v>
      </c>
      <c r="B4153" s="4">
        <v>45354.494675925926</v>
      </c>
      <c r="C4153" s="3" t="s">
        <v>3</v>
      </c>
    </row>
    <row r="4154">
      <c r="A4154" s="3">
        <v>7686.0</v>
      </c>
      <c r="B4154" s="4">
        <v>45354.54615740741</v>
      </c>
      <c r="C4154" s="3" t="s">
        <v>3</v>
      </c>
    </row>
    <row r="4155">
      <c r="A4155" s="3">
        <v>7480.0</v>
      </c>
      <c r="B4155" s="4">
        <v>45354.56421296296</v>
      </c>
      <c r="C4155" s="3" t="s">
        <v>3</v>
      </c>
    </row>
    <row r="4156">
      <c r="A4156" s="3">
        <v>6700.0</v>
      </c>
      <c r="B4156" s="4">
        <v>45354.59946759259</v>
      </c>
      <c r="C4156" s="3" t="s">
        <v>6</v>
      </c>
    </row>
    <row r="4157">
      <c r="A4157" s="3">
        <v>7432.0</v>
      </c>
      <c r="B4157" s="4">
        <v>45354.61645833333</v>
      </c>
      <c r="C4157" s="3" t="s">
        <v>4</v>
      </c>
    </row>
    <row r="4158">
      <c r="A4158" s="3">
        <v>7686.0</v>
      </c>
      <c r="B4158" s="4">
        <v>45354.62415509259</v>
      </c>
      <c r="C4158" s="3" t="s">
        <v>4</v>
      </c>
    </row>
    <row r="4159">
      <c r="A4159" s="3">
        <v>5082.0</v>
      </c>
      <c r="B4159" s="4">
        <v>45354.62862268519</v>
      </c>
      <c r="C4159" s="3" t="s">
        <v>3</v>
      </c>
    </row>
    <row r="4160">
      <c r="A4160" s="3">
        <v>974.0</v>
      </c>
      <c r="B4160" s="4">
        <v>45354.639548611114</v>
      </c>
      <c r="C4160" s="3" t="s">
        <v>4</v>
      </c>
    </row>
    <row r="4161">
      <c r="A4161" s="3">
        <v>5401.0</v>
      </c>
      <c r="B4161" s="4">
        <v>45354.65586805555</v>
      </c>
      <c r="C4161" s="3" t="s">
        <v>7</v>
      </c>
    </row>
    <row r="4162">
      <c r="A4162" s="3">
        <v>3144.0</v>
      </c>
      <c r="B4162" s="4">
        <v>45354.669444444444</v>
      </c>
      <c r="C4162" s="3" t="s">
        <v>7</v>
      </c>
    </row>
    <row r="4163">
      <c r="A4163" s="3">
        <v>7090.0</v>
      </c>
      <c r="B4163" s="4">
        <v>45354.672627314816</v>
      </c>
      <c r="C4163" s="3" t="s">
        <v>3</v>
      </c>
    </row>
    <row r="4164">
      <c r="A4164" s="3">
        <v>4880.0</v>
      </c>
      <c r="B4164" s="4">
        <v>45354.71024305555</v>
      </c>
      <c r="C4164" s="3" t="s">
        <v>3</v>
      </c>
    </row>
    <row r="4165">
      <c r="A4165" s="3">
        <v>240.0</v>
      </c>
      <c r="B4165" s="4">
        <v>45354.710497685184</v>
      </c>
      <c r="C4165" s="3" t="s">
        <v>4</v>
      </c>
    </row>
    <row r="4166">
      <c r="A4166" s="3">
        <v>398.0</v>
      </c>
      <c r="B4166" s="4">
        <v>45354.716365740744</v>
      </c>
      <c r="C4166" s="3" t="s">
        <v>7</v>
      </c>
    </row>
    <row r="4167">
      <c r="A4167" s="3">
        <v>6474.0</v>
      </c>
      <c r="B4167" s="4">
        <v>45354.71708333334</v>
      </c>
      <c r="C4167" s="3" t="s">
        <v>3</v>
      </c>
    </row>
    <row r="4168">
      <c r="A4168" s="3">
        <v>5266.0</v>
      </c>
      <c r="B4168" s="4">
        <v>45354.72775462963</v>
      </c>
      <c r="C4168" s="3" t="s">
        <v>3</v>
      </c>
    </row>
    <row r="4169">
      <c r="A4169" s="3">
        <v>7090.0</v>
      </c>
      <c r="B4169" s="4">
        <v>45354.740949074076</v>
      </c>
      <c r="C4169" s="3" t="s">
        <v>4</v>
      </c>
    </row>
    <row r="4170">
      <c r="A4170" s="3">
        <v>1804.0</v>
      </c>
      <c r="B4170" s="4">
        <v>45354.74240740741</v>
      </c>
      <c r="C4170" s="3" t="s">
        <v>6</v>
      </c>
    </row>
    <row r="4171">
      <c r="A4171" s="3">
        <v>6538.0</v>
      </c>
      <c r="B4171" s="4">
        <v>45354.74521990741</v>
      </c>
      <c r="C4171" s="3" t="s">
        <v>4</v>
      </c>
    </row>
    <row r="4172">
      <c r="A4172" s="3">
        <v>3783.0</v>
      </c>
      <c r="B4172" s="4">
        <v>45354.75177083333</v>
      </c>
      <c r="C4172" s="3" t="s">
        <v>4</v>
      </c>
    </row>
    <row r="4173">
      <c r="A4173" s="3">
        <v>7545.0</v>
      </c>
      <c r="B4173" s="4">
        <v>45354.75655092593</v>
      </c>
      <c r="C4173" s="3" t="s">
        <v>6</v>
      </c>
    </row>
    <row r="4174">
      <c r="A4174" s="3">
        <v>1552.0</v>
      </c>
      <c r="B4174" s="4">
        <v>45354.78417824074</v>
      </c>
      <c r="C4174" s="3" t="s">
        <v>3</v>
      </c>
    </row>
    <row r="4175">
      <c r="A4175" s="3">
        <v>6573.0</v>
      </c>
      <c r="B4175" s="4">
        <v>45354.79837962963</v>
      </c>
      <c r="C4175" s="3" t="s">
        <v>4</v>
      </c>
    </row>
    <row r="4176">
      <c r="A4176" s="3">
        <v>6508.0</v>
      </c>
      <c r="B4176" s="4">
        <v>45354.82944444445</v>
      </c>
      <c r="C4176" s="3" t="s">
        <v>4</v>
      </c>
    </row>
    <row r="4177">
      <c r="A4177" s="3">
        <v>7637.0</v>
      </c>
      <c r="B4177" s="4">
        <v>45354.831608796296</v>
      </c>
      <c r="C4177" s="3" t="s">
        <v>4</v>
      </c>
    </row>
    <row r="4178">
      <c r="A4178" s="3">
        <v>4964.0</v>
      </c>
      <c r="B4178" s="4">
        <v>45354.85954861111</v>
      </c>
      <c r="C4178" s="3" t="s">
        <v>3</v>
      </c>
    </row>
    <row r="4179">
      <c r="A4179" s="3">
        <v>6625.0</v>
      </c>
      <c r="B4179" s="4">
        <v>45354.86436342593</v>
      </c>
      <c r="C4179" s="3" t="s">
        <v>3</v>
      </c>
    </row>
    <row r="4180">
      <c r="A4180" s="3">
        <v>7833.0</v>
      </c>
      <c r="B4180" s="4">
        <v>45354.86649305555</v>
      </c>
      <c r="C4180" s="3" t="s">
        <v>5</v>
      </c>
    </row>
    <row r="4181">
      <c r="A4181" s="3">
        <v>1110.0</v>
      </c>
      <c r="B4181" s="4">
        <v>45354.88862268518</v>
      </c>
      <c r="C4181" s="3" t="s">
        <v>5</v>
      </c>
    </row>
    <row r="4182">
      <c r="A4182" s="3">
        <v>1993.0</v>
      </c>
      <c r="B4182" s="4">
        <v>45354.893912037034</v>
      </c>
      <c r="C4182" s="3" t="s">
        <v>3</v>
      </c>
    </row>
    <row r="4183">
      <c r="A4183" s="3">
        <v>6721.0</v>
      </c>
      <c r="B4183" s="4">
        <v>45354.90636574074</v>
      </c>
      <c r="C4183" s="3" t="s">
        <v>7</v>
      </c>
    </row>
    <row r="4184">
      <c r="A4184" s="3">
        <v>7640.0</v>
      </c>
      <c r="B4184" s="4">
        <v>45354.90908564815</v>
      </c>
      <c r="C4184" s="3" t="s">
        <v>7</v>
      </c>
    </row>
    <row r="4185">
      <c r="A4185" s="3">
        <v>3915.0</v>
      </c>
      <c r="B4185" s="4">
        <v>45354.915659722225</v>
      </c>
      <c r="C4185" s="3" t="s">
        <v>3</v>
      </c>
    </row>
    <row r="4186">
      <c r="A4186" s="3">
        <v>4761.0</v>
      </c>
      <c r="B4186" s="4">
        <v>45354.92854166667</v>
      </c>
      <c r="C4186" s="3" t="s">
        <v>3</v>
      </c>
    </row>
    <row r="4187">
      <c r="A4187" s="3">
        <v>623.0</v>
      </c>
      <c r="B4187" s="4">
        <v>45354.937002314815</v>
      </c>
      <c r="C4187" s="3" t="s">
        <v>5</v>
      </c>
    </row>
    <row r="4188">
      <c r="A4188" s="3">
        <v>6062.0</v>
      </c>
      <c r="B4188" s="4">
        <v>45354.95548611111</v>
      </c>
      <c r="C4188" s="3" t="s">
        <v>6</v>
      </c>
    </row>
    <row r="4189">
      <c r="A4189" s="3">
        <v>7159.0</v>
      </c>
      <c r="B4189" s="4">
        <v>45354.97041666666</v>
      </c>
      <c r="C4189" s="3" t="s">
        <v>3</v>
      </c>
    </row>
    <row r="4190">
      <c r="A4190" s="3">
        <v>3403.0</v>
      </c>
      <c r="B4190" s="4">
        <v>45354.977858796294</v>
      </c>
      <c r="C4190" s="3" t="s">
        <v>3</v>
      </c>
    </row>
    <row r="4191">
      <c r="A4191" s="3">
        <v>176.0</v>
      </c>
      <c r="B4191" s="4">
        <v>45354.981886574074</v>
      </c>
      <c r="C4191" s="3" t="s">
        <v>4</v>
      </c>
    </row>
    <row r="4192">
      <c r="A4192" s="3">
        <v>4634.0</v>
      </c>
      <c r="B4192" s="4">
        <v>45354.98510416667</v>
      </c>
      <c r="C4192" s="3" t="s">
        <v>3</v>
      </c>
    </row>
    <row r="4193">
      <c r="A4193" s="3">
        <v>5622.0</v>
      </c>
      <c r="B4193" s="4">
        <v>45355.006203703706</v>
      </c>
      <c r="C4193" s="3" t="s">
        <v>3</v>
      </c>
    </row>
    <row r="4194">
      <c r="A4194" s="3">
        <v>3291.0</v>
      </c>
      <c r="B4194" s="4">
        <v>45355.00853009259</v>
      </c>
      <c r="C4194" s="3" t="s">
        <v>7</v>
      </c>
    </row>
    <row r="4195">
      <c r="A4195" s="3">
        <v>2837.0</v>
      </c>
      <c r="B4195" s="4">
        <v>45355.0140625</v>
      </c>
      <c r="C4195" s="3" t="s">
        <v>7</v>
      </c>
    </row>
    <row r="4196">
      <c r="A4196" s="3">
        <v>2311.0</v>
      </c>
      <c r="B4196" s="4">
        <v>45355.03471064815</v>
      </c>
      <c r="C4196" s="3" t="s">
        <v>4</v>
      </c>
    </row>
    <row r="4197">
      <c r="A4197" s="3">
        <v>4739.0</v>
      </c>
      <c r="B4197" s="4">
        <v>45355.040138888886</v>
      </c>
      <c r="C4197" s="3" t="s">
        <v>5</v>
      </c>
    </row>
    <row r="4198">
      <c r="A4198" s="3">
        <v>3474.0</v>
      </c>
      <c r="B4198" s="4">
        <v>45355.09873842593</v>
      </c>
      <c r="C4198" s="3" t="s">
        <v>5</v>
      </c>
    </row>
    <row r="4199">
      <c r="A4199" s="3">
        <v>962.0</v>
      </c>
      <c r="B4199" s="4">
        <v>45355.10524305556</v>
      </c>
      <c r="C4199" s="3" t="s">
        <v>3</v>
      </c>
    </row>
    <row r="4200">
      <c r="A4200" s="3">
        <v>2451.0</v>
      </c>
      <c r="B4200" s="4">
        <v>45355.124502314815</v>
      </c>
      <c r="C4200" s="3" t="s">
        <v>3</v>
      </c>
    </row>
    <row r="4201">
      <c r="A4201" s="3">
        <v>237.0</v>
      </c>
      <c r="B4201" s="4">
        <v>45355.13030092593</v>
      </c>
      <c r="C4201" s="3" t="s">
        <v>4</v>
      </c>
    </row>
    <row r="4202">
      <c r="A4202" s="3">
        <v>6508.0</v>
      </c>
      <c r="B4202" s="4">
        <v>45355.16241898148</v>
      </c>
      <c r="C4202" s="3" t="s">
        <v>5</v>
      </c>
    </row>
    <row r="4203">
      <c r="A4203" s="3">
        <v>1005.0</v>
      </c>
      <c r="B4203" s="4">
        <v>45355.17371527778</v>
      </c>
      <c r="C4203" s="3" t="s">
        <v>3</v>
      </c>
    </row>
    <row r="4204">
      <c r="A4204" s="3">
        <v>4634.0</v>
      </c>
      <c r="B4204" s="4">
        <v>45355.19457175926</v>
      </c>
      <c r="C4204" s="3" t="s">
        <v>7</v>
      </c>
    </row>
    <row r="4205">
      <c r="A4205" s="3">
        <v>1316.0</v>
      </c>
      <c r="B4205" s="4">
        <v>45355.19489583333</v>
      </c>
      <c r="C4205" s="3" t="s">
        <v>7</v>
      </c>
    </row>
    <row r="4206">
      <c r="A4206" s="3">
        <v>7640.0</v>
      </c>
      <c r="B4206" s="4">
        <v>45355.20688657407</v>
      </c>
      <c r="C4206" s="3" t="s">
        <v>5</v>
      </c>
    </row>
    <row r="4207">
      <c r="A4207" s="3">
        <v>3609.0</v>
      </c>
      <c r="B4207" s="4">
        <v>45355.2124537037</v>
      </c>
      <c r="C4207" s="3" t="s">
        <v>4</v>
      </c>
    </row>
    <row r="4208">
      <c r="A4208" s="3">
        <v>4344.0</v>
      </c>
      <c r="B4208" s="4">
        <v>45355.22230324074</v>
      </c>
      <c r="C4208" s="3" t="s">
        <v>3</v>
      </c>
    </row>
    <row r="4209">
      <c r="A4209" s="3">
        <v>5509.0</v>
      </c>
      <c r="B4209" s="4">
        <v>45355.229629629626</v>
      </c>
      <c r="C4209" s="3" t="s">
        <v>5</v>
      </c>
    </row>
    <row r="4210">
      <c r="A4210" s="3">
        <v>1851.0</v>
      </c>
      <c r="B4210" s="4">
        <v>45355.23449074074</v>
      </c>
      <c r="C4210" s="3" t="s">
        <v>6</v>
      </c>
    </row>
    <row r="4211">
      <c r="A4211" s="3">
        <v>877.0</v>
      </c>
      <c r="B4211" s="4">
        <v>45355.24353009259</v>
      </c>
      <c r="C4211" s="3" t="s">
        <v>3</v>
      </c>
    </row>
    <row r="4212">
      <c r="A4212" s="3">
        <v>111.0</v>
      </c>
      <c r="B4212" s="4">
        <v>45355.252534722225</v>
      </c>
      <c r="C4212" s="3" t="s">
        <v>5</v>
      </c>
    </row>
    <row r="4213">
      <c r="A4213" s="3">
        <v>3160.0</v>
      </c>
      <c r="B4213" s="4">
        <v>45355.25614583334</v>
      </c>
      <c r="C4213" s="3" t="s">
        <v>5</v>
      </c>
    </row>
    <row r="4214">
      <c r="A4214" s="3">
        <v>6788.0</v>
      </c>
      <c r="B4214" s="4">
        <v>45355.28907407408</v>
      </c>
      <c r="C4214" s="3" t="s">
        <v>3</v>
      </c>
    </row>
    <row r="4215">
      <c r="A4215" s="3">
        <v>6366.0</v>
      </c>
      <c r="B4215" s="4">
        <v>45355.315046296295</v>
      </c>
      <c r="C4215" s="3" t="s">
        <v>3</v>
      </c>
    </row>
    <row r="4216">
      <c r="A4216" s="3">
        <v>6475.0</v>
      </c>
      <c r="B4216" s="4">
        <v>45355.31932870371</v>
      </c>
      <c r="C4216" s="3" t="s">
        <v>3</v>
      </c>
    </row>
    <row r="4217">
      <c r="A4217" s="3">
        <v>6475.0</v>
      </c>
      <c r="B4217" s="4">
        <v>45355.32219907407</v>
      </c>
      <c r="C4217" s="3" t="s">
        <v>4</v>
      </c>
    </row>
    <row r="4218">
      <c r="A4218" s="3">
        <v>26.0</v>
      </c>
      <c r="B4218" s="4">
        <v>45355.32226851852</v>
      </c>
      <c r="C4218" s="3" t="s">
        <v>3</v>
      </c>
    </row>
    <row r="4219">
      <c r="A4219" s="3">
        <v>6474.0</v>
      </c>
      <c r="B4219" s="4">
        <v>45355.32344907407</v>
      </c>
      <c r="C4219" s="3" t="s">
        <v>4</v>
      </c>
    </row>
    <row r="4220">
      <c r="A4220" s="3">
        <v>5891.0</v>
      </c>
      <c r="B4220" s="4">
        <v>45355.35695601852</v>
      </c>
      <c r="C4220" s="3" t="s">
        <v>3</v>
      </c>
    </row>
    <row r="4221">
      <c r="A4221" s="3">
        <v>6508.0</v>
      </c>
      <c r="B4221" s="4">
        <v>45355.35927083333</v>
      </c>
      <c r="C4221" s="3" t="s">
        <v>6</v>
      </c>
    </row>
    <row r="4222">
      <c r="A4222" s="3">
        <v>3935.0</v>
      </c>
      <c r="B4222" s="4">
        <v>45355.38167824074</v>
      </c>
      <c r="C4222" s="3" t="s">
        <v>3</v>
      </c>
    </row>
    <row r="4223">
      <c r="A4223" s="3">
        <v>2173.0</v>
      </c>
      <c r="B4223" s="4">
        <v>45355.41894675926</v>
      </c>
      <c r="C4223" s="3" t="s">
        <v>3</v>
      </c>
    </row>
    <row r="4224">
      <c r="A4224" s="3">
        <v>2797.0</v>
      </c>
      <c r="B4224" s="4">
        <v>45355.41982638889</v>
      </c>
      <c r="C4224" s="3" t="s">
        <v>5</v>
      </c>
    </row>
    <row r="4225">
      <c r="A4225" s="3">
        <v>1844.0</v>
      </c>
      <c r="B4225" s="4">
        <v>45355.432962962965</v>
      </c>
      <c r="C4225" s="3" t="s">
        <v>4</v>
      </c>
    </row>
    <row r="4226">
      <c r="A4226" s="3">
        <v>3294.0</v>
      </c>
      <c r="B4226" s="4">
        <v>45355.45259259259</v>
      </c>
      <c r="C4226" s="3" t="s">
        <v>3</v>
      </c>
    </row>
    <row r="4227">
      <c r="A4227" s="3">
        <v>7686.0</v>
      </c>
      <c r="B4227" s="4">
        <v>45355.45700231481</v>
      </c>
      <c r="C4227" s="3" t="s">
        <v>7</v>
      </c>
    </row>
    <row r="4228">
      <c r="A4228" s="3">
        <v>6671.0</v>
      </c>
      <c r="B4228" s="4">
        <v>45355.47300925926</v>
      </c>
      <c r="C4228" s="3" t="s">
        <v>4</v>
      </c>
    </row>
    <row r="4229">
      <c r="A4229" s="3">
        <v>6919.0</v>
      </c>
      <c r="B4229" s="4">
        <v>45355.47357638889</v>
      </c>
      <c r="C4229" s="3" t="s">
        <v>3</v>
      </c>
    </row>
    <row r="4230">
      <c r="A4230" s="3">
        <v>5248.0</v>
      </c>
      <c r="B4230" s="4">
        <v>45355.52515046296</v>
      </c>
      <c r="C4230" s="3" t="s">
        <v>3</v>
      </c>
    </row>
    <row r="4231">
      <c r="A4231" s="3">
        <v>1544.0</v>
      </c>
      <c r="B4231" s="4">
        <v>45355.533796296295</v>
      </c>
      <c r="C4231" s="3" t="s">
        <v>3</v>
      </c>
    </row>
    <row r="4232">
      <c r="A4232" s="3">
        <v>3935.0</v>
      </c>
      <c r="B4232" s="4">
        <v>45355.536099537036</v>
      </c>
      <c r="C4232" s="3" t="s">
        <v>4</v>
      </c>
    </row>
    <row r="4233">
      <c r="A4233" s="3">
        <v>5266.0</v>
      </c>
      <c r="B4233" s="4">
        <v>45355.5384375</v>
      </c>
      <c r="C4233" s="3" t="s">
        <v>7</v>
      </c>
    </row>
    <row r="4234">
      <c r="A4234" s="3">
        <v>3609.0</v>
      </c>
      <c r="B4234" s="4">
        <v>45355.55342592593</v>
      </c>
      <c r="C4234" s="3" t="s">
        <v>3</v>
      </c>
    </row>
    <row r="4235">
      <c r="A4235" s="3">
        <v>1671.0</v>
      </c>
      <c r="B4235" s="4">
        <v>45355.55763888889</v>
      </c>
      <c r="C4235" s="3" t="s">
        <v>6</v>
      </c>
    </row>
    <row r="4236">
      <c r="A4236" s="3">
        <v>5731.0</v>
      </c>
      <c r="B4236" s="4">
        <v>45355.575150462966</v>
      </c>
      <c r="C4236" s="3" t="s">
        <v>3</v>
      </c>
    </row>
    <row r="4237">
      <c r="A4237" s="3">
        <v>4673.0</v>
      </c>
      <c r="B4237" s="4">
        <v>45355.62181712963</v>
      </c>
      <c r="C4237" s="3" t="s">
        <v>6</v>
      </c>
    </row>
    <row r="4238">
      <c r="A4238" s="3">
        <v>3891.0</v>
      </c>
      <c r="B4238" s="4">
        <v>45355.62332175926</v>
      </c>
      <c r="C4238" s="3" t="s">
        <v>3</v>
      </c>
    </row>
    <row r="4239">
      <c r="A4239" s="3">
        <v>3829.0</v>
      </c>
      <c r="B4239" s="4">
        <v>45355.663611111115</v>
      </c>
      <c r="C4239" s="3" t="s">
        <v>4</v>
      </c>
    </row>
    <row r="4240">
      <c r="A4240" s="3">
        <v>7565.0</v>
      </c>
      <c r="B4240" s="4">
        <v>45355.69480324074</v>
      </c>
      <c r="C4240" s="3" t="s">
        <v>5</v>
      </c>
    </row>
    <row r="4241">
      <c r="A4241" s="3">
        <v>6193.0</v>
      </c>
      <c r="B4241" s="4">
        <v>45355.69733796296</v>
      </c>
      <c r="C4241" s="3" t="s">
        <v>6</v>
      </c>
    </row>
    <row r="4242">
      <c r="A4242" s="3">
        <v>7231.0</v>
      </c>
      <c r="B4242" s="4">
        <v>45355.70203703704</v>
      </c>
      <c r="C4242" s="3" t="s">
        <v>3</v>
      </c>
    </row>
    <row r="4243">
      <c r="A4243" s="3">
        <v>1993.0</v>
      </c>
      <c r="B4243" s="4">
        <v>45355.702418981484</v>
      </c>
      <c r="C4243" s="3" t="s">
        <v>7</v>
      </c>
    </row>
    <row r="4244">
      <c r="A4244" s="3">
        <v>479.0</v>
      </c>
      <c r="B4244" s="4">
        <v>45355.72675925926</v>
      </c>
      <c r="C4244" s="3" t="s">
        <v>6</v>
      </c>
    </row>
    <row r="4245">
      <c r="A4245" s="3">
        <v>1897.0</v>
      </c>
      <c r="B4245" s="4">
        <v>45355.73006944444</v>
      </c>
      <c r="C4245" s="3" t="s">
        <v>3</v>
      </c>
    </row>
    <row r="4246">
      <c r="A4246" s="3">
        <v>5082.0</v>
      </c>
      <c r="B4246" s="4">
        <v>45355.7425</v>
      </c>
      <c r="C4246" s="3" t="s">
        <v>4</v>
      </c>
    </row>
    <row r="4247">
      <c r="A4247" s="3">
        <v>7833.0</v>
      </c>
      <c r="B4247" s="4">
        <v>45355.76850694444</v>
      </c>
      <c r="C4247" s="3" t="s">
        <v>6</v>
      </c>
    </row>
    <row r="4248">
      <c r="A4248" s="3">
        <v>6100.0</v>
      </c>
      <c r="B4248" s="4">
        <v>45355.79138888889</v>
      </c>
      <c r="C4248" s="3" t="s">
        <v>6</v>
      </c>
    </row>
    <row r="4249">
      <c r="A4249" s="3">
        <v>6100.0</v>
      </c>
      <c r="B4249" s="4">
        <v>45355.803391203706</v>
      </c>
      <c r="C4249" s="3" t="s">
        <v>7</v>
      </c>
    </row>
    <row r="4250">
      <c r="A4250" s="3">
        <v>4587.0</v>
      </c>
      <c r="B4250" s="4">
        <v>45355.853159722225</v>
      </c>
      <c r="C4250" s="3" t="s">
        <v>3</v>
      </c>
    </row>
    <row r="4251">
      <c r="A4251" s="3">
        <v>2358.0</v>
      </c>
      <c r="B4251" s="4">
        <v>45355.85596064815</v>
      </c>
      <c r="C4251" s="3" t="s">
        <v>5</v>
      </c>
    </row>
    <row r="4252">
      <c r="A4252" s="3">
        <v>3609.0</v>
      </c>
      <c r="B4252" s="4">
        <v>45355.8647337963</v>
      </c>
      <c r="C4252" s="3" t="s">
        <v>5</v>
      </c>
    </row>
    <row r="4253">
      <c r="A4253" s="3">
        <v>927.0</v>
      </c>
      <c r="B4253" s="4">
        <v>45355.88712962963</v>
      </c>
      <c r="C4253" s="3" t="s">
        <v>3</v>
      </c>
    </row>
    <row r="4254">
      <c r="A4254" s="3">
        <v>1897.0</v>
      </c>
      <c r="B4254" s="4">
        <v>45355.90587962963</v>
      </c>
      <c r="C4254" s="3" t="s">
        <v>4</v>
      </c>
    </row>
    <row r="4255">
      <c r="A4255" s="3">
        <v>1666.0</v>
      </c>
      <c r="B4255" s="4">
        <v>45355.90646990741</v>
      </c>
      <c r="C4255" s="3" t="s">
        <v>3</v>
      </c>
    </row>
    <row r="4256">
      <c r="A4256" s="3">
        <v>7833.0</v>
      </c>
      <c r="B4256" s="4">
        <v>45355.91322916667</v>
      </c>
      <c r="C4256" s="3" t="s">
        <v>7</v>
      </c>
    </row>
    <row r="4257">
      <c r="A4257" s="3">
        <v>4326.0</v>
      </c>
      <c r="B4257" s="4">
        <v>45355.917395833334</v>
      </c>
      <c r="C4257" s="3" t="s">
        <v>7</v>
      </c>
    </row>
    <row r="4258">
      <c r="A4258" s="3">
        <v>6050.0</v>
      </c>
      <c r="B4258" s="4">
        <v>45355.928622685184</v>
      </c>
      <c r="C4258" s="3" t="s">
        <v>3</v>
      </c>
    </row>
    <row r="4259">
      <c r="A4259" s="3">
        <v>5892.0</v>
      </c>
      <c r="B4259" s="4">
        <v>45355.9378125</v>
      </c>
      <c r="C4259" s="3" t="s">
        <v>3</v>
      </c>
    </row>
    <row r="4260">
      <c r="A4260" s="3">
        <v>5509.0</v>
      </c>
      <c r="B4260" s="4">
        <v>45355.94261574074</v>
      </c>
      <c r="C4260" s="3" t="s">
        <v>6</v>
      </c>
    </row>
    <row r="4261">
      <c r="A4261" s="3">
        <v>3871.0</v>
      </c>
      <c r="B4261" s="4">
        <v>45355.955462962964</v>
      </c>
      <c r="C4261" s="3" t="s">
        <v>5</v>
      </c>
    </row>
    <row r="4262">
      <c r="A4262" s="3">
        <v>1110.0</v>
      </c>
      <c r="B4262" s="4">
        <v>45356.01298611111</v>
      </c>
      <c r="C4262" s="3" t="s">
        <v>6</v>
      </c>
    </row>
    <row r="4263">
      <c r="A4263" s="3">
        <v>4634.0</v>
      </c>
      <c r="B4263" s="4">
        <v>45356.022893518515</v>
      </c>
      <c r="C4263" s="3" t="s">
        <v>5</v>
      </c>
    </row>
    <row r="4264">
      <c r="A4264" s="3">
        <v>7116.0</v>
      </c>
      <c r="B4264" s="4">
        <v>45356.05590277778</v>
      </c>
      <c r="C4264" s="3" t="s">
        <v>3</v>
      </c>
    </row>
    <row r="4265">
      <c r="A4265" s="3">
        <v>390.0</v>
      </c>
      <c r="B4265" s="4">
        <v>45356.09710648148</v>
      </c>
      <c r="C4265" s="3" t="s">
        <v>4</v>
      </c>
    </row>
    <row r="4266">
      <c r="A4266" s="3">
        <v>7858.0</v>
      </c>
      <c r="B4266" s="4">
        <v>45356.10480324074</v>
      </c>
      <c r="C4266" s="3" t="s">
        <v>3</v>
      </c>
    </row>
    <row r="4267">
      <c r="A4267" s="3">
        <v>6721.0</v>
      </c>
      <c r="B4267" s="4">
        <v>45356.12142361111</v>
      </c>
      <c r="C4267" s="3" t="s">
        <v>6</v>
      </c>
    </row>
    <row r="4268">
      <c r="A4268" s="3">
        <v>3400.0</v>
      </c>
      <c r="B4268" s="4">
        <v>45356.219363425924</v>
      </c>
      <c r="C4268" s="3" t="s">
        <v>3</v>
      </c>
    </row>
    <row r="4269">
      <c r="A4269" s="3">
        <v>7637.0</v>
      </c>
      <c r="B4269" s="4">
        <v>45356.219988425924</v>
      </c>
      <c r="C4269" s="3" t="s">
        <v>6</v>
      </c>
    </row>
    <row r="4270">
      <c r="A4270" s="3">
        <v>2896.0</v>
      </c>
      <c r="B4270" s="4">
        <v>45356.250613425924</v>
      </c>
      <c r="C4270" s="3" t="s">
        <v>3</v>
      </c>
    </row>
    <row r="4271">
      <c r="A4271" s="3">
        <v>1600.0</v>
      </c>
      <c r="B4271" s="4">
        <v>45356.2743287037</v>
      </c>
      <c r="C4271" s="3" t="s">
        <v>3</v>
      </c>
    </row>
    <row r="4272">
      <c r="A4272" s="3">
        <v>4265.0</v>
      </c>
      <c r="B4272" s="4">
        <v>45356.29572916667</v>
      </c>
      <c r="C4272" s="3" t="s">
        <v>3</v>
      </c>
    </row>
    <row r="4273">
      <c r="A4273" s="3">
        <v>5892.0</v>
      </c>
      <c r="B4273" s="4">
        <v>45356.31767361111</v>
      </c>
      <c r="C4273" s="3" t="s">
        <v>5</v>
      </c>
    </row>
    <row r="4274">
      <c r="A4274" s="3">
        <v>1993.0</v>
      </c>
      <c r="B4274" s="4">
        <v>45356.32225694445</v>
      </c>
      <c r="C4274" s="3" t="s">
        <v>6</v>
      </c>
    </row>
    <row r="4275">
      <c r="A4275" s="3">
        <v>4735.0</v>
      </c>
      <c r="B4275" s="4">
        <v>45356.34564814815</v>
      </c>
      <c r="C4275" s="3" t="s">
        <v>3</v>
      </c>
    </row>
    <row r="4276">
      <c r="A4276" s="3">
        <v>6203.0</v>
      </c>
      <c r="B4276" s="4">
        <v>45356.3490625</v>
      </c>
      <c r="C4276" s="3" t="s">
        <v>3</v>
      </c>
    </row>
    <row r="4277">
      <c r="A4277" s="3">
        <v>6871.0</v>
      </c>
      <c r="B4277" s="4">
        <v>45356.35488425926</v>
      </c>
      <c r="C4277" s="3" t="s">
        <v>3</v>
      </c>
    </row>
    <row r="4278">
      <c r="A4278" s="3">
        <v>3728.0</v>
      </c>
      <c r="B4278" s="4">
        <v>45356.387349537035</v>
      </c>
      <c r="C4278" s="3" t="s">
        <v>3</v>
      </c>
    </row>
    <row r="4279">
      <c r="A4279" s="3">
        <v>7226.0</v>
      </c>
      <c r="B4279" s="4">
        <v>45356.393159722225</v>
      </c>
      <c r="C4279" s="3" t="s">
        <v>4</v>
      </c>
    </row>
    <row r="4280">
      <c r="A4280" s="3">
        <v>177.0</v>
      </c>
      <c r="B4280" s="4">
        <v>45356.39672453704</v>
      </c>
      <c r="C4280" s="3" t="s">
        <v>6</v>
      </c>
    </row>
    <row r="4281">
      <c r="A4281" s="3">
        <v>5692.0</v>
      </c>
      <c r="B4281" s="4">
        <v>45356.40746527778</v>
      </c>
      <c r="C4281" s="3" t="s">
        <v>3</v>
      </c>
    </row>
    <row r="4282">
      <c r="A4282" s="3">
        <v>5266.0</v>
      </c>
      <c r="B4282" s="4">
        <v>45356.425625</v>
      </c>
      <c r="C4282" s="3" t="s">
        <v>4</v>
      </c>
    </row>
    <row r="4283">
      <c r="A4283" s="3">
        <v>6089.0</v>
      </c>
      <c r="B4283" s="4">
        <v>45356.430439814816</v>
      </c>
      <c r="C4283" s="3" t="s">
        <v>7</v>
      </c>
    </row>
    <row r="4284">
      <c r="A4284" s="3">
        <v>6366.0</v>
      </c>
      <c r="B4284" s="4">
        <v>45356.44216435185</v>
      </c>
      <c r="C4284" s="3" t="s">
        <v>4</v>
      </c>
    </row>
    <row r="4285">
      <c r="A4285" s="3">
        <v>4628.0</v>
      </c>
      <c r="B4285" s="4">
        <v>45356.4525462963</v>
      </c>
      <c r="C4285" s="3" t="s">
        <v>3</v>
      </c>
    </row>
    <row r="4286">
      <c r="A4286" s="3">
        <v>7044.0</v>
      </c>
      <c r="B4286" s="4">
        <v>45356.47872685185</v>
      </c>
      <c r="C4286" s="3" t="s">
        <v>3</v>
      </c>
    </row>
    <row r="4287">
      <c r="A4287" s="3">
        <v>1403.0</v>
      </c>
      <c r="B4287" s="4">
        <v>45356.49560185185</v>
      </c>
      <c r="C4287" s="3" t="s">
        <v>3</v>
      </c>
    </row>
    <row r="4288">
      <c r="A4288" s="3">
        <v>3160.0</v>
      </c>
      <c r="B4288" s="4">
        <v>45356.51498842592</v>
      </c>
      <c r="C4288" s="3" t="s">
        <v>7</v>
      </c>
    </row>
    <row r="4289">
      <c r="A4289" s="3">
        <v>694.0</v>
      </c>
      <c r="B4289" s="4">
        <v>45356.534537037034</v>
      </c>
      <c r="C4289" s="3" t="s">
        <v>5</v>
      </c>
    </row>
    <row r="4290">
      <c r="A4290" s="3">
        <v>3528.0</v>
      </c>
      <c r="B4290" s="4">
        <v>45356.535578703704</v>
      </c>
      <c r="C4290" s="3" t="s">
        <v>3</v>
      </c>
    </row>
    <row r="4291">
      <c r="A4291" s="3">
        <v>4634.0</v>
      </c>
      <c r="B4291" s="4">
        <v>45356.53915509259</v>
      </c>
      <c r="C4291" s="3" t="s">
        <v>4</v>
      </c>
    </row>
    <row r="4292">
      <c r="A4292" s="3">
        <v>1787.0</v>
      </c>
      <c r="B4292" s="4">
        <v>45356.553611111114</v>
      </c>
      <c r="C4292" s="3" t="s">
        <v>3</v>
      </c>
    </row>
    <row r="4293">
      <c r="A4293" s="3">
        <v>7480.0</v>
      </c>
      <c r="B4293" s="4">
        <v>45356.55778935185</v>
      </c>
      <c r="C4293" s="3" t="s">
        <v>4</v>
      </c>
    </row>
    <row r="4294">
      <c r="A4294" s="3">
        <v>7545.0</v>
      </c>
      <c r="B4294" s="4">
        <v>45356.56576388889</v>
      </c>
      <c r="C4294" s="3" t="s">
        <v>7</v>
      </c>
    </row>
    <row r="4295">
      <c r="A4295" s="3">
        <v>3486.0</v>
      </c>
      <c r="B4295" s="4">
        <v>45356.5896875</v>
      </c>
      <c r="C4295" s="3" t="s">
        <v>3</v>
      </c>
    </row>
    <row r="4296">
      <c r="A4296" s="3">
        <v>7874.0</v>
      </c>
      <c r="B4296" s="4">
        <v>45356.599340277775</v>
      </c>
      <c r="C4296" s="3" t="s">
        <v>3</v>
      </c>
    </row>
    <row r="4297">
      <c r="A4297" s="3">
        <v>6788.0</v>
      </c>
      <c r="B4297" s="4">
        <v>45356.60457175926</v>
      </c>
      <c r="C4297" s="3" t="s">
        <v>4</v>
      </c>
    </row>
    <row r="4298">
      <c r="A4298" s="3">
        <v>5399.0</v>
      </c>
      <c r="B4298" s="4">
        <v>45356.637407407405</v>
      </c>
      <c r="C4298" s="3" t="s">
        <v>4</v>
      </c>
    </row>
    <row r="4299">
      <c r="A4299" s="3">
        <v>1224.0</v>
      </c>
      <c r="B4299" s="4">
        <v>45356.64099537037</v>
      </c>
      <c r="C4299" s="3" t="s">
        <v>6</v>
      </c>
    </row>
    <row r="4300">
      <c r="A4300" s="3">
        <v>1386.0</v>
      </c>
      <c r="B4300" s="4">
        <v>45356.65164351852</v>
      </c>
      <c r="C4300" s="3" t="s">
        <v>5</v>
      </c>
    </row>
    <row r="4301">
      <c r="A4301" s="3">
        <v>2631.0</v>
      </c>
      <c r="B4301" s="4">
        <v>45356.6583912037</v>
      </c>
      <c r="C4301" s="3" t="s">
        <v>3</v>
      </c>
    </row>
    <row r="4302">
      <c r="A4302" s="3">
        <v>3806.0</v>
      </c>
      <c r="B4302" s="4">
        <v>45356.668587962966</v>
      </c>
      <c r="C4302" s="3" t="s">
        <v>7</v>
      </c>
    </row>
    <row r="4303">
      <c r="A4303" s="3">
        <v>6788.0</v>
      </c>
      <c r="B4303" s="4">
        <v>45356.67229166667</v>
      </c>
      <c r="C4303" s="3" t="s">
        <v>5</v>
      </c>
    </row>
    <row r="4304">
      <c r="A4304" s="3">
        <v>1071.0</v>
      </c>
      <c r="B4304" s="4">
        <v>45356.691157407404</v>
      </c>
      <c r="C4304" s="3" t="s">
        <v>3</v>
      </c>
    </row>
    <row r="4305">
      <c r="A4305" s="3">
        <v>1993.0</v>
      </c>
      <c r="B4305" s="4">
        <v>45356.7316087963</v>
      </c>
      <c r="C4305" s="3" t="s">
        <v>4</v>
      </c>
    </row>
    <row r="4306">
      <c r="A4306" s="3">
        <v>7226.0</v>
      </c>
      <c r="B4306" s="4">
        <v>45356.73900462963</v>
      </c>
      <c r="C4306" s="3" t="s">
        <v>5</v>
      </c>
    </row>
    <row r="4307">
      <c r="A4307" s="3">
        <v>2837.0</v>
      </c>
      <c r="B4307" s="4">
        <v>45356.73902777778</v>
      </c>
      <c r="C4307" s="3" t="s">
        <v>5</v>
      </c>
    </row>
    <row r="4308">
      <c r="A4308" s="3">
        <v>6193.0</v>
      </c>
      <c r="B4308" s="4">
        <v>45356.75310185185</v>
      </c>
      <c r="C4308" s="3" t="s">
        <v>5</v>
      </c>
    </row>
    <row r="4309">
      <c r="A4309" s="3">
        <v>2451.0</v>
      </c>
      <c r="B4309" s="4">
        <v>45356.770474537036</v>
      </c>
      <c r="C4309" s="3" t="s">
        <v>4</v>
      </c>
    </row>
    <row r="4310">
      <c r="A4310" s="3">
        <v>1178.0</v>
      </c>
      <c r="B4310" s="4">
        <v>45356.815092592595</v>
      </c>
      <c r="C4310" s="3" t="s">
        <v>3</v>
      </c>
    </row>
    <row r="4311">
      <c r="A4311" s="3">
        <v>3111.0</v>
      </c>
      <c r="B4311" s="4">
        <v>45356.81732638889</v>
      </c>
      <c r="C4311" s="3" t="s">
        <v>3</v>
      </c>
    </row>
    <row r="4312">
      <c r="A4312" s="3">
        <v>1224.0</v>
      </c>
      <c r="B4312" s="4">
        <v>45356.82377314815</v>
      </c>
      <c r="C4312" s="3" t="s">
        <v>7</v>
      </c>
    </row>
    <row r="4313">
      <c r="A4313" s="3">
        <v>3736.0</v>
      </c>
      <c r="B4313" s="4">
        <v>45356.82795138889</v>
      </c>
      <c r="C4313" s="3" t="s">
        <v>3</v>
      </c>
    </row>
    <row r="4314">
      <c r="A4314" s="3">
        <v>2893.0</v>
      </c>
      <c r="B4314" s="4">
        <v>45356.8503125</v>
      </c>
      <c r="C4314" s="3" t="s">
        <v>3</v>
      </c>
    </row>
    <row r="4315">
      <c r="A4315" s="3">
        <v>3751.0</v>
      </c>
      <c r="B4315" s="4">
        <v>45356.85873842592</v>
      </c>
      <c r="C4315" s="3" t="s">
        <v>4</v>
      </c>
    </row>
    <row r="4316">
      <c r="A4316" s="3">
        <v>3153.0</v>
      </c>
      <c r="B4316" s="4">
        <v>45356.86075231482</v>
      </c>
      <c r="C4316" s="3" t="s">
        <v>3</v>
      </c>
    </row>
    <row r="4317">
      <c r="A4317" s="3">
        <v>7565.0</v>
      </c>
      <c r="B4317" s="4">
        <v>45356.8702662037</v>
      </c>
      <c r="C4317" s="3" t="s">
        <v>7</v>
      </c>
    </row>
    <row r="4318">
      <c r="A4318" s="3">
        <v>7793.0</v>
      </c>
      <c r="B4318" s="4">
        <v>45356.87159722222</v>
      </c>
      <c r="C4318" s="3" t="s">
        <v>6</v>
      </c>
    </row>
    <row r="4319">
      <c r="A4319" s="3">
        <v>7226.0</v>
      </c>
      <c r="B4319" s="4">
        <v>45356.89314814815</v>
      </c>
      <c r="C4319" s="3" t="s">
        <v>3</v>
      </c>
    </row>
    <row r="4320">
      <c r="A4320" s="3">
        <v>2311.0</v>
      </c>
      <c r="B4320" s="4">
        <v>45356.89336805556</v>
      </c>
      <c r="C4320" s="3" t="s">
        <v>7</v>
      </c>
    </row>
    <row r="4321">
      <c r="A4321" s="3">
        <v>6919.0</v>
      </c>
      <c r="B4321" s="4">
        <v>45356.908425925925</v>
      </c>
      <c r="C4321" s="3" t="s">
        <v>5</v>
      </c>
    </row>
    <row r="4322">
      <c r="A4322" s="3">
        <v>1666.0</v>
      </c>
      <c r="B4322" s="4">
        <v>45356.91337962963</v>
      </c>
      <c r="C4322" s="3" t="s">
        <v>5</v>
      </c>
    </row>
    <row r="4323">
      <c r="A4323" s="3">
        <v>6070.0</v>
      </c>
      <c r="B4323" s="4">
        <v>45356.93010416667</v>
      </c>
      <c r="C4323" s="3" t="s">
        <v>4</v>
      </c>
    </row>
    <row r="4324">
      <c r="A4324" s="3">
        <v>7032.0</v>
      </c>
      <c r="B4324" s="4">
        <v>45356.93579861111</v>
      </c>
      <c r="C4324" s="3" t="s">
        <v>3</v>
      </c>
    </row>
    <row r="4325">
      <c r="A4325" s="3">
        <v>1090.0</v>
      </c>
      <c r="B4325" s="4">
        <v>45356.98143518518</v>
      </c>
      <c r="C4325" s="3" t="s">
        <v>3</v>
      </c>
    </row>
    <row r="4326">
      <c r="A4326" s="3">
        <v>6581.0</v>
      </c>
      <c r="B4326" s="4">
        <v>45356.994942129626</v>
      </c>
      <c r="C4326" s="3" t="s">
        <v>3</v>
      </c>
    </row>
    <row r="4327">
      <c r="A4327" s="3">
        <v>5892.0</v>
      </c>
      <c r="B4327" s="4">
        <v>45356.99865740741</v>
      </c>
      <c r="C4327" s="3" t="s">
        <v>4</v>
      </c>
    </row>
    <row r="4328">
      <c r="A4328" s="3">
        <v>1222.0</v>
      </c>
      <c r="B4328" s="4">
        <v>45357.03207175926</v>
      </c>
      <c r="C4328" s="3" t="s">
        <v>5</v>
      </c>
    </row>
    <row r="4329">
      <c r="A4329" s="3">
        <v>2797.0</v>
      </c>
      <c r="B4329" s="4">
        <v>45357.038564814815</v>
      </c>
      <c r="C4329" s="3" t="s">
        <v>7</v>
      </c>
    </row>
    <row r="4330">
      <c r="A4330" s="3">
        <v>2893.0</v>
      </c>
      <c r="B4330" s="4">
        <v>45357.04357638889</v>
      </c>
      <c r="C4330" s="3" t="s">
        <v>4</v>
      </c>
    </row>
    <row r="4331">
      <c r="A4331" s="3">
        <v>2803.0</v>
      </c>
      <c r="B4331" s="4">
        <v>45357.093090277776</v>
      </c>
      <c r="C4331" s="3" t="s">
        <v>6</v>
      </c>
    </row>
    <row r="4332">
      <c r="A4332" s="3">
        <v>7986.0</v>
      </c>
      <c r="B4332" s="4">
        <v>45357.10053240741</v>
      </c>
      <c r="C4332" s="3" t="s">
        <v>4</v>
      </c>
    </row>
    <row r="4333">
      <c r="A4333" s="3">
        <v>1707.0</v>
      </c>
      <c r="B4333" s="4">
        <v>45357.12625</v>
      </c>
      <c r="C4333" s="3" t="s">
        <v>3</v>
      </c>
    </row>
    <row r="4334">
      <c r="A4334" s="3">
        <v>6072.0</v>
      </c>
      <c r="B4334" s="4">
        <v>45357.13275462963</v>
      </c>
      <c r="C4334" s="3" t="s">
        <v>3</v>
      </c>
    </row>
    <row r="4335">
      <c r="A4335" s="3">
        <v>2532.0</v>
      </c>
      <c r="B4335" s="4">
        <v>45357.14200231482</v>
      </c>
      <c r="C4335" s="3" t="s">
        <v>3</v>
      </c>
    </row>
    <row r="4336">
      <c r="A4336" s="3">
        <v>180.0</v>
      </c>
      <c r="B4336" s="4">
        <v>45357.14429398148</v>
      </c>
      <c r="C4336" s="3" t="s">
        <v>6</v>
      </c>
    </row>
    <row r="4337">
      <c r="A4337" s="3">
        <v>1406.0</v>
      </c>
      <c r="B4337" s="4">
        <v>45357.14503472222</v>
      </c>
      <c r="C4337" s="3" t="s">
        <v>6</v>
      </c>
    </row>
    <row r="4338">
      <c r="A4338" s="3">
        <v>7257.0</v>
      </c>
      <c r="B4338" s="4">
        <v>45357.14923611111</v>
      </c>
      <c r="C4338" s="3" t="s">
        <v>3</v>
      </c>
    </row>
    <row r="4339">
      <c r="A4339" s="3">
        <v>5008.0</v>
      </c>
      <c r="B4339" s="4">
        <v>45357.15524305555</v>
      </c>
      <c r="C4339" s="3" t="s">
        <v>3</v>
      </c>
    </row>
    <row r="4340">
      <c r="A4340" s="3">
        <v>2174.0</v>
      </c>
      <c r="B4340" s="4">
        <v>45357.16888888889</v>
      </c>
      <c r="C4340" s="3" t="s">
        <v>7</v>
      </c>
    </row>
    <row r="4341">
      <c r="A4341" s="3">
        <v>2997.0</v>
      </c>
      <c r="B4341" s="4">
        <v>45357.1919212963</v>
      </c>
      <c r="C4341" s="3" t="s">
        <v>6</v>
      </c>
    </row>
    <row r="4342">
      <c r="A4342" s="3">
        <v>7116.0</v>
      </c>
      <c r="B4342" s="4">
        <v>45357.23224537037</v>
      </c>
      <c r="C4342" s="3" t="s">
        <v>7</v>
      </c>
    </row>
    <row r="4343">
      <c r="A4343" s="3">
        <v>4987.0</v>
      </c>
      <c r="B4343" s="4">
        <v>45357.28506944444</v>
      </c>
      <c r="C4343" s="3" t="s">
        <v>3</v>
      </c>
    </row>
    <row r="4344">
      <c r="A4344" s="3">
        <v>6429.0</v>
      </c>
      <c r="B4344" s="4">
        <v>45357.30111111111</v>
      </c>
      <c r="C4344" s="3" t="s">
        <v>3</v>
      </c>
    </row>
    <row r="4345">
      <c r="A4345" s="3">
        <v>7986.0</v>
      </c>
      <c r="B4345" s="4">
        <v>45357.311585648145</v>
      </c>
      <c r="C4345" s="3" t="s">
        <v>3</v>
      </c>
    </row>
    <row r="4346">
      <c r="A4346" s="3">
        <v>7432.0</v>
      </c>
      <c r="B4346" s="4">
        <v>45357.3384375</v>
      </c>
      <c r="C4346" s="3" t="s">
        <v>6</v>
      </c>
    </row>
    <row r="4347">
      <c r="A4347" s="3">
        <v>4799.0</v>
      </c>
      <c r="B4347" s="4">
        <v>45357.3515162037</v>
      </c>
      <c r="C4347" s="3" t="s">
        <v>3</v>
      </c>
    </row>
    <row r="4348">
      <c r="A4348" s="3">
        <v>3246.0</v>
      </c>
      <c r="B4348" s="4">
        <v>45357.38827546296</v>
      </c>
      <c r="C4348" s="3" t="s">
        <v>4</v>
      </c>
    </row>
    <row r="4349">
      <c r="A4349" s="3">
        <v>6072.0</v>
      </c>
      <c r="B4349" s="4">
        <v>45357.393113425926</v>
      </c>
      <c r="C4349" s="3" t="s">
        <v>4</v>
      </c>
    </row>
    <row r="4350">
      <c r="A4350" s="3">
        <v>1353.0</v>
      </c>
      <c r="B4350" s="4">
        <v>45357.40136574074</v>
      </c>
      <c r="C4350" s="3" t="s">
        <v>3</v>
      </c>
    </row>
    <row r="4351">
      <c r="A4351" s="3">
        <v>294.0</v>
      </c>
      <c r="B4351" s="4">
        <v>45357.42412037037</v>
      </c>
      <c r="C4351" s="3" t="s">
        <v>6</v>
      </c>
    </row>
    <row r="4352">
      <c r="A4352" s="3">
        <v>1666.0</v>
      </c>
      <c r="B4352" s="4">
        <v>45357.42537037037</v>
      </c>
      <c r="C4352" s="3" t="s">
        <v>6</v>
      </c>
    </row>
    <row r="4353">
      <c r="A4353" s="3">
        <v>1490.0</v>
      </c>
      <c r="B4353" s="4">
        <v>45357.42915509259</v>
      </c>
      <c r="C4353" s="3" t="s">
        <v>6</v>
      </c>
    </row>
    <row r="4354">
      <c r="A4354" s="3">
        <v>19.0</v>
      </c>
      <c r="B4354" s="4">
        <v>45357.43659722222</v>
      </c>
      <c r="C4354" s="3" t="s">
        <v>3</v>
      </c>
    </row>
    <row r="4355">
      <c r="A4355" s="3">
        <v>3246.0</v>
      </c>
      <c r="B4355" s="4">
        <v>45357.47702546296</v>
      </c>
      <c r="C4355" s="3" t="s">
        <v>3</v>
      </c>
    </row>
    <row r="4356">
      <c r="A4356" s="3">
        <v>4050.0</v>
      </c>
      <c r="B4356" s="4">
        <v>45357.47788194445</v>
      </c>
      <c r="C4356" s="3" t="s">
        <v>3</v>
      </c>
    </row>
    <row r="4357">
      <c r="A4357" s="3">
        <v>2893.0</v>
      </c>
      <c r="B4357" s="4">
        <v>45357.478993055556</v>
      </c>
      <c r="C4357" s="3" t="s">
        <v>7</v>
      </c>
    </row>
    <row r="4358">
      <c r="A4358" s="3">
        <v>6203.0</v>
      </c>
      <c r="B4358" s="4">
        <v>45357.47945601852</v>
      </c>
      <c r="C4358" s="3" t="s">
        <v>4</v>
      </c>
    </row>
    <row r="4359">
      <c r="A4359" s="3">
        <v>5766.0</v>
      </c>
      <c r="B4359" s="4">
        <v>45357.49413194445</v>
      </c>
      <c r="C4359" s="3" t="s">
        <v>3</v>
      </c>
    </row>
    <row r="4360">
      <c r="A4360" s="3">
        <v>1222.0</v>
      </c>
      <c r="B4360" s="4">
        <v>45357.49795138889</v>
      </c>
      <c r="C4360" s="3" t="s">
        <v>3</v>
      </c>
    </row>
    <row r="4361">
      <c r="A4361" s="3">
        <v>7570.0</v>
      </c>
      <c r="B4361" s="4">
        <v>45357.51584490741</v>
      </c>
      <c r="C4361" s="3" t="s">
        <v>3</v>
      </c>
    </row>
    <row r="4362">
      <c r="A4362" s="3">
        <v>240.0</v>
      </c>
      <c r="B4362" s="4">
        <v>45357.518229166664</v>
      </c>
      <c r="C4362" s="3" t="s">
        <v>7</v>
      </c>
    </row>
    <row r="4363">
      <c r="A4363" s="3">
        <v>7737.0</v>
      </c>
      <c r="B4363" s="4">
        <v>45357.55304398148</v>
      </c>
      <c r="C4363" s="3" t="s">
        <v>3</v>
      </c>
    </row>
    <row r="4364">
      <c r="A4364" s="3">
        <v>6247.0</v>
      </c>
      <c r="B4364" s="4">
        <v>45357.56964120371</v>
      </c>
      <c r="C4364" s="3" t="s">
        <v>3</v>
      </c>
    </row>
    <row r="4365">
      <c r="A4365" s="3">
        <v>7961.0</v>
      </c>
      <c r="B4365" s="4">
        <v>45357.57104166667</v>
      </c>
      <c r="C4365" s="3" t="s">
        <v>3</v>
      </c>
    </row>
    <row r="4366">
      <c r="A4366" s="3">
        <v>4650.0</v>
      </c>
      <c r="B4366" s="4">
        <v>45357.57813657408</v>
      </c>
      <c r="C4366" s="3" t="s">
        <v>3</v>
      </c>
    </row>
    <row r="4367">
      <c r="A4367" s="3">
        <v>4545.0</v>
      </c>
      <c r="B4367" s="4">
        <v>45357.57884259259</v>
      </c>
      <c r="C4367" s="3" t="s">
        <v>3</v>
      </c>
    </row>
    <row r="4368">
      <c r="A4368" s="3">
        <v>5248.0</v>
      </c>
      <c r="B4368" s="4">
        <v>45357.580625</v>
      </c>
      <c r="C4368" s="3" t="s">
        <v>4</v>
      </c>
    </row>
    <row r="4369">
      <c r="A4369" s="3">
        <v>5705.0</v>
      </c>
      <c r="B4369" s="4">
        <v>45357.58170138889</v>
      </c>
      <c r="C4369" s="3" t="s">
        <v>3</v>
      </c>
    </row>
    <row r="4370">
      <c r="A4370" s="3">
        <v>1666.0</v>
      </c>
      <c r="B4370" s="4">
        <v>45357.60474537037</v>
      </c>
      <c r="C4370" s="3" t="s">
        <v>4</v>
      </c>
    </row>
    <row r="4371">
      <c r="A4371" s="3">
        <v>3445.0</v>
      </c>
      <c r="B4371" s="4">
        <v>45357.61881944445</v>
      </c>
      <c r="C4371" s="3" t="s">
        <v>3</v>
      </c>
    </row>
    <row r="4372">
      <c r="A4372" s="3">
        <v>5705.0</v>
      </c>
      <c r="B4372" s="4">
        <v>45357.65075231482</v>
      </c>
      <c r="C4372" s="3" t="s">
        <v>4</v>
      </c>
    </row>
    <row r="4373">
      <c r="A4373" s="3">
        <v>2895.0</v>
      </c>
      <c r="B4373" s="4">
        <v>45357.65158564815</v>
      </c>
      <c r="C4373" s="3" t="s">
        <v>3</v>
      </c>
    </row>
    <row r="4374">
      <c r="A4374" s="3">
        <v>1544.0</v>
      </c>
      <c r="B4374" s="4">
        <v>45357.66113425926</v>
      </c>
      <c r="C4374" s="3" t="s">
        <v>5</v>
      </c>
    </row>
    <row r="4375">
      <c r="A4375" s="3">
        <v>7874.0</v>
      </c>
      <c r="B4375" s="4">
        <v>45357.67140046296</v>
      </c>
      <c r="C4375" s="3" t="s">
        <v>4</v>
      </c>
    </row>
    <row r="4376">
      <c r="A4376" s="3">
        <v>4964.0</v>
      </c>
      <c r="B4376" s="4">
        <v>45357.67655092593</v>
      </c>
      <c r="C4376" s="3" t="s">
        <v>4</v>
      </c>
    </row>
    <row r="4377">
      <c r="A4377" s="3">
        <v>1403.0</v>
      </c>
      <c r="B4377" s="4">
        <v>45357.67957175926</v>
      </c>
      <c r="C4377" s="3" t="s">
        <v>4</v>
      </c>
    </row>
    <row r="4378">
      <c r="A4378" s="3">
        <v>1787.0</v>
      </c>
      <c r="B4378" s="4">
        <v>45357.69252314815</v>
      </c>
      <c r="C4378" s="3" t="s">
        <v>4</v>
      </c>
    </row>
    <row r="4379">
      <c r="A4379" s="3">
        <v>3609.0</v>
      </c>
      <c r="B4379" s="4">
        <v>45357.695289351854</v>
      </c>
      <c r="C4379" s="3" t="s">
        <v>7</v>
      </c>
    </row>
    <row r="4380">
      <c r="A4380" s="3">
        <v>5034.0</v>
      </c>
      <c r="B4380" s="4">
        <v>45357.697291666664</v>
      </c>
      <c r="C4380" s="3" t="s">
        <v>3</v>
      </c>
    </row>
    <row r="4381">
      <c r="A4381" s="3">
        <v>4056.0</v>
      </c>
      <c r="B4381" s="4">
        <v>45357.71349537037</v>
      </c>
      <c r="C4381" s="3" t="s">
        <v>4</v>
      </c>
    </row>
    <row r="4382">
      <c r="A4382" s="3">
        <v>2368.0</v>
      </c>
      <c r="B4382" s="4">
        <v>45357.716678240744</v>
      </c>
      <c r="C4382" s="3" t="s">
        <v>3</v>
      </c>
    </row>
    <row r="4383">
      <c r="A4383" s="3">
        <v>2444.0</v>
      </c>
      <c r="B4383" s="4">
        <v>45357.76938657407</v>
      </c>
      <c r="C4383" s="3" t="s">
        <v>3</v>
      </c>
    </row>
    <row r="4384">
      <c r="A4384" s="3">
        <v>6748.0</v>
      </c>
      <c r="B4384" s="4">
        <v>45357.79318287037</v>
      </c>
      <c r="C4384" s="3" t="s">
        <v>6</v>
      </c>
    </row>
    <row r="4385">
      <c r="A4385" s="3">
        <v>4056.0</v>
      </c>
      <c r="B4385" s="4">
        <v>45357.80855324074</v>
      </c>
      <c r="C4385" s="3" t="s">
        <v>3</v>
      </c>
    </row>
    <row r="4386">
      <c r="A4386" s="3">
        <v>1629.0</v>
      </c>
      <c r="B4386" s="4">
        <v>45357.81012731481</v>
      </c>
      <c r="C4386" s="3" t="s">
        <v>3</v>
      </c>
    </row>
    <row r="4387">
      <c r="A4387" s="3">
        <v>7961.0</v>
      </c>
      <c r="B4387" s="4">
        <v>45357.8175</v>
      </c>
      <c r="C4387" s="3" t="s">
        <v>4</v>
      </c>
    </row>
    <row r="4388">
      <c r="A4388" s="3">
        <v>3935.0</v>
      </c>
      <c r="B4388" s="4">
        <v>45357.83440972222</v>
      </c>
      <c r="C4388" s="3" t="s">
        <v>5</v>
      </c>
    </row>
    <row r="4389">
      <c r="A4389" s="3">
        <v>3474.0</v>
      </c>
      <c r="B4389" s="4">
        <v>45357.83798611111</v>
      </c>
      <c r="C4389" s="3" t="s">
        <v>6</v>
      </c>
    </row>
    <row r="4390">
      <c r="A4390" s="3">
        <v>7943.0</v>
      </c>
      <c r="B4390" s="4">
        <v>45357.84237268518</v>
      </c>
      <c r="C4390" s="3" t="s">
        <v>6</v>
      </c>
    </row>
    <row r="4391">
      <c r="A4391" s="3">
        <v>7116.0</v>
      </c>
      <c r="B4391" s="4">
        <v>45357.89828703704</v>
      </c>
      <c r="C4391" s="3" t="s">
        <v>4</v>
      </c>
    </row>
    <row r="4392">
      <c r="A4392" s="3">
        <v>7904.0</v>
      </c>
      <c r="B4392" s="4">
        <v>45357.90170138889</v>
      </c>
      <c r="C4392" s="3" t="s">
        <v>3</v>
      </c>
    </row>
    <row r="4393">
      <c r="A4393" s="3">
        <v>7159.0</v>
      </c>
      <c r="B4393" s="4">
        <v>45357.90783564815</v>
      </c>
      <c r="C4393" s="3" t="s">
        <v>4</v>
      </c>
    </row>
    <row r="4394">
      <c r="A4394" s="3">
        <v>2642.0</v>
      </c>
      <c r="B4394" s="4">
        <v>45357.92523148148</v>
      </c>
      <c r="C4394" s="3" t="s">
        <v>6</v>
      </c>
    </row>
    <row r="4395">
      <c r="A4395" s="3">
        <v>7640.0</v>
      </c>
      <c r="B4395" s="4">
        <v>45357.983668981484</v>
      </c>
      <c r="C4395" s="3" t="s">
        <v>6</v>
      </c>
    </row>
    <row r="4396">
      <c r="A4396" s="3">
        <v>7874.0</v>
      </c>
      <c r="B4396" s="4">
        <v>45358.00125</v>
      </c>
      <c r="C4396" s="3" t="s">
        <v>7</v>
      </c>
    </row>
    <row r="4397">
      <c r="A4397" s="3">
        <v>5219.0</v>
      </c>
      <c r="B4397" s="4">
        <v>45358.01609953704</v>
      </c>
      <c r="C4397" s="3" t="s">
        <v>3</v>
      </c>
    </row>
    <row r="4398">
      <c r="A4398" s="3">
        <v>4098.0</v>
      </c>
      <c r="B4398" s="4">
        <v>45358.022256944445</v>
      </c>
      <c r="C4398" s="3" t="s">
        <v>4</v>
      </c>
    </row>
    <row r="4399">
      <c r="A4399" s="3">
        <v>6766.0</v>
      </c>
      <c r="B4399" s="4">
        <v>45358.045</v>
      </c>
      <c r="C4399" s="3" t="s">
        <v>3</v>
      </c>
    </row>
    <row r="4400">
      <c r="A4400" s="3">
        <v>4924.0</v>
      </c>
      <c r="B4400" s="4">
        <v>45358.0534837963</v>
      </c>
      <c r="C4400" s="3" t="s">
        <v>3</v>
      </c>
    </row>
    <row r="4401">
      <c r="A4401" s="3">
        <v>5866.0</v>
      </c>
      <c r="B4401" s="4">
        <v>45358.05862268519</v>
      </c>
      <c r="C4401" s="3" t="s">
        <v>3</v>
      </c>
    </row>
    <row r="4402">
      <c r="A4402" s="3">
        <v>2463.0</v>
      </c>
      <c r="B4402" s="4">
        <v>45358.13943287037</v>
      </c>
      <c r="C4402" s="3" t="s">
        <v>3</v>
      </c>
    </row>
    <row r="4403">
      <c r="A4403" s="3">
        <v>1839.0</v>
      </c>
      <c r="B4403" s="4">
        <v>45358.155706018515</v>
      </c>
      <c r="C4403" s="3" t="s">
        <v>3</v>
      </c>
    </row>
    <row r="4404">
      <c r="A4404" s="3">
        <v>7172.0</v>
      </c>
      <c r="B4404" s="4">
        <v>45358.172534722224</v>
      </c>
      <c r="C4404" s="3" t="s">
        <v>3</v>
      </c>
    </row>
    <row r="4405">
      <c r="A4405" s="3">
        <v>3511.0</v>
      </c>
      <c r="B4405" s="4">
        <v>45358.17636574074</v>
      </c>
      <c r="C4405" s="3" t="s">
        <v>3</v>
      </c>
    </row>
    <row r="4406">
      <c r="A4406" s="3">
        <v>4026.0</v>
      </c>
      <c r="B4406" s="4">
        <v>45358.201006944444</v>
      </c>
      <c r="C4406" s="3" t="s">
        <v>3</v>
      </c>
    </row>
    <row r="4407">
      <c r="A4407" s="3">
        <v>2612.0</v>
      </c>
      <c r="B4407" s="4">
        <v>45358.2171875</v>
      </c>
      <c r="C4407" s="3" t="s">
        <v>3</v>
      </c>
    </row>
    <row r="4408">
      <c r="A4408" s="3">
        <v>5849.0</v>
      </c>
      <c r="B4408" s="4">
        <v>45358.22943287037</v>
      </c>
      <c r="C4408" s="3" t="s">
        <v>3</v>
      </c>
    </row>
    <row r="4409">
      <c r="A4409" s="3">
        <v>4357.0</v>
      </c>
      <c r="B4409" s="4">
        <v>45358.25671296296</v>
      </c>
      <c r="C4409" s="3" t="s">
        <v>3</v>
      </c>
    </row>
    <row r="4410">
      <c r="A4410" s="3">
        <v>6772.0</v>
      </c>
      <c r="B4410" s="4">
        <v>45358.260150462964</v>
      </c>
      <c r="C4410" s="3" t="s">
        <v>5</v>
      </c>
    </row>
    <row r="4411">
      <c r="A4411" s="3">
        <v>4371.0</v>
      </c>
      <c r="B4411" s="4">
        <v>45358.272372685184</v>
      </c>
      <c r="C4411" s="3" t="s">
        <v>4</v>
      </c>
    </row>
    <row r="4412">
      <c r="A4412" s="3">
        <v>5106.0</v>
      </c>
      <c r="B4412" s="4">
        <v>45358.27510416666</v>
      </c>
      <c r="C4412" s="3" t="s">
        <v>3</v>
      </c>
    </row>
    <row r="4413">
      <c r="A4413" s="3">
        <v>6050.0</v>
      </c>
      <c r="B4413" s="4">
        <v>45358.31829861111</v>
      </c>
      <c r="C4413" s="3" t="s">
        <v>7</v>
      </c>
    </row>
    <row r="4414">
      <c r="A4414" s="3">
        <v>6050.0</v>
      </c>
      <c r="B4414" s="4">
        <v>45358.33866898148</v>
      </c>
      <c r="C4414" s="3" t="s">
        <v>5</v>
      </c>
    </row>
    <row r="4415">
      <c r="A4415" s="3">
        <v>3935.0</v>
      </c>
      <c r="B4415" s="4">
        <v>45358.33976851852</v>
      </c>
      <c r="C4415" s="3" t="s">
        <v>6</v>
      </c>
    </row>
    <row r="4416">
      <c r="A4416" s="3">
        <v>6772.0</v>
      </c>
      <c r="B4416" s="4">
        <v>45358.35319444445</v>
      </c>
      <c r="C4416" s="3" t="s">
        <v>3</v>
      </c>
    </row>
    <row r="4417">
      <c r="A4417" s="3">
        <v>1933.0</v>
      </c>
      <c r="B4417" s="4">
        <v>45358.37804398148</v>
      </c>
      <c r="C4417" s="3" t="s">
        <v>3</v>
      </c>
    </row>
    <row r="4418">
      <c r="A4418" s="3">
        <v>5219.0</v>
      </c>
      <c r="B4418" s="4">
        <v>45358.38885416667</v>
      </c>
      <c r="C4418" s="3" t="s">
        <v>4</v>
      </c>
    </row>
    <row r="4419">
      <c r="A4419" s="3">
        <v>5248.0</v>
      </c>
      <c r="B4419" s="4">
        <v>45358.40400462963</v>
      </c>
      <c r="C4419" s="3" t="s">
        <v>5</v>
      </c>
    </row>
    <row r="4420">
      <c r="A4420" s="3">
        <v>1408.0</v>
      </c>
      <c r="B4420" s="4">
        <v>45358.412407407406</v>
      </c>
      <c r="C4420" s="3" t="s">
        <v>6</v>
      </c>
    </row>
    <row r="4421">
      <c r="A4421" s="3">
        <v>5460.0</v>
      </c>
      <c r="B4421" s="4">
        <v>45358.413506944446</v>
      </c>
      <c r="C4421" s="3" t="s">
        <v>3</v>
      </c>
    </row>
    <row r="4422">
      <c r="A4422" s="3">
        <v>1993.0</v>
      </c>
      <c r="B4422" s="4">
        <v>45358.433541666665</v>
      </c>
      <c r="C4422" s="3" t="s">
        <v>5</v>
      </c>
    </row>
    <row r="4423">
      <c r="A4423" s="3">
        <v>3983.0</v>
      </c>
      <c r="B4423" s="4">
        <v>45358.43436342593</v>
      </c>
      <c r="C4423" s="3" t="s">
        <v>3</v>
      </c>
    </row>
    <row r="4424">
      <c r="A4424" s="3">
        <v>6671.0</v>
      </c>
      <c r="B4424" s="4">
        <v>45358.47828703704</v>
      </c>
      <c r="C4424" s="3" t="s">
        <v>5</v>
      </c>
    </row>
    <row r="4425">
      <c r="A4425" s="3">
        <v>5082.0</v>
      </c>
      <c r="B4425" s="4">
        <v>45358.4821875</v>
      </c>
      <c r="C4425" s="3" t="s">
        <v>7</v>
      </c>
    </row>
    <row r="4426">
      <c r="A4426" s="3">
        <v>5311.0</v>
      </c>
      <c r="B4426" s="4">
        <v>45358.49390046296</v>
      </c>
      <c r="C4426" s="3" t="s">
        <v>3</v>
      </c>
    </row>
    <row r="4427">
      <c r="A4427" s="3">
        <v>1069.0</v>
      </c>
      <c r="B4427" s="4">
        <v>45358.50643518518</v>
      </c>
      <c r="C4427" s="3" t="s">
        <v>3</v>
      </c>
    </row>
    <row r="4428">
      <c r="A4428" s="3">
        <v>5580.0</v>
      </c>
      <c r="B4428" s="4">
        <v>45358.50975694445</v>
      </c>
      <c r="C4428" s="3" t="s">
        <v>3</v>
      </c>
    </row>
    <row r="4429">
      <c r="A4429" s="3">
        <v>6366.0</v>
      </c>
      <c r="B4429" s="4">
        <v>45358.51458333333</v>
      </c>
      <c r="C4429" s="3" t="s">
        <v>5</v>
      </c>
    </row>
    <row r="4430">
      <c r="A4430" s="3">
        <v>7682.0</v>
      </c>
      <c r="B4430" s="4">
        <v>45358.515011574076</v>
      </c>
      <c r="C4430" s="3" t="s">
        <v>3</v>
      </c>
    </row>
    <row r="4431">
      <c r="A4431" s="3">
        <v>5034.0</v>
      </c>
      <c r="B4431" s="4">
        <v>45358.52878472222</v>
      </c>
      <c r="C4431" s="3" t="s">
        <v>4</v>
      </c>
    </row>
    <row r="4432">
      <c r="A4432" s="3">
        <v>3873.0</v>
      </c>
      <c r="B4432" s="4">
        <v>45358.53936342592</v>
      </c>
      <c r="C4432" s="3" t="s">
        <v>6</v>
      </c>
    </row>
    <row r="4433">
      <c r="A4433" s="3">
        <v>4451.0</v>
      </c>
      <c r="B4433" s="4">
        <v>45358.55175925926</v>
      </c>
      <c r="C4433" s="3" t="s">
        <v>3</v>
      </c>
    </row>
    <row r="4434">
      <c r="A4434" s="3">
        <v>5849.0</v>
      </c>
      <c r="B4434" s="4">
        <v>45358.57113425926</v>
      </c>
      <c r="C4434" s="3" t="s">
        <v>4</v>
      </c>
    </row>
    <row r="4435">
      <c r="A4435" s="3">
        <v>2173.0</v>
      </c>
      <c r="B4435" s="4">
        <v>45358.5759837963</v>
      </c>
      <c r="C4435" s="3" t="s">
        <v>4</v>
      </c>
    </row>
    <row r="4436">
      <c r="A4436" s="3">
        <v>4400.0</v>
      </c>
      <c r="B4436" s="4">
        <v>45358.58049768519</v>
      </c>
      <c r="C4436" s="3" t="s">
        <v>3</v>
      </c>
    </row>
    <row r="4437">
      <c r="A4437" s="3">
        <v>6745.0</v>
      </c>
      <c r="B4437" s="4">
        <v>45358.58467592593</v>
      </c>
      <c r="C4437" s="3" t="s">
        <v>3</v>
      </c>
    </row>
    <row r="4438">
      <c r="A4438" s="3">
        <v>752.0</v>
      </c>
      <c r="B4438" s="4">
        <v>45358.59065972222</v>
      </c>
      <c r="C4438" s="3" t="s">
        <v>3</v>
      </c>
    </row>
    <row r="4439">
      <c r="A4439" s="3">
        <v>1930.0</v>
      </c>
      <c r="B4439" s="4">
        <v>45358.594456018516</v>
      </c>
      <c r="C4439" s="3" t="s">
        <v>3</v>
      </c>
    </row>
    <row r="4440">
      <c r="A4440" s="3">
        <v>4371.0</v>
      </c>
      <c r="B4440" s="4">
        <v>45358.61267361111</v>
      </c>
      <c r="C4440" s="3" t="s">
        <v>3</v>
      </c>
    </row>
    <row r="4441">
      <c r="A4441" s="3">
        <v>5008.0</v>
      </c>
      <c r="B4441" s="4">
        <v>45358.62621527778</v>
      </c>
      <c r="C4441" s="3" t="s">
        <v>4</v>
      </c>
    </row>
    <row r="4442">
      <c r="A4442" s="3">
        <v>252.0</v>
      </c>
      <c r="B4442" s="4">
        <v>45358.633043981485</v>
      </c>
      <c r="C4442" s="3" t="s">
        <v>3</v>
      </c>
    </row>
    <row r="4443">
      <c r="A4443" s="3">
        <v>6772.0</v>
      </c>
      <c r="B4443" s="4">
        <v>45358.63591435185</v>
      </c>
      <c r="C4443" s="3" t="s">
        <v>4</v>
      </c>
    </row>
    <row r="4444">
      <c r="A4444" s="3">
        <v>7454.0</v>
      </c>
      <c r="B4444" s="4">
        <v>45358.639340277776</v>
      </c>
      <c r="C4444" s="3" t="s">
        <v>3</v>
      </c>
    </row>
    <row r="4445">
      <c r="A4445" s="3">
        <v>6745.0</v>
      </c>
      <c r="B4445" s="4">
        <v>45358.651412037034</v>
      </c>
      <c r="C4445" s="3" t="s">
        <v>5</v>
      </c>
    </row>
    <row r="4446">
      <c r="A4446" s="3">
        <v>6533.0</v>
      </c>
      <c r="B4446" s="4">
        <v>45358.65960648148</v>
      </c>
      <c r="C4446" s="3" t="s">
        <v>6</v>
      </c>
    </row>
    <row r="4447">
      <c r="A4447" s="3">
        <v>7044.0</v>
      </c>
      <c r="B4447" s="4">
        <v>45358.66269675926</v>
      </c>
      <c r="C4447" s="3" t="s">
        <v>4</v>
      </c>
    </row>
    <row r="4448">
      <c r="A4448" s="3">
        <v>5106.0</v>
      </c>
      <c r="B4448" s="4">
        <v>45358.69311342593</v>
      </c>
      <c r="C4448" s="3" t="s">
        <v>4</v>
      </c>
    </row>
    <row r="4449">
      <c r="A4449" s="3">
        <v>3456.0</v>
      </c>
      <c r="B4449" s="4">
        <v>45358.69835648148</v>
      </c>
      <c r="C4449" s="3" t="s">
        <v>3</v>
      </c>
    </row>
    <row r="4450">
      <c r="A4450" s="3">
        <v>3609.0</v>
      </c>
      <c r="B4450" s="4">
        <v>45358.70380787037</v>
      </c>
      <c r="C4450" s="3" t="s">
        <v>6</v>
      </c>
    </row>
    <row r="4451">
      <c r="A4451" s="3">
        <v>3246.0</v>
      </c>
      <c r="B4451" s="4">
        <v>45358.70915509259</v>
      </c>
      <c r="C4451" s="3" t="s">
        <v>5</v>
      </c>
    </row>
    <row r="4452">
      <c r="A4452" s="3">
        <v>2893.0</v>
      </c>
      <c r="B4452" s="4">
        <v>45358.71195601852</v>
      </c>
      <c r="C4452" s="3" t="s">
        <v>5</v>
      </c>
    </row>
    <row r="4453">
      <c r="A4453" s="3">
        <v>5775.0</v>
      </c>
      <c r="B4453" s="4">
        <v>45358.74072916667</v>
      </c>
      <c r="C4453" s="3" t="s">
        <v>3</v>
      </c>
    </row>
    <row r="4454">
      <c r="A4454" s="3">
        <v>5375.0</v>
      </c>
      <c r="B4454" s="4">
        <v>45358.767696759256</v>
      </c>
      <c r="C4454" s="3" t="s">
        <v>3</v>
      </c>
    </row>
    <row r="4455">
      <c r="A4455" s="3">
        <v>5358.0</v>
      </c>
      <c r="B4455" s="4">
        <v>45358.795694444445</v>
      </c>
      <c r="C4455" s="3" t="s">
        <v>3</v>
      </c>
    </row>
    <row r="4456">
      <c r="A4456" s="3">
        <v>1787.0</v>
      </c>
      <c r="B4456" s="4">
        <v>45358.801782407405</v>
      </c>
      <c r="C4456" s="3" t="s">
        <v>5</v>
      </c>
    </row>
    <row r="4457">
      <c r="A4457" s="3">
        <v>7911.0</v>
      </c>
      <c r="B4457" s="4">
        <v>45358.82365740741</v>
      </c>
      <c r="C4457" s="3" t="s">
        <v>3</v>
      </c>
    </row>
    <row r="4458">
      <c r="A4458" s="3">
        <v>7480.0</v>
      </c>
      <c r="B4458" s="4">
        <v>45358.8496875</v>
      </c>
      <c r="C4458" s="3" t="s">
        <v>5</v>
      </c>
    </row>
    <row r="4459">
      <c r="A4459" s="3">
        <v>252.0</v>
      </c>
      <c r="B4459" s="4">
        <v>45358.851689814815</v>
      </c>
      <c r="C4459" s="3" t="s">
        <v>4</v>
      </c>
    </row>
    <row r="4460">
      <c r="A4460" s="3">
        <v>913.0</v>
      </c>
      <c r="B4460" s="4">
        <v>45358.88061342593</v>
      </c>
      <c r="C4460" s="3" t="s">
        <v>3</v>
      </c>
    </row>
    <row r="4461">
      <c r="A4461" s="3">
        <v>4735.0</v>
      </c>
      <c r="B4461" s="4">
        <v>45358.890810185185</v>
      </c>
      <c r="C4461" s="3" t="s">
        <v>5</v>
      </c>
    </row>
    <row r="4462">
      <c r="A4462" s="3">
        <v>920.0</v>
      </c>
      <c r="B4462" s="4">
        <v>45358.89188657407</v>
      </c>
      <c r="C4462" s="3" t="s">
        <v>3</v>
      </c>
    </row>
    <row r="4463">
      <c r="A4463" s="3">
        <v>812.0</v>
      </c>
      <c r="B4463" s="4">
        <v>45358.89255787037</v>
      </c>
      <c r="C4463" s="3" t="s">
        <v>3</v>
      </c>
    </row>
    <row r="4464">
      <c r="A4464" s="3">
        <v>354.0</v>
      </c>
      <c r="B4464" s="4">
        <v>45358.92296296296</v>
      </c>
      <c r="C4464" s="3" t="s">
        <v>3</v>
      </c>
    </row>
    <row r="4465">
      <c r="A4465" s="3">
        <v>7570.0</v>
      </c>
      <c r="B4465" s="4">
        <v>45358.93193287037</v>
      </c>
      <c r="C4465" s="3" t="s">
        <v>4</v>
      </c>
    </row>
    <row r="4466">
      <c r="A4466" s="3">
        <v>752.0</v>
      </c>
      <c r="B4466" s="4">
        <v>45358.93981481482</v>
      </c>
      <c r="C4466" s="3" t="s">
        <v>4</v>
      </c>
    </row>
    <row r="4467">
      <c r="A4467" s="3">
        <v>7565.0</v>
      </c>
      <c r="B4467" s="4">
        <v>45358.951215277775</v>
      </c>
      <c r="C4467" s="3" t="s">
        <v>6</v>
      </c>
    </row>
    <row r="4468">
      <c r="A4468" s="3">
        <v>694.0</v>
      </c>
      <c r="B4468" s="4">
        <v>45358.96314814815</v>
      </c>
      <c r="C4468" s="3" t="s">
        <v>6</v>
      </c>
    </row>
    <row r="4469">
      <c r="A4469" s="3">
        <v>4735.0</v>
      </c>
      <c r="B4469" s="4">
        <v>45358.9771875</v>
      </c>
      <c r="C4469" s="3" t="s">
        <v>4</v>
      </c>
    </row>
    <row r="4470">
      <c r="A4470" s="3">
        <v>998.0</v>
      </c>
      <c r="B4470" s="4">
        <v>45358.979097222225</v>
      </c>
      <c r="C4470" s="3" t="s">
        <v>3</v>
      </c>
    </row>
    <row r="4471">
      <c r="A4471" s="3">
        <v>5705.0</v>
      </c>
      <c r="B4471" s="4">
        <v>45358.97934027778</v>
      </c>
      <c r="C4471" s="3" t="s">
        <v>7</v>
      </c>
    </row>
    <row r="4472">
      <c r="A4472" s="3">
        <v>368.0</v>
      </c>
      <c r="B4472" s="4">
        <v>45359.026608796295</v>
      </c>
      <c r="C4472" s="3" t="s">
        <v>3</v>
      </c>
    </row>
    <row r="4473">
      <c r="A4473" s="3">
        <v>3559.0</v>
      </c>
      <c r="B4473" s="4">
        <v>45359.03241898148</v>
      </c>
      <c r="C4473" s="3" t="s">
        <v>3</v>
      </c>
    </row>
    <row r="4474">
      <c r="A4474" s="3">
        <v>877.0</v>
      </c>
      <c r="B4474" s="4">
        <v>45359.04570601852</v>
      </c>
      <c r="C4474" s="3" t="s">
        <v>4</v>
      </c>
    </row>
    <row r="4475">
      <c r="A4475" s="3">
        <v>5110.0</v>
      </c>
      <c r="B4475" s="4">
        <v>45359.04877314815</v>
      </c>
      <c r="C4475" s="3" t="s">
        <v>3</v>
      </c>
    </row>
    <row r="4476">
      <c r="A4476" s="3">
        <v>2630.0</v>
      </c>
      <c r="B4476" s="4">
        <v>45359.07394675926</v>
      </c>
      <c r="C4476" s="3" t="s">
        <v>3</v>
      </c>
    </row>
    <row r="4477">
      <c r="A4477" s="3">
        <v>998.0</v>
      </c>
      <c r="B4477" s="4">
        <v>45359.07910879629</v>
      </c>
      <c r="C4477" s="3" t="s">
        <v>5</v>
      </c>
    </row>
    <row r="4478">
      <c r="A4478" s="3">
        <v>2895.0</v>
      </c>
      <c r="B4478" s="4">
        <v>45359.097905092596</v>
      </c>
      <c r="C4478" s="3" t="s">
        <v>4</v>
      </c>
    </row>
    <row r="4479">
      <c r="A4479" s="3">
        <v>5314.0</v>
      </c>
      <c r="B4479" s="4">
        <v>45359.13346064815</v>
      </c>
      <c r="C4479" s="3" t="s">
        <v>3</v>
      </c>
    </row>
    <row r="4480">
      <c r="A4480" s="3">
        <v>1402.0</v>
      </c>
      <c r="B4480" s="4">
        <v>45359.14527777778</v>
      </c>
      <c r="C4480" s="3" t="s">
        <v>3</v>
      </c>
    </row>
    <row r="4481">
      <c r="A4481" s="3">
        <v>5622.0</v>
      </c>
      <c r="B4481" s="4">
        <v>45359.165972222225</v>
      </c>
      <c r="C4481" s="3" t="s">
        <v>4</v>
      </c>
    </row>
    <row r="4482">
      <c r="A4482" s="3">
        <v>998.0</v>
      </c>
      <c r="B4482" s="4">
        <v>45359.16793981481</v>
      </c>
      <c r="C4482" s="3" t="s">
        <v>4</v>
      </c>
    </row>
    <row r="4483">
      <c r="A4483" s="3">
        <v>2837.0</v>
      </c>
      <c r="B4483" s="4">
        <v>45359.17056712963</v>
      </c>
      <c r="C4483" s="3" t="s">
        <v>6</v>
      </c>
    </row>
    <row r="4484">
      <c r="A4484" s="3">
        <v>5334.0</v>
      </c>
      <c r="B4484" s="4">
        <v>45359.17071759259</v>
      </c>
      <c r="C4484" s="3" t="s">
        <v>6</v>
      </c>
    </row>
    <row r="4485">
      <c r="A4485" s="3">
        <v>3085.0</v>
      </c>
      <c r="B4485" s="4">
        <v>45359.192349537036</v>
      </c>
      <c r="C4485" s="3" t="s">
        <v>3</v>
      </c>
    </row>
    <row r="4486">
      <c r="A4486" s="3">
        <v>6745.0</v>
      </c>
      <c r="B4486" s="4">
        <v>45359.20155092593</v>
      </c>
      <c r="C4486" s="3" t="s">
        <v>7</v>
      </c>
    </row>
    <row r="4487">
      <c r="A4487" s="3">
        <v>7682.0</v>
      </c>
      <c r="B4487" s="4">
        <v>45359.215</v>
      </c>
      <c r="C4487" s="3" t="s">
        <v>5</v>
      </c>
    </row>
    <row r="4488">
      <c r="A4488" s="3">
        <v>6366.0</v>
      </c>
      <c r="B4488" s="4">
        <v>45359.23304398148</v>
      </c>
      <c r="C4488" s="3" t="s">
        <v>6</v>
      </c>
    </row>
    <row r="4489">
      <c r="A4489" s="3">
        <v>5752.0</v>
      </c>
      <c r="B4489" s="4">
        <v>45359.23480324074</v>
      </c>
      <c r="C4489" s="3" t="s">
        <v>3</v>
      </c>
    </row>
    <row r="4490">
      <c r="A4490" s="3">
        <v>812.0</v>
      </c>
      <c r="B4490" s="4">
        <v>45359.24633101852</v>
      </c>
      <c r="C4490" s="3" t="s">
        <v>5</v>
      </c>
    </row>
    <row r="4491">
      <c r="A4491" s="3">
        <v>5256.0</v>
      </c>
      <c r="B4491" s="4">
        <v>45359.28716435185</v>
      </c>
      <c r="C4491" s="3" t="s">
        <v>3</v>
      </c>
    </row>
    <row r="4492">
      <c r="A4492" s="3">
        <v>3456.0</v>
      </c>
      <c r="B4492" s="4">
        <v>45359.304375</v>
      </c>
      <c r="C4492" s="3" t="s">
        <v>4</v>
      </c>
    </row>
    <row r="4493">
      <c r="A4493" s="3">
        <v>6366.0</v>
      </c>
      <c r="B4493" s="4">
        <v>45359.308645833335</v>
      </c>
      <c r="C4493" s="3" t="s">
        <v>7</v>
      </c>
    </row>
    <row r="4494">
      <c r="A4494" s="3">
        <v>6745.0</v>
      </c>
      <c r="B4494" s="4">
        <v>45359.3155787037</v>
      </c>
      <c r="C4494" s="3" t="s">
        <v>4</v>
      </c>
    </row>
    <row r="4495">
      <c r="A4495" s="3">
        <v>4650.0</v>
      </c>
      <c r="B4495" s="4">
        <v>45359.32067129629</v>
      </c>
      <c r="C4495" s="3" t="s">
        <v>4</v>
      </c>
    </row>
    <row r="4496">
      <c r="A4496" s="3">
        <v>4739.0</v>
      </c>
      <c r="B4496" s="4">
        <v>45359.32298611111</v>
      </c>
      <c r="C4496" s="3" t="s">
        <v>6</v>
      </c>
    </row>
    <row r="4497">
      <c r="A4497" s="3">
        <v>7686.0</v>
      </c>
      <c r="B4497" s="4">
        <v>45359.33016203704</v>
      </c>
      <c r="C4497" s="3" t="s">
        <v>6</v>
      </c>
    </row>
    <row r="4498">
      <c r="A4498" s="3">
        <v>4344.0</v>
      </c>
      <c r="B4498" s="4">
        <v>45359.331770833334</v>
      </c>
      <c r="C4498" s="3" t="s">
        <v>6</v>
      </c>
    </row>
    <row r="4499">
      <c r="A4499" s="3">
        <v>5692.0</v>
      </c>
      <c r="B4499" s="4">
        <v>45359.34355324074</v>
      </c>
      <c r="C4499" s="3" t="s">
        <v>4</v>
      </c>
    </row>
    <row r="4500">
      <c r="A4500" s="3">
        <v>1468.0</v>
      </c>
      <c r="B4500" s="4">
        <v>45359.35375</v>
      </c>
      <c r="C4500" s="3" t="s">
        <v>3</v>
      </c>
    </row>
    <row r="4501">
      <c r="A4501" s="3">
        <v>6871.0</v>
      </c>
      <c r="B4501" s="4">
        <v>45359.374375</v>
      </c>
      <c r="C4501" s="3" t="s">
        <v>6</v>
      </c>
    </row>
    <row r="4502">
      <c r="A4502" s="3">
        <v>5849.0</v>
      </c>
      <c r="B4502" s="4">
        <v>45359.37652777778</v>
      </c>
      <c r="C4502" s="3" t="s">
        <v>5</v>
      </c>
    </row>
    <row r="4503">
      <c r="A4503" s="3">
        <v>3863.0</v>
      </c>
      <c r="B4503" s="4">
        <v>45359.39837962963</v>
      </c>
      <c r="C4503" s="3" t="s">
        <v>3</v>
      </c>
    </row>
    <row r="4504">
      <c r="A4504" s="3">
        <v>5752.0</v>
      </c>
      <c r="B4504" s="4">
        <v>45359.40972222222</v>
      </c>
      <c r="C4504" s="3" t="s">
        <v>4</v>
      </c>
    </row>
    <row r="4505">
      <c r="A4505" s="3">
        <v>252.0</v>
      </c>
      <c r="B4505" s="4">
        <v>45359.41068287037</v>
      </c>
      <c r="C4505" s="3" t="s">
        <v>6</v>
      </c>
    </row>
    <row r="4506">
      <c r="A4506" s="3">
        <v>7710.0</v>
      </c>
      <c r="B4506" s="4">
        <v>45359.425092592595</v>
      </c>
      <c r="C4506" s="3" t="s">
        <v>3</v>
      </c>
    </row>
    <row r="4507">
      <c r="A4507" s="3">
        <v>6429.0</v>
      </c>
      <c r="B4507" s="4">
        <v>45359.426400462966</v>
      </c>
      <c r="C4507" s="3" t="s">
        <v>4</v>
      </c>
    </row>
    <row r="4508">
      <c r="A4508" s="3">
        <v>2532.0</v>
      </c>
      <c r="B4508" s="4">
        <v>45359.44174768519</v>
      </c>
      <c r="C4508" s="3" t="s">
        <v>4</v>
      </c>
    </row>
    <row r="4509">
      <c r="A4509" s="3">
        <v>2797.0</v>
      </c>
      <c r="B4509" s="4">
        <v>45359.45096064815</v>
      </c>
      <c r="C4509" s="3" t="s">
        <v>6</v>
      </c>
    </row>
    <row r="4510">
      <c r="A4510" s="3">
        <v>5401.0</v>
      </c>
      <c r="B4510" s="4">
        <v>45359.452361111114</v>
      </c>
      <c r="C4510" s="3" t="s">
        <v>6</v>
      </c>
    </row>
    <row r="4511">
      <c r="A4511" s="3">
        <v>1003.0</v>
      </c>
      <c r="B4511" s="4">
        <v>45359.47313657407</v>
      </c>
      <c r="C4511" s="3" t="s">
        <v>3</v>
      </c>
    </row>
    <row r="4512">
      <c r="A4512" s="3">
        <v>4027.0</v>
      </c>
      <c r="B4512" s="4">
        <v>45359.47523148148</v>
      </c>
      <c r="C4512" s="3" t="s">
        <v>3</v>
      </c>
    </row>
    <row r="4513">
      <c r="A4513" s="3">
        <v>515.0</v>
      </c>
      <c r="B4513" s="4">
        <v>45359.50038194445</v>
      </c>
      <c r="C4513" s="3" t="s">
        <v>3</v>
      </c>
    </row>
    <row r="4514">
      <c r="A4514" s="3">
        <v>976.0</v>
      </c>
      <c r="B4514" s="4">
        <v>45359.50685185185</v>
      </c>
      <c r="C4514" s="3" t="s">
        <v>3</v>
      </c>
    </row>
    <row r="4515">
      <c r="A4515" s="3">
        <v>6247.0</v>
      </c>
      <c r="B4515" s="4">
        <v>45359.517858796295</v>
      </c>
      <c r="C4515" s="3" t="s">
        <v>4</v>
      </c>
    </row>
    <row r="4516">
      <c r="A4516" s="3">
        <v>5358.0</v>
      </c>
      <c r="B4516" s="4">
        <v>45359.525821759256</v>
      </c>
      <c r="C4516" s="3" t="s">
        <v>4</v>
      </c>
    </row>
    <row r="4517">
      <c r="A4517" s="3">
        <v>7865.0</v>
      </c>
      <c r="B4517" s="4">
        <v>45359.52997685185</v>
      </c>
      <c r="C4517" s="3" t="s">
        <v>3</v>
      </c>
    </row>
    <row r="4518">
      <c r="A4518" s="3">
        <v>7710.0</v>
      </c>
      <c r="B4518" s="4">
        <v>45359.53292824074</v>
      </c>
      <c r="C4518" s="3" t="s">
        <v>4</v>
      </c>
    </row>
    <row r="4519">
      <c r="A4519" s="3">
        <v>177.0</v>
      </c>
      <c r="B4519" s="4">
        <v>45359.56082175926</v>
      </c>
      <c r="C4519" s="3" t="s">
        <v>7</v>
      </c>
    </row>
    <row r="4520">
      <c r="A4520" s="3">
        <v>1336.0</v>
      </c>
      <c r="B4520" s="4">
        <v>45359.59045138889</v>
      </c>
      <c r="C4520" s="3" t="s">
        <v>3</v>
      </c>
    </row>
    <row r="4521">
      <c r="A4521" s="3">
        <v>6475.0</v>
      </c>
      <c r="B4521" s="4">
        <v>45359.643009259256</v>
      </c>
      <c r="C4521" s="3" t="s">
        <v>5</v>
      </c>
    </row>
    <row r="4522">
      <c r="A4522" s="3">
        <v>2358.0</v>
      </c>
      <c r="B4522" s="4">
        <v>45359.64440972222</v>
      </c>
      <c r="C4522" s="3" t="s">
        <v>6</v>
      </c>
    </row>
    <row r="4523">
      <c r="A4523" s="3">
        <v>1353.0</v>
      </c>
      <c r="B4523" s="4">
        <v>45359.65211805556</v>
      </c>
      <c r="C4523" s="3" t="s">
        <v>7</v>
      </c>
    </row>
    <row r="4524">
      <c r="A4524" s="3">
        <v>7904.0</v>
      </c>
      <c r="B4524" s="4">
        <v>45359.66569444445</v>
      </c>
      <c r="C4524" s="3" t="s">
        <v>4</v>
      </c>
    </row>
    <row r="4525">
      <c r="A4525" s="3">
        <v>7032.0</v>
      </c>
      <c r="B4525" s="4">
        <v>45359.668171296296</v>
      </c>
      <c r="C4525" s="3" t="s">
        <v>4</v>
      </c>
    </row>
    <row r="4526">
      <c r="A4526" s="3">
        <v>4088.0</v>
      </c>
      <c r="B4526" s="4">
        <v>45359.693333333336</v>
      </c>
      <c r="C4526" s="3" t="s">
        <v>3</v>
      </c>
    </row>
    <row r="4527">
      <c r="A4527" s="3">
        <v>7637.0</v>
      </c>
      <c r="B4527" s="4">
        <v>45359.705717592595</v>
      </c>
      <c r="C4527" s="3" t="s">
        <v>7</v>
      </c>
    </row>
    <row r="4528">
      <c r="A4528" s="3">
        <v>6581.0</v>
      </c>
      <c r="B4528" s="4">
        <v>45359.733506944445</v>
      </c>
      <c r="C4528" s="3" t="s">
        <v>4</v>
      </c>
    </row>
    <row r="4529">
      <c r="A4529" s="3">
        <v>4986.0</v>
      </c>
      <c r="B4529" s="4">
        <v>45359.73887731481</v>
      </c>
      <c r="C4529" s="3" t="s">
        <v>3</v>
      </c>
    </row>
    <row r="4530">
      <c r="A4530" s="3">
        <v>1843.0</v>
      </c>
      <c r="B4530" s="4">
        <v>45359.7469212963</v>
      </c>
      <c r="C4530" s="3" t="s">
        <v>3</v>
      </c>
    </row>
    <row r="4531">
      <c r="A4531" s="3">
        <v>5460.0</v>
      </c>
      <c r="B4531" s="4">
        <v>45359.75269675926</v>
      </c>
      <c r="C4531" s="3" t="s">
        <v>6</v>
      </c>
    </row>
    <row r="4532">
      <c r="A4532" s="3">
        <v>2303.0</v>
      </c>
      <c r="B4532" s="4">
        <v>45359.75877314815</v>
      </c>
      <c r="C4532" s="3" t="s">
        <v>3</v>
      </c>
    </row>
    <row r="4533">
      <c r="A4533" s="3">
        <v>814.0</v>
      </c>
      <c r="B4533" s="4">
        <v>45359.76789351852</v>
      </c>
      <c r="C4533" s="3" t="s">
        <v>3</v>
      </c>
    </row>
    <row r="4534">
      <c r="A4534" s="3">
        <v>5008.0</v>
      </c>
      <c r="B4534" s="4">
        <v>45359.76914351852</v>
      </c>
      <c r="C4534" s="3" t="s">
        <v>5</v>
      </c>
    </row>
    <row r="4535">
      <c r="A4535" s="3">
        <v>1222.0</v>
      </c>
      <c r="B4535" s="4">
        <v>45359.792766203704</v>
      </c>
      <c r="C4535" s="3" t="s">
        <v>7</v>
      </c>
    </row>
    <row r="4536">
      <c r="A4536" s="3">
        <v>1190.0</v>
      </c>
      <c r="B4536" s="4">
        <v>45359.821018518516</v>
      </c>
      <c r="C4536" s="3" t="s">
        <v>3</v>
      </c>
    </row>
    <row r="4537">
      <c r="A4537" s="3">
        <v>7682.0</v>
      </c>
      <c r="B4537" s="4">
        <v>45359.82450231481</v>
      </c>
      <c r="C4537" s="3" t="s">
        <v>4</v>
      </c>
    </row>
    <row r="4538">
      <c r="A4538" s="3">
        <v>4483.0</v>
      </c>
      <c r="B4538" s="4">
        <v>45359.85870370371</v>
      </c>
      <c r="C4538" s="3" t="s">
        <v>3</v>
      </c>
    </row>
    <row r="4539">
      <c r="A4539" s="3">
        <v>5705.0</v>
      </c>
      <c r="B4539" s="4">
        <v>45359.85931712963</v>
      </c>
      <c r="C4539" s="3" t="s">
        <v>6</v>
      </c>
    </row>
    <row r="4540">
      <c r="A4540" s="3">
        <v>5509.0</v>
      </c>
      <c r="B4540" s="4">
        <v>45359.861608796295</v>
      </c>
      <c r="C4540" s="3" t="s">
        <v>7</v>
      </c>
    </row>
    <row r="4541">
      <c r="A4541" s="3">
        <v>6574.0</v>
      </c>
      <c r="B4541" s="4">
        <v>45359.8646875</v>
      </c>
      <c r="C4541" s="3" t="s">
        <v>3</v>
      </c>
    </row>
    <row r="4542">
      <c r="A4542" s="3">
        <v>2463.0</v>
      </c>
      <c r="B4542" s="4">
        <v>45359.88068287037</v>
      </c>
      <c r="C4542" s="3" t="s">
        <v>4</v>
      </c>
    </row>
    <row r="4543">
      <c r="A4543" s="3">
        <v>2893.0</v>
      </c>
      <c r="B4543" s="4">
        <v>45359.88759259259</v>
      </c>
      <c r="C4543" s="3" t="s">
        <v>6</v>
      </c>
    </row>
    <row r="4544">
      <c r="A4544" s="3">
        <v>7374.0</v>
      </c>
      <c r="B4544" s="4">
        <v>45359.897199074076</v>
      </c>
      <c r="C4544" s="3" t="s">
        <v>3</v>
      </c>
    </row>
    <row r="4545">
      <c r="A4545" s="3">
        <v>5464.0</v>
      </c>
      <c r="B4545" s="4">
        <v>45359.916493055556</v>
      </c>
      <c r="C4545" s="3" t="s">
        <v>3</v>
      </c>
    </row>
    <row r="4546">
      <c r="A4546" s="3">
        <v>4317.0</v>
      </c>
      <c r="B4546" s="4">
        <v>45359.91861111111</v>
      </c>
      <c r="C4546" s="3" t="s">
        <v>3</v>
      </c>
    </row>
    <row r="4547">
      <c r="A4547" s="3">
        <v>5705.0</v>
      </c>
      <c r="B4547" s="4">
        <v>45359.94792824074</v>
      </c>
      <c r="C4547" s="3" t="s">
        <v>5</v>
      </c>
    </row>
    <row r="4548">
      <c r="A4548" s="3">
        <v>1670.0</v>
      </c>
      <c r="B4548" s="4">
        <v>45359.96019675926</v>
      </c>
      <c r="C4548" s="3" t="s">
        <v>3</v>
      </c>
    </row>
    <row r="4549">
      <c r="A4549" s="3">
        <v>4532.0</v>
      </c>
      <c r="B4549" s="4">
        <v>45359.966319444444</v>
      </c>
      <c r="C4549" s="3" t="s">
        <v>3</v>
      </c>
    </row>
    <row r="4550">
      <c r="A4550" s="3">
        <v>3962.0</v>
      </c>
      <c r="B4550" s="4">
        <v>45360.0005787037</v>
      </c>
      <c r="C4550" s="3" t="s">
        <v>4</v>
      </c>
    </row>
    <row r="4551">
      <c r="A4551" s="3">
        <v>1003.0</v>
      </c>
      <c r="B4551" s="4">
        <v>45360.016122685185</v>
      </c>
      <c r="C4551" s="3" t="s">
        <v>4</v>
      </c>
    </row>
    <row r="4552">
      <c r="A4552" s="3">
        <v>5979.0</v>
      </c>
      <c r="B4552" s="4">
        <v>45360.077523148146</v>
      </c>
      <c r="C4552" s="3" t="s">
        <v>3</v>
      </c>
    </row>
    <row r="4553">
      <c r="A4553" s="3">
        <v>5775.0</v>
      </c>
      <c r="B4553" s="4">
        <v>45360.08741898148</v>
      </c>
      <c r="C4553" s="3" t="s">
        <v>4</v>
      </c>
    </row>
    <row r="4554">
      <c r="A4554" s="3">
        <v>3160.0</v>
      </c>
      <c r="B4554" s="4">
        <v>45360.12185185185</v>
      </c>
      <c r="C4554" s="3" t="s">
        <v>6</v>
      </c>
    </row>
    <row r="4555">
      <c r="A4555" s="3">
        <v>599.0</v>
      </c>
      <c r="B4555" s="4">
        <v>45360.14048611111</v>
      </c>
      <c r="C4555" s="3" t="s">
        <v>3</v>
      </c>
    </row>
    <row r="4556">
      <c r="A4556" s="3">
        <v>3806.0</v>
      </c>
      <c r="B4556" s="4">
        <v>45360.14246527778</v>
      </c>
      <c r="C4556" s="3" t="s">
        <v>6</v>
      </c>
    </row>
    <row r="4557">
      <c r="A4557" s="3">
        <v>913.0</v>
      </c>
      <c r="B4557" s="4">
        <v>45360.15614583333</v>
      </c>
      <c r="C4557" s="3" t="s">
        <v>4</v>
      </c>
    </row>
    <row r="4558">
      <c r="A4558" s="3">
        <v>4762.0</v>
      </c>
      <c r="B4558" s="4">
        <v>45360.20060185185</v>
      </c>
      <c r="C4558" s="3" t="s">
        <v>3</v>
      </c>
    </row>
    <row r="4559">
      <c r="A4559" s="3">
        <v>2391.0</v>
      </c>
      <c r="B4559" s="4">
        <v>45360.26920138889</v>
      </c>
      <c r="C4559" s="3" t="s">
        <v>3</v>
      </c>
    </row>
    <row r="4560">
      <c r="A4560" s="3">
        <v>4650.0</v>
      </c>
      <c r="B4560" s="4">
        <v>45360.30167824074</v>
      </c>
      <c r="C4560" s="3" t="s">
        <v>5</v>
      </c>
    </row>
    <row r="4561">
      <c r="A4561" s="3">
        <v>5877.0</v>
      </c>
      <c r="B4561" s="4">
        <v>45360.308958333335</v>
      </c>
      <c r="C4561" s="3" t="s">
        <v>4</v>
      </c>
    </row>
    <row r="4562">
      <c r="A4562" s="3">
        <v>5877.0</v>
      </c>
      <c r="B4562" s="4">
        <v>45360.3224537037</v>
      </c>
      <c r="C4562" s="3" t="s">
        <v>3</v>
      </c>
    </row>
    <row r="4563">
      <c r="A4563" s="3">
        <v>5358.0</v>
      </c>
      <c r="B4563" s="4">
        <v>45360.331296296295</v>
      </c>
      <c r="C4563" s="3" t="s">
        <v>5</v>
      </c>
    </row>
    <row r="4564">
      <c r="A4564" s="3">
        <v>7865.0</v>
      </c>
      <c r="B4564" s="4">
        <v>45360.337002314816</v>
      </c>
      <c r="C4564" s="3" t="s">
        <v>5</v>
      </c>
    </row>
    <row r="4565">
      <c r="A4565" s="3">
        <v>1670.0</v>
      </c>
      <c r="B4565" s="4">
        <v>45360.35186342592</v>
      </c>
      <c r="C4565" s="3" t="s">
        <v>5</v>
      </c>
    </row>
    <row r="4566">
      <c r="A4566" s="3">
        <v>49.0</v>
      </c>
      <c r="B4566" s="4">
        <v>45360.36378472222</v>
      </c>
      <c r="C4566" s="3" t="s">
        <v>3</v>
      </c>
    </row>
    <row r="4567">
      <c r="A4567" s="3">
        <v>7116.0</v>
      </c>
      <c r="B4567" s="4">
        <v>45360.37174768518</v>
      </c>
      <c r="C4567" s="3" t="s">
        <v>5</v>
      </c>
    </row>
    <row r="4568">
      <c r="A4568" s="3">
        <v>5258.0</v>
      </c>
      <c r="B4568" s="4">
        <v>45360.374768518515</v>
      </c>
      <c r="C4568" s="3" t="s">
        <v>3</v>
      </c>
    </row>
    <row r="4569">
      <c r="A4569" s="3">
        <v>3436.0</v>
      </c>
      <c r="B4569" s="4">
        <v>45360.38747685185</v>
      </c>
      <c r="C4569" s="3" t="s">
        <v>3</v>
      </c>
    </row>
    <row r="4570">
      <c r="A4570" s="3">
        <v>2532.0</v>
      </c>
      <c r="B4570" s="4">
        <v>45360.388657407406</v>
      </c>
      <c r="C4570" s="3" t="s">
        <v>7</v>
      </c>
    </row>
    <row r="4571">
      <c r="A4571" s="3">
        <v>2630.0</v>
      </c>
      <c r="B4571" s="4">
        <v>45360.39701388889</v>
      </c>
      <c r="C4571" s="3" t="s">
        <v>7</v>
      </c>
    </row>
    <row r="4572">
      <c r="A4572" s="3">
        <v>6024.0</v>
      </c>
      <c r="B4572" s="4">
        <v>45360.401921296296</v>
      </c>
      <c r="C4572" s="3" t="s">
        <v>3</v>
      </c>
    </row>
    <row r="4573">
      <c r="A4573" s="3">
        <v>3933.0</v>
      </c>
      <c r="B4573" s="4">
        <v>45360.404965277776</v>
      </c>
      <c r="C4573" s="3" t="s">
        <v>3</v>
      </c>
    </row>
    <row r="4574">
      <c r="A4574" s="3">
        <v>3559.0</v>
      </c>
      <c r="B4574" s="4">
        <v>45360.43274305556</v>
      </c>
      <c r="C4574" s="3" t="s">
        <v>6</v>
      </c>
    </row>
    <row r="4575">
      <c r="A4575" s="3">
        <v>7325.0</v>
      </c>
      <c r="B4575" s="4">
        <v>45360.43664351852</v>
      </c>
      <c r="C4575" s="3" t="s">
        <v>3</v>
      </c>
    </row>
    <row r="4576">
      <c r="A4576" s="3">
        <v>3528.0</v>
      </c>
      <c r="B4576" s="4">
        <v>45360.43877314815</v>
      </c>
      <c r="C4576" s="3" t="s">
        <v>5</v>
      </c>
    </row>
    <row r="4577">
      <c r="A4577" s="3">
        <v>6871.0</v>
      </c>
      <c r="B4577" s="4">
        <v>45360.44179398148</v>
      </c>
      <c r="C4577" s="3" t="s">
        <v>5</v>
      </c>
    </row>
    <row r="4578">
      <c r="A4578" s="3">
        <v>2142.0</v>
      </c>
      <c r="B4578" s="4">
        <v>45360.452511574076</v>
      </c>
      <c r="C4578" s="3" t="s">
        <v>3</v>
      </c>
    </row>
    <row r="4579">
      <c r="A4579" s="3">
        <v>4371.0</v>
      </c>
      <c r="B4579" s="4">
        <v>45360.45369212963</v>
      </c>
      <c r="C4579" s="3" t="s">
        <v>5</v>
      </c>
    </row>
    <row r="4580">
      <c r="A4580" s="3">
        <v>1930.0</v>
      </c>
      <c r="B4580" s="4">
        <v>45360.47378472222</v>
      </c>
      <c r="C4580" s="3" t="s">
        <v>4</v>
      </c>
    </row>
    <row r="4581">
      <c r="A4581" s="3">
        <v>4267.0</v>
      </c>
      <c r="B4581" s="4">
        <v>45360.50378472222</v>
      </c>
      <c r="C4581" s="3" t="s">
        <v>3</v>
      </c>
    </row>
    <row r="4582">
      <c r="A4582" s="3">
        <v>6556.0</v>
      </c>
      <c r="B4582" s="4">
        <v>45360.512708333335</v>
      </c>
      <c r="C4582" s="3" t="s">
        <v>3</v>
      </c>
    </row>
    <row r="4583">
      <c r="A4583" s="3">
        <v>5849.0</v>
      </c>
      <c r="B4583" s="4">
        <v>45360.516493055555</v>
      </c>
      <c r="C4583" s="3" t="s">
        <v>7</v>
      </c>
    </row>
    <row r="4584">
      <c r="A4584" s="3">
        <v>7172.0</v>
      </c>
      <c r="B4584" s="4">
        <v>45360.52618055556</v>
      </c>
      <c r="C4584" s="3" t="s">
        <v>4</v>
      </c>
    </row>
    <row r="4585">
      <c r="A4585" s="3">
        <v>6429.0</v>
      </c>
      <c r="B4585" s="4">
        <v>45360.53774305555</v>
      </c>
      <c r="C4585" s="3" t="s">
        <v>7</v>
      </c>
    </row>
    <row r="4586">
      <c r="A4586" s="3">
        <v>6574.0</v>
      </c>
      <c r="B4586" s="4">
        <v>45360.55070601852</v>
      </c>
      <c r="C4586" s="3" t="s">
        <v>5</v>
      </c>
    </row>
    <row r="4587">
      <c r="A4587" s="3">
        <v>3962.0</v>
      </c>
      <c r="B4587" s="4">
        <v>45360.55988425926</v>
      </c>
      <c r="C4587" s="3" t="s">
        <v>3</v>
      </c>
    </row>
    <row r="4588">
      <c r="A4588" s="3">
        <v>4650.0</v>
      </c>
      <c r="B4588" s="4">
        <v>45360.55991898148</v>
      </c>
      <c r="C4588" s="3" t="s">
        <v>7</v>
      </c>
    </row>
    <row r="4589">
      <c r="A4589" s="3">
        <v>1379.0</v>
      </c>
      <c r="B4589" s="4">
        <v>45360.568240740744</v>
      </c>
      <c r="C4589" s="3" t="s">
        <v>3</v>
      </c>
    </row>
    <row r="4590">
      <c r="A4590" s="3">
        <v>7864.0</v>
      </c>
      <c r="B4590" s="4">
        <v>45360.587430555555</v>
      </c>
      <c r="C4590" s="3" t="s">
        <v>4</v>
      </c>
    </row>
    <row r="4591">
      <c r="A4591" s="3">
        <v>6475.0</v>
      </c>
      <c r="B4591" s="4">
        <v>45360.59509259259</v>
      </c>
      <c r="C4591" s="3" t="s">
        <v>7</v>
      </c>
    </row>
    <row r="4592">
      <c r="A4592" s="3">
        <v>7374.0</v>
      </c>
      <c r="B4592" s="4">
        <v>45360.62480324074</v>
      </c>
      <c r="C4592" s="3" t="s">
        <v>4</v>
      </c>
    </row>
    <row r="4593">
      <c r="A4593" s="3">
        <v>6574.0</v>
      </c>
      <c r="B4593" s="4">
        <v>45360.6321875</v>
      </c>
      <c r="C4593" s="3" t="s">
        <v>4</v>
      </c>
    </row>
    <row r="4594">
      <c r="A4594" s="3">
        <v>4735.0</v>
      </c>
      <c r="B4594" s="4">
        <v>45360.6615625</v>
      </c>
      <c r="C4594" s="3" t="s">
        <v>7</v>
      </c>
    </row>
    <row r="4595">
      <c r="A4595" s="3">
        <v>1544.0</v>
      </c>
      <c r="B4595" s="4">
        <v>45360.66440972222</v>
      </c>
      <c r="C4595" s="3" t="s">
        <v>6</v>
      </c>
    </row>
    <row r="4596">
      <c r="A4596" s="3">
        <v>2463.0</v>
      </c>
      <c r="B4596" s="4">
        <v>45360.66527777778</v>
      </c>
      <c r="C4596" s="3" t="s">
        <v>6</v>
      </c>
    </row>
    <row r="4597">
      <c r="A4597" s="3">
        <v>1670.0</v>
      </c>
      <c r="B4597" s="4">
        <v>45360.68651620371</v>
      </c>
      <c r="C4597" s="3" t="s">
        <v>7</v>
      </c>
    </row>
    <row r="4598">
      <c r="A4598" s="3">
        <v>7116.0</v>
      </c>
      <c r="B4598" s="4">
        <v>45360.6928125</v>
      </c>
      <c r="C4598" s="3" t="s">
        <v>6</v>
      </c>
    </row>
    <row r="4599">
      <c r="A4599" s="3">
        <v>4267.0</v>
      </c>
      <c r="B4599" s="4">
        <v>45360.6934837963</v>
      </c>
      <c r="C4599" s="3" t="s">
        <v>4</v>
      </c>
    </row>
    <row r="4600">
      <c r="A4600" s="3">
        <v>3568.0</v>
      </c>
      <c r="B4600" s="4">
        <v>45360.727476851855</v>
      </c>
      <c r="C4600" s="3" t="s">
        <v>3</v>
      </c>
    </row>
    <row r="4601">
      <c r="A4601" s="3">
        <v>4405.0</v>
      </c>
      <c r="B4601" s="4">
        <v>45360.73556712963</v>
      </c>
      <c r="C4601" s="3" t="s">
        <v>3</v>
      </c>
    </row>
    <row r="4602">
      <c r="A4602" s="3">
        <v>2235.0</v>
      </c>
      <c r="B4602" s="4">
        <v>45360.73600694445</v>
      </c>
      <c r="C4602" s="3" t="s">
        <v>3</v>
      </c>
    </row>
    <row r="4603">
      <c r="A4603" s="3">
        <v>4600.0</v>
      </c>
      <c r="B4603" s="4">
        <v>45360.743680555555</v>
      </c>
      <c r="C4603" s="3" t="s">
        <v>3</v>
      </c>
    </row>
    <row r="4604">
      <c r="A4604" s="3">
        <v>4200.0</v>
      </c>
      <c r="B4604" s="4">
        <v>45360.74706018518</v>
      </c>
      <c r="C4604" s="3" t="s">
        <v>3</v>
      </c>
    </row>
    <row r="4605">
      <c r="A4605" s="3">
        <v>5460.0</v>
      </c>
      <c r="B4605" s="4">
        <v>45360.777280092596</v>
      </c>
      <c r="C4605" s="3" t="s">
        <v>4</v>
      </c>
    </row>
    <row r="4606">
      <c r="A4606" s="3">
        <v>7864.0</v>
      </c>
      <c r="B4606" s="4">
        <v>45360.79386574074</v>
      </c>
      <c r="C4606" s="3" t="s">
        <v>3</v>
      </c>
    </row>
    <row r="4607">
      <c r="A4607" s="3">
        <v>2532.0</v>
      </c>
      <c r="B4607" s="4">
        <v>45360.80202546297</v>
      </c>
      <c r="C4607" s="3" t="s">
        <v>5</v>
      </c>
    </row>
    <row r="4608">
      <c r="A4608" s="3">
        <v>752.0</v>
      </c>
      <c r="B4608" s="4">
        <v>45360.803460648145</v>
      </c>
      <c r="C4608" s="3" t="s">
        <v>5</v>
      </c>
    </row>
    <row r="4609">
      <c r="A4609" s="3">
        <v>4735.0</v>
      </c>
      <c r="B4609" s="4">
        <v>45360.808171296296</v>
      </c>
      <c r="C4609" s="3" t="s">
        <v>6</v>
      </c>
    </row>
    <row r="4610">
      <c r="A4610" s="3">
        <v>998.0</v>
      </c>
      <c r="B4610" s="4">
        <v>45360.80893518519</v>
      </c>
      <c r="C4610" s="3" t="s">
        <v>7</v>
      </c>
    </row>
    <row r="4611">
      <c r="A4611" s="3">
        <v>3559.0</v>
      </c>
      <c r="B4611" s="4">
        <v>45360.81597222222</v>
      </c>
      <c r="C4611" s="3" t="s">
        <v>5</v>
      </c>
    </row>
    <row r="4612">
      <c r="A4612" s="3">
        <v>4451.0</v>
      </c>
      <c r="B4612" s="4">
        <v>45360.84688657407</v>
      </c>
      <c r="C4612" s="3" t="s">
        <v>5</v>
      </c>
    </row>
    <row r="4613">
      <c r="A4613" s="3">
        <v>2630.0</v>
      </c>
      <c r="B4613" s="4">
        <v>45360.848333333335</v>
      </c>
      <c r="C4613" s="3" t="s">
        <v>4</v>
      </c>
    </row>
    <row r="4614">
      <c r="A4614" s="3">
        <v>4314.0</v>
      </c>
      <c r="B4614" s="4">
        <v>45360.85086805555</v>
      </c>
      <c r="C4614" s="3" t="s">
        <v>3</v>
      </c>
    </row>
    <row r="4615">
      <c r="A4615" s="3">
        <v>2200.0</v>
      </c>
      <c r="B4615" s="4">
        <v>45360.85270833333</v>
      </c>
      <c r="C4615" s="3" t="s">
        <v>6</v>
      </c>
    </row>
    <row r="4616">
      <c r="A4616" s="3">
        <v>240.0</v>
      </c>
      <c r="B4616" s="4">
        <v>45360.85590277778</v>
      </c>
      <c r="C4616" s="3" t="s">
        <v>6</v>
      </c>
    </row>
    <row r="4617">
      <c r="A4617" s="3">
        <v>812.0</v>
      </c>
      <c r="B4617" s="4">
        <v>45360.87222222222</v>
      </c>
      <c r="C4617" s="3" t="s">
        <v>4</v>
      </c>
    </row>
    <row r="4618">
      <c r="A4618" s="3">
        <v>5266.0</v>
      </c>
      <c r="B4618" s="4">
        <v>45360.89990740741</v>
      </c>
      <c r="C4618" s="3" t="s">
        <v>6</v>
      </c>
    </row>
    <row r="4619">
      <c r="A4619" s="3">
        <v>917.0</v>
      </c>
      <c r="B4619" s="4">
        <v>45360.90078703704</v>
      </c>
      <c r="C4619" s="3" t="s">
        <v>3</v>
      </c>
    </row>
    <row r="4620">
      <c r="A4620" s="3">
        <v>5752.0</v>
      </c>
      <c r="B4620" s="4">
        <v>45360.90472222222</v>
      </c>
      <c r="C4620" s="3" t="s">
        <v>5</v>
      </c>
    </row>
    <row r="4621">
      <c r="A4621" s="3">
        <v>49.0</v>
      </c>
      <c r="B4621" s="4">
        <v>45360.90704861111</v>
      </c>
      <c r="C4621" s="3" t="s">
        <v>4</v>
      </c>
    </row>
    <row r="4622">
      <c r="A4622" s="3">
        <v>4056.0</v>
      </c>
      <c r="B4622" s="4">
        <v>45360.91961805556</v>
      </c>
      <c r="C4622" s="3" t="s">
        <v>6</v>
      </c>
    </row>
    <row r="4623">
      <c r="A4623" s="3">
        <v>3565.0</v>
      </c>
      <c r="B4623" s="4">
        <v>45360.92091435185</v>
      </c>
      <c r="C4623" s="3" t="s">
        <v>3</v>
      </c>
    </row>
    <row r="4624">
      <c r="A4624" s="3">
        <v>4483.0</v>
      </c>
      <c r="B4624" s="4">
        <v>45360.92395833333</v>
      </c>
      <c r="C4624" s="3" t="s">
        <v>4</v>
      </c>
    </row>
    <row r="4625">
      <c r="A4625" s="3">
        <v>1468.0</v>
      </c>
      <c r="B4625" s="4">
        <v>45360.93185185185</v>
      </c>
      <c r="C4625" s="3" t="s">
        <v>7</v>
      </c>
    </row>
    <row r="4626">
      <c r="A4626" s="3">
        <v>1544.0</v>
      </c>
      <c r="B4626" s="4">
        <v>45360.94741898148</v>
      </c>
      <c r="C4626" s="3" t="s">
        <v>7</v>
      </c>
    </row>
    <row r="4627">
      <c r="A4627" s="3">
        <v>1754.0</v>
      </c>
      <c r="B4627" s="4">
        <v>45360.959131944444</v>
      </c>
      <c r="C4627" s="3" t="s">
        <v>3</v>
      </c>
    </row>
    <row r="4628">
      <c r="A4628" s="3">
        <v>3291.0</v>
      </c>
      <c r="B4628" s="4">
        <v>45360.97439814815</v>
      </c>
      <c r="C4628" s="3" t="s">
        <v>6</v>
      </c>
    </row>
    <row r="4629">
      <c r="A4629" s="3">
        <v>5496.0</v>
      </c>
      <c r="B4629" s="4">
        <v>45360.9927662037</v>
      </c>
      <c r="C4629" s="3" t="s">
        <v>3</v>
      </c>
    </row>
    <row r="4630">
      <c r="A4630" s="3">
        <v>1412.0</v>
      </c>
      <c r="B4630" s="4">
        <v>45360.99787037037</v>
      </c>
      <c r="C4630" s="3" t="s">
        <v>3</v>
      </c>
    </row>
    <row r="4631">
      <c r="A4631" s="3">
        <v>3935.0</v>
      </c>
      <c r="B4631" s="4">
        <v>45361.00814814815</v>
      </c>
      <c r="C4631" s="3" t="s">
        <v>7</v>
      </c>
    </row>
    <row r="4632">
      <c r="A4632" s="3">
        <v>3311.0</v>
      </c>
      <c r="B4632" s="4">
        <v>45361.016921296294</v>
      </c>
      <c r="C4632" s="3" t="s">
        <v>3</v>
      </c>
    </row>
    <row r="4633">
      <c r="A4633" s="3">
        <v>5082.0</v>
      </c>
      <c r="B4633" s="4">
        <v>45361.02523148148</v>
      </c>
      <c r="C4633" s="3" t="s">
        <v>6</v>
      </c>
    </row>
    <row r="4634">
      <c r="A4634" s="3">
        <v>2311.0</v>
      </c>
      <c r="B4634" s="4">
        <v>45361.02670138889</v>
      </c>
      <c r="C4634" s="3" t="s">
        <v>6</v>
      </c>
    </row>
    <row r="4635">
      <c r="A4635" s="3">
        <v>4548.0</v>
      </c>
      <c r="B4635" s="4">
        <v>45361.039618055554</v>
      </c>
      <c r="C4635" s="3" t="s">
        <v>3</v>
      </c>
    </row>
    <row r="4636">
      <c r="A4636" s="3">
        <v>28.0</v>
      </c>
      <c r="B4636" s="4">
        <v>45361.07545138889</v>
      </c>
      <c r="C4636" s="3" t="s">
        <v>3</v>
      </c>
    </row>
    <row r="4637">
      <c r="A4637" s="3">
        <v>2895.0</v>
      </c>
      <c r="B4637" s="4">
        <v>45361.103738425925</v>
      </c>
      <c r="C4637" s="3" t="s">
        <v>5</v>
      </c>
    </row>
    <row r="4638">
      <c r="A4638" s="3">
        <v>447.0</v>
      </c>
      <c r="B4638" s="4">
        <v>45361.12642361111</v>
      </c>
      <c r="C4638" s="3" t="s">
        <v>3</v>
      </c>
    </row>
    <row r="4639">
      <c r="A4639" s="3">
        <v>7374.0</v>
      </c>
      <c r="B4639" s="4">
        <v>45361.13071759259</v>
      </c>
      <c r="C4639" s="3" t="s">
        <v>6</v>
      </c>
    </row>
    <row r="4640">
      <c r="A4640" s="3">
        <v>3568.0</v>
      </c>
      <c r="B4640" s="4">
        <v>45361.13726851852</v>
      </c>
      <c r="C4640" s="3" t="s">
        <v>4</v>
      </c>
    </row>
    <row r="4641">
      <c r="A4641" s="3">
        <v>5256.0</v>
      </c>
      <c r="B4641" s="4">
        <v>45361.14717592593</v>
      </c>
      <c r="C4641" s="3" t="s">
        <v>4</v>
      </c>
    </row>
    <row r="4642">
      <c r="A4642" s="3">
        <v>252.0</v>
      </c>
      <c r="B4642" s="4">
        <v>45361.15042824074</v>
      </c>
      <c r="C4642" s="3" t="s">
        <v>7</v>
      </c>
    </row>
    <row r="4643">
      <c r="A4643" s="3">
        <v>6785.0</v>
      </c>
      <c r="B4643" s="4">
        <v>45361.182962962965</v>
      </c>
      <c r="C4643" s="3" t="s">
        <v>3</v>
      </c>
    </row>
    <row r="4644">
      <c r="A4644" s="3">
        <v>7865.0</v>
      </c>
      <c r="B4644" s="4">
        <v>45361.18388888889</v>
      </c>
      <c r="C4644" s="3" t="s">
        <v>4</v>
      </c>
    </row>
    <row r="4645">
      <c r="A4645" s="3">
        <v>4267.0</v>
      </c>
      <c r="B4645" s="4">
        <v>45361.19834490741</v>
      </c>
      <c r="C4645" s="3" t="s">
        <v>6</v>
      </c>
    </row>
    <row r="4646">
      <c r="A4646" s="3">
        <v>6203.0</v>
      </c>
      <c r="B4646" s="4">
        <v>45361.205613425926</v>
      </c>
      <c r="C4646" s="3" t="s">
        <v>6</v>
      </c>
    </row>
    <row r="4647">
      <c r="A4647" s="3">
        <v>4317.0</v>
      </c>
      <c r="B4647" s="4">
        <v>45361.21586805556</v>
      </c>
      <c r="C4647" s="3" t="s">
        <v>5</v>
      </c>
    </row>
    <row r="4648">
      <c r="A4648" s="3">
        <v>385.0</v>
      </c>
      <c r="B4648" s="4">
        <v>45361.220046296294</v>
      </c>
      <c r="C4648" s="3" t="s">
        <v>3</v>
      </c>
    </row>
    <row r="4649">
      <c r="A4649" s="3">
        <v>6072.0</v>
      </c>
      <c r="B4649" s="4">
        <v>45361.23087962963</v>
      </c>
      <c r="C4649" s="3" t="s">
        <v>5</v>
      </c>
    </row>
    <row r="4650">
      <c r="A4650" s="3">
        <v>860.0</v>
      </c>
      <c r="B4650" s="4">
        <v>45361.2316087963</v>
      </c>
      <c r="C4650" s="3" t="s">
        <v>3</v>
      </c>
    </row>
    <row r="4651">
      <c r="A4651" s="3">
        <v>839.0</v>
      </c>
      <c r="B4651" s="4">
        <v>45361.23538194445</v>
      </c>
      <c r="C4651" s="3" t="s">
        <v>3</v>
      </c>
    </row>
    <row r="4652">
      <c r="A4652" s="3">
        <v>5877.0</v>
      </c>
      <c r="B4652" s="4">
        <v>45361.237349537034</v>
      </c>
      <c r="C4652" s="3" t="s">
        <v>7</v>
      </c>
    </row>
    <row r="4653">
      <c r="A4653" s="3">
        <v>4946.0</v>
      </c>
      <c r="B4653" s="4">
        <v>45361.24648148148</v>
      </c>
      <c r="C4653" s="3" t="s">
        <v>3</v>
      </c>
    </row>
    <row r="4654">
      <c r="A4654" s="3">
        <v>2007.0</v>
      </c>
      <c r="B4654" s="4">
        <v>45361.250706018516</v>
      </c>
      <c r="C4654" s="3" t="s">
        <v>3</v>
      </c>
    </row>
    <row r="4655">
      <c r="A4655" s="3">
        <v>3528.0</v>
      </c>
      <c r="B4655" s="4">
        <v>45361.253113425926</v>
      </c>
      <c r="C4655" s="3" t="s">
        <v>6</v>
      </c>
    </row>
    <row r="4656">
      <c r="A4656" s="3">
        <v>880.0</v>
      </c>
      <c r="B4656" s="4">
        <v>45361.26563657408</v>
      </c>
      <c r="C4656" s="3" t="s">
        <v>3</v>
      </c>
    </row>
    <row r="4657">
      <c r="A4657" s="3">
        <v>4483.0</v>
      </c>
      <c r="B4657" s="4">
        <v>45361.26893518519</v>
      </c>
      <c r="C4657" s="3" t="s">
        <v>6</v>
      </c>
    </row>
    <row r="4658">
      <c r="A4658" s="3">
        <v>982.0</v>
      </c>
      <c r="B4658" s="4">
        <v>45361.277349537035</v>
      </c>
      <c r="C4658" s="3" t="s">
        <v>3</v>
      </c>
    </row>
    <row r="4659">
      <c r="A4659" s="3">
        <v>4252.0</v>
      </c>
      <c r="B4659" s="4">
        <v>45361.31428240741</v>
      </c>
      <c r="C4659" s="3" t="s">
        <v>3</v>
      </c>
    </row>
    <row r="4660">
      <c r="A4660" s="3">
        <v>368.0</v>
      </c>
      <c r="B4660" s="4">
        <v>45361.32753472222</v>
      </c>
      <c r="C4660" s="3" t="s">
        <v>5</v>
      </c>
    </row>
    <row r="4661">
      <c r="A4661" s="3">
        <v>4215.0</v>
      </c>
      <c r="B4661" s="4">
        <v>45361.330659722225</v>
      </c>
      <c r="C4661" s="3" t="s">
        <v>3</v>
      </c>
    </row>
    <row r="4662">
      <c r="A4662" s="3">
        <v>2808.0</v>
      </c>
      <c r="B4662" s="4">
        <v>45361.347349537034</v>
      </c>
      <c r="C4662" s="3" t="s">
        <v>3</v>
      </c>
    </row>
    <row r="4663">
      <c r="A4663" s="3">
        <v>2630.0</v>
      </c>
      <c r="B4663" s="4">
        <v>45361.35706018518</v>
      </c>
      <c r="C4663" s="3" t="s">
        <v>5</v>
      </c>
    </row>
    <row r="4664">
      <c r="A4664" s="3">
        <v>7829.0</v>
      </c>
      <c r="B4664" s="4">
        <v>45361.37568287037</v>
      </c>
      <c r="C4664" s="3" t="s">
        <v>4</v>
      </c>
    </row>
    <row r="4665">
      <c r="A4665" s="3">
        <v>4987.0</v>
      </c>
      <c r="B4665" s="4">
        <v>45361.409004629626</v>
      </c>
      <c r="C4665" s="3" t="s">
        <v>4</v>
      </c>
    </row>
    <row r="4666">
      <c r="A4666" s="3">
        <v>6429.0</v>
      </c>
      <c r="B4666" s="4">
        <v>45361.427939814814</v>
      </c>
      <c r="C4666" s="3" t="s">
        <v>5</v>
      </c>
    </row>
    <row r="4667">
      <c r="A4667" s="3">
        <v>385.0</v>
      </c>
      <c r="B4667" s="4">
        <v>45361.43376157407</v>
      </c>
      <c r="C4667" s="3" t="s">
        <v>4</v>
      </c>
    </row>
    <row r="4668">
      <c r="A4668" s="3">
        <v>7864.0</v>
      </c>
      <c r="B4668" s="4">
        <v>45361.45732638889</v>
      </c>
      <c r="C4668" s="3" t="s">
        <v>7</v>
      </c>
    </row>
    <row r="4669">
      <c r="A4669" s="3">
        <v>982.0</v>
      </c>
      <c r="B4669" s="4">
        <v>45361.463321759256</v>
      </c>
      <c r="C4669" s="3" t="s">
        <v>4</v>
      </c>
    </row>
    <row r="4670">
      <c r="A4670" s="3">
        <v>2490.0</v>
      </c>
      <c r="B4670" s="4">
        <v>45361.473449074074</v>
      </c>
      <c r="C4670" s="3" t="s">
        <v>3</v>
      </c>
    </row>
    <row r="4671">
      <c r="A4671" s="3">
        <v>1670.0</v>
      </c>
      <c r="B4671" s="4">
        <v>45361.47972222222</v>
      </c>
      <c r="C4671" s="3" t="s">
        <v>6</v>
      </c>
    </row>
    <row r="4672">
      <c r="A4672" s="3">
        <v>1707.0</v>
      </c>
      <c r="B4672" s="4">
        <v>45361.49354166666</v>
      </c>
      <c r="C4672" s="3" t="s">
        <v>5</v>
      </c>
    </row>
    <row r="4673">
      <c r="A4673" s="3">
        <v>5013.0</v>
      </c>
      <c r="B4673" s="4">
        <v>45361.51424768518</v>
      </c>
      <c r="C4673" s="3" t="s">
        <v>3</v>
      </c>
    </row>
    <row r="4674">
      <c r="A4674" s="3">
        <v>3871.0</v>
      </c>
      <c r="B4674" s="4">
        <v>45361.5209375</v>
      </c>
      <c r="C4674" s="3" t="s">
        <v>6</v>
      </c>
    </row>
    <row r="4675">
      <c r="A4675" s="3">
        <v>3290.0</v>
      </c>
      <c r="B4675" s="4">
        <v>45361.54761574074</v>
      </c>
      <c r="C4675" s="3" t="s">
        <v>3</v>
      </c>
    </row>
    <row r="4676">
      <c r="A4676" s="3">
        <v>3962.0</v>
      </c>
      <c r="B4676" s="4">
        <v>45361.552453703705</v>
      </c>
      <c r="C4676" s="3" t="s">
        <v>5</v>
      </c>
    </row>
    <row r="4677">
      <c r="A4677" s="3">
        <v>4420.0</v>
      </c>
      <c r="B4677" s="4">
        <v>45361.55787037037</v>
      </c>
      <c r="C4677" s="3" t="s">
        <v>4</v>
      </c>
    </row>
    <row r="4678">
      <c r="A4678" s="3">
        <v>5013.0</v>
      </c>
      <c r="B4678" s="4">
        <v>45361.5846875</v>
      </c>
      <c r="C4678" s="3" t="s">
        <v>4</v>
      </c>
    </row>
    <row r="4679">
      <c r="A4679" s="3">
        <v>3290.0</v>
      </c>
      <c r="B4679" s="4">
        <v>45361.61454861111</v>
      </c>
      <c r="C4679" s="3" t="s">
        <v>4</v>
      </c>
    </row>
    <row r="4680">
      <c r="A4680" s="3">
        <v>184.0</v>
      </c>
      <c r="B4680" s="4">
        <v>45361.61959490741</v>
      </c>
      <c r="C4680" s="3" t="s">
        <v>3</v>
      </c>
    </row>
    <row r="4681">
      <c r="A4681" s="3">
        <v>4317.0</v>
      </c>
      <c r="B4681" s="4">
        <v>45361.62297453704</v>
      </c>
      <c r="C4681" s="3" t="s">
        <v>4</v>
      </c>
    </row>
    <row r="4682">
      <c r="A4682" s="3">
        <v>4799.0</v>
      </c>
      <c r="B4682" s="4">
        <v>45361.64293981482</v>
      </c>
      <c r="C4682" s="3" t="s">
        <v>4</v>
      </c>
    </row>
    <row r="4683">
      <c r="A4683" s="3">
        <v>4317.0</v>
      </c>
      <c r="B4683" s="4">
        <v>45361.64362268519</v>
      </c>
      <c r="C4683" s="3" t="s">
        <v>7</v>
      </c>
    </row>
    <row r="4684">
      <c r="A4684" s="3">
        <v>6671.0</v>
      </c>
      <c r="B4684" s="4">
        <v>45361.67003472222</v>
      </c>
      <c r="C4684" s="3" t="s">
        <v>6</v>
      </c>
    </row>
    <row r="4685">
      <c r="A4685" s="3">
        <v>322.0</v>
      </c>
      <c r="B4685" s="4">
        <v>45361.67805555555</v>
      </c>
      <c r="C4685" s="3" t="s">
        <v>3</v>
      </c>
    </row>
    <row r="4686">
      <c r="A4686" s="3">
        <v>5008.0</v>
      </c>
      <c r="B4686" s="4">
        <v>45361.70006944444</v>
      </c>
      <c r="C4686" s="3" t="s">
        <v>6</v>
      </c>
    </row>
    <row r="4687">
      <c r="A4687" s="3">
        <v>4650.0</v>
      </c>
      <c r="B4687" s="4">
        <v>45361.701689814814</v>
      </c>
      <c r="C4687" s="3" t="s">
        <v>6</v>
      </c>
    </row>
    <row r="4688">
      <c r="A4688" s="3">
        <v>1812.0</v>
      </c>
      <c r="B4688" s="4">
        <v>45361.705972222226</v>
      </c>
      <c r="C4688" s="3" t="s">
        <v>3</v>
      </c>
    </row>
    <row r="4689">
      <c r="A4689" s="3">
        <v>5258.0</v>
      </c>
      <c r="B4689" s="4">
        <v>45361.71554398148</v>
      </c>
      <c r="C4689" s="3" t="s">
        <v>4</v>
      </c>
    </row>
    <row r="4690">
      <c r="A4690" s="3">
        <v>2303.0</v>
      </c>
      <c r="B4690" s="4">
        <v>45361.7171875</v>
      </c>
      <c r="C4690" s="3" t="s">
        <v>6</v>
      </c>
    </row>
    <row r="4691">
      <c r="A4691" s="3">
        <v>5586.0</v>
      </c>
      <c r="B4691" s="4">
        <v>45361.72238425926</v>
      </c>
      <c r="C4691" s="3" t="s">
        <v>3</v>
      </c>
    </row>
    <row r="4692">
      <c r="A4692" s="3">
        <v>1812.0</v>
      </c>
      <c r="B4692" s="4">
        <v>45361.75366898148</v>
      </c>
      <c r="C4692" s="3" t="s">
        <v>5</v>
      </c>
    </row>
    <row r="4693">
      <c r="A4693" s="3">
        <v>3783.0</v>
      </c>
      <c r="B4693" s="4">
        <v>45361.77887731481</v>
      </c>
      <c r="C4693" s="3" t="s">
        <v>6</v>
      </c>
    </row>
    <row r="4694">
      <c r="A4694" s="3">
        <v>2636.0</v>
      </c>
      <c r="B4694" s="4">
        <v>45361.78643518518</v>
      </c>
      <c r="C4694" s="3" t="s">
        <v>3</v>
      </c>
    </row>
    <row r="4695">
      <c r="A4695" s="3">
        <v>1670.0</v>
      </c>
      <c r="B4695" s="4">
        <v>45361.79574074074</v>
      </c>
      <c r="C4695" s="3" t="s">
        <v>4</v>
      </c>
    </row>
    <row r="4696">
      <c r="A4696" s="3">
        <v>6475.0</v>
      </c>
      <c r="B4696" s="4">
        <v>45361.806666666664</v>
      </c>
      <c r="C4696" s="3" t="s">
        <v>6</v>
      </c>
    </row>
    <row r="4697">
      <c r="A4697" s="3">
        <v>4356.0</v>
      </c>
      <c r="B4697" s="4">
        <v>45361.80755787037</v>
      </c>
      <c r="C4697" s="3" t="s">
        <v>3</v>
      </c>
    </row>
    <row r="4698">
      <c r="A4698" s="3">
        <v>6455.0</v>
      </c>
      <c r="B4698" s="4">
        <v>45361.80918981481</v>
      </c>
      <c r="C4698" s="3" t="s">
        <v>3</v>
      </c>
    </row>
    <row r="4699">
      <c r="A4699" s="3">
        <v>6772.0</v>
      </c>
      <c r="B4699" s="4">
        <v>45361.82640046296</v>
      </c>
      <c r="C4699" s="3" t="s">
        <v>6</v>
      </c>
    </row>
    <row r="4700">
      <c r="A4700" s="3">
        <v>6153.0</v>
      </c>
      <c r="B4700" s="4">
        <v>45361.82886574074</v>
      </c>
      <c r="C4700" s="3" t="s">
        <v>3</v>
      </c>
    </row>
    <row r="4701">
      <c r="A4701" s="3">
        <v>28.0</v>
      </c>
      <c r="B4701" s="4">
        <v>45361.85494212963</v>
      </c>
      <c r="C4701" s="3" t="s">
        <v>4</v>
      </c>
    </row>
    <row r="4702">
      <c r="A4702" s="3">
        <v>1468.0</v>
      </c>
      <c r="B4702" s="4">
        <v>45361.860034722224</v>
      </c>
      <c r="C4702" s="3" t="s">
        <v>4</v>
      </c>
    </row>
    <row r="4703">
      <c r="A4703" s="3">
        <v>183.0</v>
      </c>
      <c r="B4703" s="4">
        <v>45361.88931712963</v>
      </c>
      <c r="C4703" s="3" t="s">
        <v>3</v>
      </c>
    </row>
    <row r="4704">
      <c r="A4704" s="3">
        <v>3568.0</v>
      </c>
      <c r="B4704" s="4">
        <v>45361.907314814816</v>
      </c>
      <c r="C4704" s="3" t="s">
        <v>5</v>
      </c>
    </row>
    <row r="4705">
      <c r="A4705" s="3">
        <v>1926.0</v>
      </c>
      <c r="B4705" s="4">
        <v>45361.92533564815</v>
      </c>
      <c r="C4705" s="3" t="s">
        <v>3</v>
      </c>
    </row>
    <row r="4706">
      <c r="A4706" s="3">
        <v>7829.0</v>
      </c>
      <c r="B4706" s="4">
        <v>45361.92537037037</v>
      </c>
      <c r="C4706" s="3" t="s">
        <v>3</v>
      </c>
    </row>
    <row r="4707">
      <c r="A4707" s="3">
        <v>4405.0</v>
      </c>
      <c r="B4707" s="4">
        <v>45361.92833333334</v>
      </c>
      <c r="C4707" s="3" t="s">
        <v>7</v>
      </c>
    </row>
    <row r="4708">
      <c r="A4708" s="3">
        <v>4420.0</v>
      </c>
      <c r="B4708" s="4">
        <v>45361.939722222225</v>
      </c>
      <c r="C4708" s="3" t="s">
        <v>3</v>
      </c>
    </row>
    <row r="4709">
      <c r="A4709" s="3">
        <v>4596.0</v>
      </c>
      <c r="B4709" s="4">
        <v>45361.94357638889</v>
      </c>
      <c r="C4709" s="3" t="s">
        <v>3</v>
      </c>
    </row>
    <row r="4710">
      <c r="A4710" s="3">
        <v>2895.0</v>
      </c>
      <c r="B4710" s="4">
        <v>45361.95355324074</v>
      </c>
      <c r="C4710" s="3" t="s">
        <v>6</v>
      </c>
    </row>
    <row r="4711">
      <c r="A4711" s="3">
        <v>5311.0</v>
      </c>
      <c r="B4711" s="4">
        <v>45361.956145833334</v>
      </c>
      <c r="C4711" s="3" t="s">
        <v>4</v>
      </c>
    </row>
    <row r="4712">
      <c r="A4712" s="3">
        <v>2532.0</v>
      </c>
      <c r="B4712" s="4">
        <v>45361.972962962966</v>
      </c>
      <c r="C4712" s="3" t="s">
        <v>6</v>
      </c>
    </row>
    <row r="4713">
      <c r="A4713" s="3">
        <v>1812.0</v>
      </c>
      <c r="B4713" s="4">
        <v>45362.00875</v>
      </c>
      <c r="C4713" s="3" t="s">
        <v>6</v>
      </c>
    </row>
    <row r="4714">
      <c r="A4714" s="3">
        <v>4946.0</v>
      </c>
      <c r="B4714" s="4">
        <v>45362.01068287037</v>
      </c>
      <c r="C4714" s="3" t="s">
        <v>4</v>
      </c>
    </row>
    <row r="4715">
      <c r="A4715" s="3">
        <v>252.0</v>
      </c>
      <c r="B4715" s="4">
        <v>45362.04954861111</v>
      </c>
      <c r="C4715" s="3" t="s">
        <v>5</v>
      </c>
    </row>
    <row r="4716">
      <c r="A4716" s="3">
        <v>3933.0</v>
      </c>
      <c r="B4716" s="4">
        <v>45362.06700231481</v>
      </c>
      <c r="C4716" s="3" t="s">
        <v>4</v>
      </c>
    </row>
    <row r="4717">
      <c r="A4717" s="3">
        <v>3621.0</v>
      </c>
      <c r="B4717" s="4">
        <v>45362.06898148148</v>
      </c>
      <c r="C4717" s="3" t="s">
        <v>5</v>
      </c>
    </row>
    <row r="4718">
      <c r="A4718" s="3">
        <v>5296.0</v>
      </c>
      <c r="B4718" s="4">
        <v>45362.08725694445</v>
      </c>
      <c r="C4718" s="3" t="s">
        <v>3</v>
      </c>
    </row>
    <row r="4719">
      <c r="A4719" s="3">
        <v>812.0</v>
      </c>
      <c r="B4719" s="4">
        <v>45362.091412037036</v>
      </c>
      <c r="C4719" s="3" t="s">
        <v>6</v>
      </c>
    </row>
    <row r="4720">
      <c r="A4720" s="3">
        <v>4496.0</v>
      </c>
      <c r="B4720" s="4">
        <v>45362.09354166667</v>
      </c>
      <c r="C4720" s="3" t="s">
        <v>3</v>
      </c>
    </row>
    <row r="4721">
      <c r="A4721" s="3">
        <v>7874.0</v>
      </c>
      <c r="B4721" s="4">
        <v>45362.09457175926</v>
      </c>
      <c r="C4721" s="3" t="s">
        <v>6</v>
      </c>
    </row>
    <row r="4722">
      <c r="A4722" s="3">
        <v>7946.0</v>
      </c>
      <c r="B4722" s="4">
        <v>45362.10364583333</v>
      </c>
      <c r="C4722" s="3" t="s">
        <v>3</v>
      </c>
    </row>
    <row r="4723">
      <c r="A4723" s="3">
        <v>2928.0</v>
      </c>
      <c r="B4723" s="4">
        <v>45362.111134259256</v>
      </c>
      <c r="C4723" s="3" t="s">
        <v>4</v>
      </c>
    </row>
    <row r="4724">
      <c r="A4724" s="3">
        <v>5495.0</v>
      </c>
      <c r="B4724" s="4">
        <v>45362.13945601852</v>
      </c>
      <c r="C4724" s="3" t="s">
        <v>3</v>
      </c>
    </row>
    <row r="4725">
      <c r="A4725" s="3">
        <v>2928.0</v>
      </c>
      <c r="B4725" s="4">
        <v>45362.15347222222</v>
      </c>
      <c r="C4725" s="3" t="s">
        <v>3</v>
      </c>
    </row>
    <row r="4726">
      <c r="A4726" s="3">
        <v>6072.0</v>
      </c>
      <c r="B4726" s="4">
        <v>45362.16315972222</v>
      </c>
      <c r="C4726" s="3" t="s">
        <v>6</v>
      </c>
    </row>
    <row r="4727">
      <c r="A4727" s="3">
        <v>6455.0</v>
      </c>
      <c r="B4727" s="4">
        <v>45362.16358796296</v>
      </c>
      <c r="C4727" s="3" t="s">
        <v>4</v>
      </c>
    </row>
    <row r="4728">
      <c r="A4728" s="3">
        <v>2808.0</v>
      </c>
      <c r="B4728" s="4">
        <v>45362.17018518518</v>
      </c>
      <c r="C4728" s="3" t="s">
        <v>5</v>
      </c>
    </row>
    <row r="4729">
      <c r="A4729" s="3">
        <v>433.0</v>
      </c>
      <c r="B4729" s="4">
        <v>45362.19107638889</v>
      </c>
      <c r="C4729" s="3" t="s">
        <v>3</v>
      </c>
    </row>
    <row r="4730">
      <c r="A4730" s="3">
        <v>3124.0</v>
      </c>
      <c r="B4730" s="4">
        <v>45362.20670138889</v>
      </c>
      <c r="C4730" s="3" t="s">
        <v>3</v>
      </c>
    </row>
    <row r="4731">
      <c r="A4731" s="3">
        <v>2928.0</v>
      </c>
      <c r="B4731" s="4">
        <v>45362.20827546297</v>
      </c>
      <c r="C4731" s="3" t="s">
        <v>5</v>
      </c>
    </row>
    <row r="4732">
      <c r="A4732" s="3">
        <v>6796.0</v>
      </c>
      <c r="B4732" s="4">
        <v>45362.22005787037</v>
      </c>
      <c r="C4732" s="3" t="s">
        <v>4</v>
      </c>
    </row>
    <row r="4733">
      <c r="A4733" s="3">
        <v>5586.0</v>
      </c>
      <c r="B4733" s="4">
        <v>45362.22467592593</v>
      </c>
      <c r="C4733" s="3" t="s">
        <v>4</v>
      </c>
    </row>
    <row r="4734">
      <c r="A4734" s="3">
        <v>3621.0</v>
      </c>
      <c r="B4734" s="4">
        <v>45362.22728009259</v>
      </c>
      <c r="C4734" s="3" t="s">
        <v>4</v>
      </c>
    </row>
    <row r="4735">
      <c r="A4735" s="3">
        <v>3621.0</v>
      </c>
      <c r="B4735" s="4">
        <v>45362.23123842593</v>
      </c>
      <c r="C4735" s="3" t="s">
        <v>3</v>
      </c>
    </row>
    <row r="4736">
      <c r="A4736" s="3">
        <v>2860.0</v>
      </c>
      <c r="B4736" s="4">
        <v>45362.24190972222</v>
      </c>
      <c r="C4736" s="3" t="s">
        <v>3</v>
      </c>
    </row>
    <row r="4737">
      <c r="A4737" s="3">
        <v>5062.0</v>
      </c>
      <c r="B4737" s="4">
        <v>45362.24873842593</v>
      </c>
      <c r="C4737" s="3" t="s">
        <v>3</v>
      </c>
    </row>
    <row r="4738">
      <c r="A4738" s="3">
        <v>4405.0</v>
      </c>
      <c r="B4738" s="4">
        <v>45362.25171296296</v>
      </c>
      <c r="C4738" s="3" t="s">
        <v>4</v>
      </c>
    </row>
    <row r="4739">
      <c r="A4739" s="3">
        <v>5460.0</v>
      </c>
      <c r="B4739" s="4">
        <v>45362.25342592593</v>
      </c>
      <c r="C4739" s="3" t="s">
        <v>5</v>
      </c>
    </row>
    <row r="4740">
      <c r="A4740" s="3">
        <v>6063.0</v>
      </c>
      <c r="B4740" s="4">
        <v>45362.255590277775</v>
      </c>
      <c r="C4740" s="3" t="s">
        <v>4</v>
      </c>
    </row>
    <row r="4741">
      <c r="A4741" s="3">
        <v>1812.0</v>
      </c>
      <c r="B4741" s="4">
        <v>45362.255833333336</v>
      </c>
      <c r="C4741" s="3" t="s">
        <v>4</v>
      </c>
    </row>
    <row r="4742">
      <c r="A4742" s="3">
        <v>4252.0</v>
      </c>
      <c r="B4742" s="4">
        <v>45362.2815162037</v>
      </c>
      <c r="C4742" s="3" t="s">
        <v>4</v>
      </c>
    </row>
    <row r="4743">
      <c r="A4743" s="3">
        <v>1402.0</v>
      </c>
      <c r="B4743" s="4">
        <v>45362.29351851852</v>
      </c>
      <c r="C4743" s="3" t="s">
        <v>4</v>
      </c>
    </row>
    <row r="4744">
      <c r="A4744" s="3">
        <v>3456.0</v>
      </c>
      <c r="B4744" s="4">
        <v>45362.31550925926</v>
      </c>
      <c r="C4744" s="3" t="s">
        <v>6</v>
      </c>
    </row>
    <row r="4745">
      <c r="A4745" s="3">
        <v>2808.0</v>
      </c>
      <c r="B4745" s="4">
        <v>45362.32989583333</v>
      </c>
      <c r="C4745" s="3" t="s">
        <v>4</v>
      </c>
    </row>
    <row r="4746">
      <c r="A4746" s="3">
        <v>7480.0</v>
      </c>
      <c r="B4746" s="4">
        <v>45362.35170138889</v>
      </c>
      <c r="C4746" s="3" t="s">
        <v>6</v>
      </c>
    </row>
    <row r="4747">
      <c r="A4747" s="3">
        <v>2488.0</v>
      </c>
      <c r="B4747" s="4">
        <v>45362.36069444445</v>
      </c>
      <c r="C4747" s="3" t="s">
        <v>3</v>
      </c>
    </row>
    <row r="4748">
      <c r="A4748" s="3">
        <v>5995.0</v>
      </c>
      <c r="B4748" s="4">
        <v>45362.37331018518</v>
      </c>
      <c r="C4748" s="3" t="s">
        <v>3</v>
      </c>
    </row>
    <row r="4749">
      <c r="A4749" s="3">
        <v>986.0</v>
      </c>
      <c r="B4749" s="4">
        <v>45362.398622685185</v>
      </c>
      <c r="C4749" s="3" t="s">
        <v>3</v>
      </c>
    </row>
    <row r="4750">
      <c r="A4750" s="3">
        <v>7374.0</v>
      </c>
      <c r="B4750" s="4">
        <v>45362.40137731482</v>
      </c>
      <c r="C4750" s="3" t="s">
        <v>5</v>
      </c>
    </row>
    <row r="4751">
      <c r="A4751" s="3">
        <v>2499.0</v>
      </c>
      <c r="B4751" s="4">
        <v>45362.42616898148</v>
      </c>
      <c r="C4751" s="3" t="s">
        <v>3</v>
      </c>
    </row>
    <row r="4752">
      <c r="A4752" s="3">
        <v>3382.0</v>
      </c>
      <c r="B4752" s="4">
        <v>45362.431608796294</v>
      </c>
      <c r="C4752" s="3" t="s">
        <v>3</v>
      </c>
    </row>
    <row r="4753">
      <c r="A4753" s="3">
        <v>6788.0</v>
      </c>
      <c r="B4753" s="4">
        <v>45362.46953703704</v>
      </c>
      <c r="C4753" s="3" t="s">
        <v>6</v>
      </c>
    </row>
    <row r="4754">
      <c r="A4754" s="3">
        <v>6785.0</v>
      </c>
      <c r="B4754" s="4">
        <v>45362.47295138889</v>
      </c>
      <c r="C4754" s="3" t="s">
        <v>4</v>
      </c>
    </row>
    <row r="4755">
      <c r="A4755" s="3">
        <v>6919.0</v>
      </c>
      <c r="B4755" s="4">
        <v>45362.477800925924</v>
      </c>
      <c r="C4755" s="3" t="s">
        <v>6</v>
      </c>
    </row>
    <row r="4756">
      <c r="A4756" s="3">
        <v>3933.0</v>
      </c>
      <c r="B4756" s="4">
        <v>45362.50167824074</v>
      </c>
      <c r="C4756" s="3" t="s">
        <v>5</v>
      </c>
    </row>
    <row r="4757">
      <c r="A4757" s="3">
        <v>322.0</v>
      </c>
      <c r="B4757" s="4">
        <v>45362.51126157407</v>
      </c>
      <c r="C4757" s="3" t="s">
        <v>4</v>
      </c>
    </row>
    <row r="4758">
      <c r="A4758" s="3">
        <v>2174.0</v>
      </c>
      <c r="B4758" s="4">
        <v>45362.51247685185</v>
      </c>
      <c r="C4758" s="3" t="s">
        <v>6</v>
      </c>
    </row>
    <row r="4759">
      <c r="A4759" s="3">
        <v>4946.0</v>
      </c>
      <c r="B4759" s="4">
        <v>45362.53207175926</v>
      </c>
      <c r="C4759" s="3" t="s">
        <v>5</v>
      </c>
    </row>
    <row r="4760">
      <c r="A4760" s="3">
        <v>3456.0</v>
      </c>
      <c r="B4760" s="4">
        <v>45362.560277777775</v>
      </c>
      <c r="C4760" s="3" t="s">
        <v>5</v>
      </c>
    </row>
    <row r="4761">
      <c r="A4761" s="3">
        <v>6063.0</v>
      </c>
      <c r="B4761" s="4">
        <v>45362.5672337963</v>
      </c>
      <c r="C4761" s="3" t="s">
        <v>3</v>
      </c>
    </row>
    <row r="4762">
      <c r="A4762" s="3">
        <v>5258.0</v>
      </c>
      <c r="B4762" s="4">
        <v>45362.596400462964</v>
      </c>
      <c r="C4762" s="3" t="s">
        <v>5</v>
      </c>
    </row>
    <row r="4763">
      <c r="A4763" s="3">
        <v>2808.0</v>
      </c>
      <c r="B4763" s="4">
        <v>45362.60828703704</v>
      </c>
      <c r="C4763" s="3" t="s">
        <v>7</v>
      </c>
    </row>
    <row r="4764">
      <c r="A4764" s="3">
        <v>3466.0</v>
      </c>
      <c r="B4764" s="4">
        <v>45362.609305555554</v>
      </c>
      <c r="C4764" s="3" t="s">
        <v>3</v>
      </c>
    </row>
    <row r="4765">
      <c r="A4765" s="3">
        <v>2824.0</v>
      </c>
      <c r="B4765" s="4">
        <v>45362.641493055555</v>
      </c>
      <c r="C4765" s="3" t="s">
        <v>3</v>
      </c>
    </row>
    <row r="4766">
      <c r="A4766" s="3">
        <v>5657.0</v>
      </c>
      <c r="B4766" s="4">
        <v>45362.65210648148</v>
      </c>
      <c r="C4766" s="3" t="s">
        <v>3</v>
      </c>
    </row>
    <row r="4767">
      <c r="A4767" s="3">
        <v>7946.0</v>
      </c>
      <c r="B4767" s="4">
        <v>45362.65681712963</v>
      </c>
      <c r="C4767" s="3" t="s">
        <v>5</v>
      </c>
    </row>
    <row r="4768">
      <c r="A4768" s="3">
        <v>6247.0</v>
      </c>
      <c r="B4768" s="4">
        <v>45362.65893518519</v>
      </c>
      <c r="C4768" s="3" t="s">
        <v>7</v>
      </c>
    </row>
    <row r="4769">
      <c r="A4769" s="3">
        <v>2630.0</v>
      </c>
      <c r="B4769" s="4">
        <v>45362.673796296294</v>
      </c>
      <c r="C4769" s="3" t="s">
        <v>6</v>
      </c>
    </row>
    <row r="4770">
      <c r="A4770" s="3">
        <v>7710.0</v>
      </c>
      <c r="B4770" s="4">
        <v>45362.67513888889</v>
      </c>
      <c r="C4770" s="3" t="s">
        <v>7</v>
      </c>
    </row>
    <row r="4771">
      <c r="A4771" s="3">
        <v>3685.0</v>
      </c>
      <c r="B4771" s="4">
        <v>45362.70693287037</v>
      </c>
      <c r="C4771" s="3" t="s">
        <v>3</v>
      </c>
    </row>
    <row r="4772">
      <c r="A4772" s="3">
        <v>4252.0</v>
      </c>
      <c r="B4772" s="4">
        <v>45362.74518518519</v>
      </c>
      <c r="C4772" s="3" t="s">
        <v>5</v>
      </c>
    </row>
    <row r="4773">
      <c r="A4773" s="3">
        <v>6574.0</v>
      </c>
      <c r="B4773" s="4">
        <v>45362.74554398148</v>
      </c>
      <c r="C4773" s="3" t="s">
        <v>6</v>
      </c>
    </row>
    <row r="4774">
      <c r="A4774" s="3">
        <v>4451.0</v>
      </c>
      <c r="B4774" s="4">
        <v>45362.761087962965</v>
      </c>
      <c r="C4774" s="3" t="s">
        <v>7</v>
      </c>
    </row>
    <row r="4775">
      <c r="A4775" s="3">
        <v>3863.0</v>
      </c>
      <c r="B4775" s="4">
        <v>45362.791712962964</v>
      </c>
      <c r="C4775" s="3" t="s">
        <v>4</v>
      </c>
    </row>
    <row r="4776">
      <c r="A4776" s="3">
        <v>3973.0</v>
      </c>
      <c r="B4776" s="4">
        <v>45362.82710648148</v>
      </c>
      <c r="C4776" s="3" t="s">
        <v>3</v>
      </c>
    </row>
    <row r="4777">
      <c r="A4777" s="3">
        <v>4088.0</v>
      </c>
      <c r="B4777" s="4">
        <v>45362.82740740741</v>
      </c>
      <c r="C4777" s="3" t="s">
        <v>4</v>
      </c>
    </row>
    <row r="4778">
      <c r="A4778" s="3">
        <v>4831.0</v>
      </c>
      <c r="B4778" s="4">
        <v>45362.90487268518</v>
      </c>
      <c r="C4778" s="3" t="s">
        <v>3</v>
      </c>
    </row>
    <row r="4779">
      <c r="A4779" s="3">
        <v>4483.0</v>
      </c>
      <c r="B4779" s="4">
        <v>45362.9075</v>
      </c>
      <c r="C4779" s="3" t="s">
        <v>5</v>
      </c>
    </row>
    <row r="4780">
      <c r="A4780" s="3">
        <v>260.0</v>
      </c>
      <c r="B4780" s="4">
        <v>45362.91925925926</v>
      </c>
      <c r="C4780" s="3" t="s">
        <v>3</v>
      </c>
    </row>
    <row r="4781">
      <c r="A4781" s="3">
        <v>5775.0</v>
      </c>
      <c r="B4781" s="4">
        <v>45362.968356481484</v>
      </c>
      <c r="C4781" s="3" t="s">
        <v>5</v>
      </c>
    </row>
    <row r="4782">
      <c r="A4782" s="3">
        <v>5013.0</v>
      </c>
      <c r="B4782" s="4">
        <v>45362.9759375</v>
      </c>
      <c r="C4782" s="3" t="s">
        <v>6</v>
      </c>
    </row>
    <row r="4783">
      <c r="A4783" s="3">
        <v>1415.0</v>
      </c>
      <c r="B4783" s="4">
        <v>45362.97603009259</v>
      </c>
      <c r="C4783" s="3" t="s">
        <v>3</v>
      </c>
    </row>
    <row r="4784">
      <c r="A4784" s="3">
        <v>6796.0</v>
      </c>
      <c r="B4784" s="4">
        <v>45362.98553240741</v>
      </c>
      <c r="C4784" s="3" t="s">
        <v>3</v>
      </c>
    </row>
    <row r="4785">
      <c r="A4785" s="3">
        <v>57.0</v>
      </c>
      <c r="B4785" s="4">
        <v>45363.04729166667</v>
      </c>
      <c r="C4785" s="3" t="s">
        <v>3</v>
      </c>
    </row>
    <row r="4786">
      <c r="A4786" s="3">
        <v>4596.0</v>
      </c>
      <c r="B4786" s="4">
        <v>45363.05045138889</v>
      </c>
      <c r="C4786" s="3" t="s">
        <v>4</v>
      </c>
    </row>
    <row r="4787">
      <c r="A4787" s="3">
        <v>354.0</v>
      </c>
      <c r="B4787" s="4">
        <v>45363.05633101852</v>
      </c>
      <c r="C4787" s="3" t="s">
        <v>6</v>
      </c>
    </row>
    <row r="4788">
      <c r="A4788" s="3">
        <v>5369.0</v>
      </c>
      <c r="B4788" s="4">
        <v>45363.06903935185</v>
      </c>
      <c r="C4788" s="3" t="s">
        <v>3</v>
      </c>
    </row>
    <row r="4789">
      <c r="A4789" s="3">
        <v>322.0</v>
      </c>
      <c r="B4789" s="4">
        <v>45363.084340277775</v>
      </c>
      <c r="C4789" s="3" t="s">
        <v>5</v>
      </c>
    </row>
    <row r="4790">
      <c r="A4790" s="3">
        <v>752.0</v>
      </c>
      <c r="B4790" s="4">
        <v>45363.10086805555</v>
      </c>
      <c r="C4790" s="3" t="s">
        <v>7</v>
      </c>
    </row>
    <row r="4791">
      <c r="A4791" s="3">
        <v>1353.0</v>
      </c>
      <c r="B4791" s="4">
        <v>45363.11313657407</v>
      </c>
      <c r="C4791" s="3" t="s">
        <v>6</v>
      </c>
    </row>
    <row r="4792">
      <c r="A4792" s="3">
        <v>6698.0</v>
      </c>
      <c r="B4792" s="4">
        <v>45363.12076388889</v>
      </c>
      <c r="C4792" s="3" t="s">
        <v>3</v>
      </c>
    </row>
    <row r="4793">
      <c r="A4793" s="3">
        <v>2490.0</v>
      </c>
      <c r="B4793" s="4">
        <v>45363.14875</v>
      </c>
      <c r="C4793" s="3" t="s">
        <v>4</v>
      </c>
    </row>
    <row r="4794">
      <c r="A4794" s="3">
        <v>1415.0</v>
      </c>
      <c r="B4794" s="4">
        <v>45363.169652777775</v>
      </c>
      <c r="C4794" s="3" t="s">
        <v>4</v>
      </c>
    </row>
    <row r="4795">
      <c r="A4795" s="3">
        <v>6050.0</v>
      </c>
      <c r="B4795" s="4">
        <v>45363.20949074074</v>
      </c>
      <c r="C4795" s="3" t="s">
        <v>6</v>
      </c>
    </row>
    <row r="4796">
      <c r="A4796" s="3">
        <v>4900.0</v>
      </c>
      <c r="B4796" s="4">
        <v>45363.22075231482</v>
      </c>
      <c r="C4796" s="3" t="s">
        <v>3</v>
      </c>
    </row>
    <row r="4797">
      <c r="A4797" s="3">
        <v>2450.0</v>
      </c>
      <c r="B4797" s="4">
        <v>45363.240219907406</v>
      </c>
      <c r="C4797" s="3" t="s">
        <v>3</v>
      </c>
    </row>
    <row r="4798">
      <c r="A4798" s="3">
        <v>368.0</v>
      </c>
      <c r="B4798" s="4">
        <v>45363.246770833335</v>
      </c>
      <c r="C4798" s="3" t="s">
        <v>7</v>
      </c>
    </row>
    <row r="4799">
      <c r="A4799" s="3">
        <v>4314.0</v>
      </c>
      <c r="B4799" s="4">
        <v>45363.24851851852</v>
      </c>
      <c r="C4799" s="3" t="s">
        <v>5</v>
      </c>
    </row>
    <row r="4800">
      <c r="A4800" s="3">
        <v>3215.0</v>
      </c>
      <c r="B4800" s="4">
        <v>45363.249548611115</v>
      </c>
      <c r="C4800" s="3" t="s">
        <v>3</v>
      </c>
    </row>
    <row r="4801">
      <c r="A4801" s="3">
        <v>5775.0</v>
      </c>
      <c r="B4801" s="4">
        <v>45363.26488425926</v>
      </c>
      <c r="C4801" s="3" t="s">
        <v>7</v>
      </c>
    </row>
    <row r="4802">
      <c r="A4802" s="3">
        <v>5258.0</v>
      </c>
      <c r="B4802" s="4">
        <v>45363.26909722222</v>
      </c>
      <c r="C4802" s="3" t="s">
        <v>7</v>
      </c>
    </row>
    <row r="4803">
      <c r="A4803" s="3">
        <v>7710.0</v>
      </c>
      <c r="B4803" s="4">
        <v>45363.26940972222</v>
      </c>
      <c r="C4803" s="3" t="s">
        <v>5</v>
      </c>
    </row>
    <row r="4804">
      <c r="A4804" s="3">
        <v>2860.0</v>
      </c>
      <c r="B4804" s="4">
        <v>45363.31701388889</v>
      </c>
      <c r="C4804" s="3" t="s">
        <v>4</v>
      </c>
    </row>
    <row r="4805">
      <c r="A4805" s="3">
        <v>3724.0</v>
      </c>
      <c r="B4805" s="4">
        <v>45363.323912037034</v>
      </c>
      <c r="C4805" s="3" t="s">
        <v>4</v>
      </c>
    </row>
    <row r="4806">
      <c r="A4806" s="3">
        <v>4024.0</v>
      </c>
      <c r="B4806" s="4">
        <v>45363.32959490741</v>
      </c>
      <c r="C4806" s="3" t="s">
        <v>3</v>
      </c>
    </row>
    <row r="4807">
      <c r="A4807" s="3">
        <v>4017.0</v>
      </c>
      <c r="B4807" s="4">
        <v>45363.33063657407</v>
      </c>
      <c r="C4807" s="3" t="s">
        <v>3</v>
      </c>
    </row>
    <row r="4808">
      <c r="A4808" s="3">
        <v>1309.0</v>
      </c>
      <c r="B4808" s="4">
        <v>45363.361875</v>
      </c>
      <c r="C4808" s="3" t="s">
        <v>3</v>
      </c>
    </row>
    <row r="4809">
      <c r="A4809" s="3">
        <v>7183.0</v>
      </c>
      <c r="B4809" s="4">
        <v>45363.397893518515</v>
      </c>
      <c r="C4809" s="3" t="s">
        <v>3</v>
      </c>
    </row>
    <row r="4810">
      <c r="A4810" s="3">
        <v>3466.0</v>
      </c>
      <c r="B4810" s="4">
        <v>45363.399722222224</v>
      </c>
      <c r="C4810" s="3" t="s">
        <v>4</v>
      </c>
    </row>
    <row r="4811">
      <c r="A4811" s="3">
        <v>7875.0</v>
      </c>
      <c r="B4811" s="4">
        <v>45363.40452546296</v>
      </c>
      <c r="C4811" s="3" t="s">
        <v>3</v>
      </c>
    </row>
    <row r="4812">
      <c r="A4812" s="3">
        <v>4356.0</v>
      </c>
      <c r="B4812" s="4">
        <v>45363.42217592592</v>
      </c>
      <c r="C4812" s="3" t="s">
        <v>4</v>
      </c>
    </row>
    <row r="4813">
      <c r="A4813" s="3">
        <v>3724.0</v>
      </c>
      <c r="B4813" s="4">
        <v>45363.425844907404</v>
      </c>
      <c r="C4813" s="3" t="s">
        <v>3</v>
      </c>
    </row>
    <row r="4814">
      <c r="A4814" s="3">
        <v>5225.0</v>
      </c>
      <c r="B4814" s="4">
        <v>45363.429131944446</v>
      </c>
      <c r="C4814" s="3" t="s">
        <v>3</v>
      </c>
    </row>
    <row r="4815">
      <c r="A4815" s="3">
        <v>4317.0</v>
      </c>
      <c r="B4815" s="4">
        <v>45363.494421296295</v>
      </c>
      <c r="C4815" s="3" t="s">
        <v>6</v>
      </c>
    </row>
    <row r="4816">
      <c r="A4816" s="3">
        <v>880.0</v>
      </c>
      <c r="B4816" s="4">
        <v>45363.505902777775</v>
      </c>
      <c r="C4816" s="3" t="s">
        <v>4</v>
      </c>
    </row>
    <row r="4817">
      <c r="A4817" s="3">
        <v>4407.0</v>
      </c>
      <c r="B4817" s="4">
        <v>45363.55957175926</v>
      </c>
      <c r="C4817" s="3" t="s">
        <v>3</v>
      </c>
    </row>
    <row r="4818">
      <c r="A4818" s="3">
        <v>2141.0</v>
      </c>
      <c r="B4818" s="4">
        <v>45363.570972222224</v>
      </c>
      <c r="C4818" s="3" t="s">
        <v>3</v>
      </c>
    </row>
    <row r="4819">
      <c r="A4819" s="3">
        <v>878.0</v>
      </c>
      <c r="B4819" s="4">
        <v>45363.62175925926</v>
      </c>
      <c r="C4819" s="3" t="s">
        <v>3</v>
      </c>
    </row>
    <row r="4820">
      <c r="A4820" s="3">
        <v>6087.0</v>
      </c>
      <c r="B4820" s="4">
        <v>45363.62260416667</v>
      </c>
      <c r="C4820" s="3" t="s">
        <v>3</v>
      </c>
    </row>
    <row r="4821">
      <c r="A4821" s="3">
        <v>310.0</v>
      </c>
      <c r="B4821" s="4">
        <v>45363.629212962966</v>
      </c>
      <c r="C4821" s="3" t="s">
        <v>3</v>
      </c>
    </row>
    <row r="4822">
      <c r="A4822" s="3">
        <v>2488.0</v>
      </c>
      <c r="B4822" s="4">
        <v>45363.6665162037</v>
      </c>
      <c r="C4822" s="3" t="s">
        <v>4</v>
      </c>
    </row>
    <row r="4823">
      <c r="A4823" s="3">
        <v>5013.0</v>
      </c>
      <c r="B4823" s="4">
        <v>45363.68042824074</v>
      </c>
      <c r="C4823" s="3" t="s">
        <v>5</v>
      </c>
    </row>
    <row r="4824">
      <c r="A4824" s="3">
        <v>3685.0</v>
      </c>
      <c r="B4824" s="4">
        <v>45363.70111111111</v>
      </c>
      <c r="C4824" s="3" t="s">
        <v>4</v>
      </c>
    </row>
    <row r="4825">
      <c r="A4825" s="3">
        <v>2023.0</v>
      </c>
      <c r="B4825" s="4">
        <v>45363.70277777778</v>
      </c>
      <c r="C4825" s="3" t="s">
        <v>3</v>
      </c>
    </row>
    <row r="4826">
      <c r="A4826" s="3">
        <v>3685.0</v>
      </c>
      <c r="B4826" s="4">
        <v>45363.70364583333</v>
      </c>
      <c r="C4826" s="3" t="s">
        <v>5</v>
      </c>
    </row>
    <row r="4827">
      <c r="A4827" s="3">
        <v>1960.0</v>
      </c>
      <c r="B4827" s="4">
        <v>45363.707094907404</v>
      </c>
      <c r="C4827" s="3" t="s">
        <v>3</v>
      </c>
    </row>
    <row r="4828">
      <c r="A4828" s="3">
        <v>812.0</v>
      </c>
      <c r="B4828" s="4">
        <v>45363.707395833335</v>
      </c>
      <c r="C4828" s="3" t="s">
        <v>7</v>
      </c>
    </row>
    <row r="4829">
      <c r="A4829" s="3">
        <v>260.0</v>
      </c>
      <c r="B4829" s="4">
        <v>45363.734826388885</v>
      </c>
      <c r="C4829" s="3" t="s">
        <v>4</v>
      </c>
    </row>
    <row r="4830">
      <c r="A4830" s="3">
        <v>4634.0</v>
      </c>
      <c r="B4830" s="4">
        <v>45363.74594907407</v>
      </c>
      <c r="C4830" s="3" t="s">
        <v>6</v>
      </c>
    </row>
    <row r="4831">
      <c r="A4831" s="3">
        <v>878.0</v>
      </c>
      <c r="B4831" s="4">
        <v>45363.82090277778</v>
      </c>
      <c r="C4831" s="3" t="s">
        <v>5</v>
      </c>
    </row>
    <row r="4832">
      <c r="A4832" s="3">
        <v>2346.0</v>
      </c>
      <c r="B4832" s="4">
        <v>45363.82319444444</v>
      </c>
      <c r="C4832" s="3" t="s">
        <v>3</v>
      </c>
    </row>
    <row r="4833">
      <c r="A4833" s="3">
        <v>7183.0</v>
      </c>
      <c r="B4833" s="4">
        <v>45363.84722222222</v>
      </c>
      <c r="C4833" s="3" t="s">
        <v>4</v>
      </c>
    </row>
    <row r="4834">
      <c r="A4834" s="3">
        <v>1190.0</v>
      </c>
      <c r="B4834" s="4">
        <v>45363.847905092596</v>
      </c>
      <c r="C4834" s="3" t="s">
        <v>4</v>
      </c>
    </row>
    <row r="4835">
      <c r="A4835" s="3">
        <v>700.0</v>
      </c>
      <c r="B4835" s="4">
        <v>45363.84821759259</v>
      </c>
      <c r="C4835" s="3" t="s">
        <v>3</v>
      </c>
    </row>
    <row r="4836">
      <c r="A4836" s="3">
        <v>433.0</v>
      </c>
      <c r="B4836" s="4">
        <v>45363.85949074074</v>
      </c>
      <c r="C4836" s="3" t="s">
        <v>4</v>
      </c>
    </row>
    <row r="4837">
      <c r="A4837" s="3">
        <v>3124.0</v>
      </c>
      <c r="B4837" s="4">
        <v>45363.87150462963</v>
      </c>
      <c r="C4837" s="3" t="s">
        <v>5</v>
      </c>
    </row>
    <row r="4838">
      <c r="A4838" s="3">
        <v>5358.0</v>
      </c>
      <c r="B4838" s="4">
        <v>45363.88413194445</v>
      </c>
      <c r="C4838" s="3" t="s">
        <v>6</v>
      </c>
    </row>
    <row r="4839">
      <c r="A4839" s="3">
        <v>1222.0</v>
      </c>
      <c r="B4839" s="4">
        <v>45363.90542824074</v>
      </c>
      <c r="C4839" s="3" t="s">
        <v>6</v>
      </c>
    </row>
    <row r="4840">
      <c r="A4840" s="3">
        <v>1003.0</v>
      </c>
      <c r="B4840" s="4">
        <v>45363.92517361111</v>
      </c>
      <c r="C4840" s="3" t="s">
        <v>7</v>
      </c>
    </row>
    <row r="4841">
      <c r="A4841" s="3">
        <v>260.0</v>
      </c>
      <c r="B4841" s="4">
        <v>45363.93619212963</v>
      </c>
      <c r="C4841" s="3" t="s">
        <v>5</v>
      </c>
    </row>
    <row r="4842">
      <c r="A4842" s="3">
        <v>1336.0</v>
      </c>
      <c r="B4842" s="4">
        <v>45363.95211805555</v>
      </c>
      <c r="C4842" s="3" t="s">
        <v>5</v>
      </c>
    </row>
    <row r="4843">
      <c r="A4843" s="3">
        <v>2178.0</v>
      </c>
      <c r="B4843" s="4">
        <v>45363.954247685186</v>
      </c>
      <c r="C4843" s="3" t="s">
        <v>3</v>
      </c>
    </row>
    <row r="4844">
      <c r="A4844" s="3">
        <v>839.0</v>
      </c>
      <c r="B4844" s="4">
        <v>45363.968668981484</v>
      </c>
      <c r="C4844" s="3" t="s">
        <v>5</v>
      </c>
    </row>
    <row r="4845">
      <c r="A4845" s="3">
        <v>4479.0</v>
      </c>
      <c r="B4845" s="4">
        <v>45363.981412037036</v>
      </c>
      <c r="C4845" s="3" t="s">
        <v>3</v>
      </c>
    </row>
    <row r="4846">
      <c r="A4846" s="3">
        <v>7875.0</v>
      </c>
      <c r="B4846" s="4">
        <v>45363.9849537037</v>
      </c>
      <c r="C4846" s="3" t="s">
        <v>5</v>
      </c>
    </row>
    <row r="4847">
      <c r="A4847" s="3">
        <v>6072.0</v>
      </c>
      <c r="B4847" s="4">
        <v>45363.99408564815</v>
      </c>
      <c r="C4847" s="3" t="s">
        <v>7</v>
      </c>
    </row>
    <row r="4848">
      <c r="A4848" s="3">
        <v>3215.0</v>
      </c>
      <c r="B4848" s="4">
        <v>45364.006423611114</v>
      </c>
      <c r="C4848" s="3" t="s">
        <v>4</v>
      </c>
    </row>
    <row r="4849">
      <c r="A4849" s="3">
        <v>7710.0</v>
      </c>
      <c r="B4849" s="4">
        <v>45364.048159722224</v>
      </c>
      <c r="C4849" s="3" t="s">
        <v>6</v>
      </c>
    </row>
    <row r="4850">
      <c r="A4850" s="3">
        <v>2346.0</v>
      </c>
      <c r="B4850" s="4">
        <v>45364.10403935185</v>
      </c>
      <c r="C4850" s="3" t="s">
        <v>4</v>
      </c>
    </row>
    <row r="4851">
      <c r="A4851" s="3">
        <v>5248.0</v>
      </c>
      <c r="B4851" s="4">
        <v>45364.11577546296</v>
      </c>
      <c r="C4851" s="3" t="s">
        <v>6</v>
      </c>
    </row>
    <row r="4852">
      <c r="A4852" s="3">
        <v>4762.0</v>
      </c>
      <c r="B4852" s="4">
        <v>45364.13045138889</v>
      </c>
      <c r="C4852" s="3" t="s">
        <v>4</v>
      </c>
    </row>
    <row r="4853">
      <c r="A4853" s="3">
        <v>3124.0</v>
      </c>
      <c r="B4853" s="4">
        <v>45364.14326388889</v>
      </c>
      <c r="C4853" s="3" t="s">
        <v>6</v>
      </c>
    </row>
    <row r="4854">
      <c r="A4854" s="3">
        <v>82.0</v>
      </c>
      <c r="B4854" s="4">
        <v>45364.1446875</v>
      </c>
      <c r="C4854" s="3" t="s">
        <v>4</v>
      </c>
    </row>
    <row r="4855">
      <c r="A4855" s="3">
        <v>6429.0</v>
      </c>
      <c r="B4855" s="4">
        <v>45364.1547337963</v>
      </c>
      <c r="C4855" s="3" t="s">
        <v>6</v>
      </c>
    </row>
    <row r="4856">
      <c r="A4856" s="3">
        <v>4596.0</v>
      </c>
      <c r="B4856" s="4">
        <v>45364.15789351852</v>
      </c>
      <c r="C4856" s="3" t="s">
        <v>7</v>
      </c>
    </row>
    <row r="4857">
      <c r="A4857" s="3">
        <v>5580.0</v>
      </c>
      <c r="B4857" s="4">
        <v>45364.15866898148</v>
      </c>
      <c r="C4857" s="3" t="s">
        <v>6</v>
      </c>
    </row>
    <row r="4858">
      <c r="A4858" s="3">
        <v>4831.0</v>
      </c>
      <c r="B4858" s="4">
        <v>45364.161099537036</v>
      </c>
      <c r="C4858" s="3" t="s">
        <v>4</v>
      </c>
    </row>
    <row r="4859">
      <c r="A4859" s="3">
        <v>7946.0</v>
      </c>
      <c r="B4859" s="4">
        <v>45364.16837962963</v>
      </c>
      <c r="C4859" s="3" t="s">
        <v>4</v>
      </c>
    </row>
    <row r="4860">
      <c r="A4860" s="3">
        <v>4831.0</v>
      </c>
      <c r="B4860" s="4">
        <v>45364.16853009259</v>
      </c>
      <c r="C4860" s="3" t="s">
        <v>7</v>
      </c>
    </row>
    <row r="4861">
      <c r="A4861" s="3">
        <v>878.0</v>
      </c>
      <c r="B4861" s="4">
        <v>45364.222604166665</v>
      </c>
      <c r="C4861" s="3" t="s">
        <v>6</v>
      </c>
    </row>
    <row r="4862">
      <c r="A4862" s="3">
        <v>6890.0</v>
      </c>
      <c r="B4862" s="4">
        <v>45364.22520833334</v>
      </c>
      <c r="C4862" s="3" t="s">
        <v>3</v>
      </c>
    </row>
    <row r="4863">
      <c r="A4863" s="3">
        <v>7172.0</v>
      </c>
      <c r="B4863" s="4">
        <v>45364.23458333333</v>
      </c>
      <c r="C4863" s="3" t="s">
        <v>7</v>
      </c>
    </row>
    <row r="4864">
      <c r="A4864" s="3">
        <v>5892.0</v>
      </c>
      <c r="B4864" s="4">
        <v>45364.23835648148</v>
      </c>
      <c r="C4864" s="3" t="s">
        <v>6</v>
      </c>
    </row>
    <row r="4865">
      <c r="A4865" s="3">
        <v>6179.0</v>
      </c>
      <c r="B4865" s="4">
        <v>45364.28313657407</v>
      </c>
      <c r="C4865" s="3" t="s">
        <v>3</v>
      </c>
    </row>
    <row r="4866">
      <c r="A4866" s="3">
        <v>4946.0</v>
      </c>
      <c r="B4866" s="4">
        <v>45364.28391203703</v>
      </c>
      <c r="C4866" s="3" t="s">
        <v>6</v>
      </c>
    </row>
    <row r="4867">
      <c r="A4867" s="3">
        <v>7946.0</v>
      </c>
      <c r="B4867" s="4">
        <v>45364.293171296296</v>
      </c>
      <c r="C4867" s="3" t="s">
        <v>7</v>
      </c>
    </row>
    <row r="4868">
      <c r="A4868" s="3">
        <v>5356.0</v>
      </c>
      <c r="B4868" s="4">
        <v>45364.30238425926</v>
      </c>
      <c r="C4868" s="3" t="s">
        <v>3</v>
      </c>
    </row>
    <row r="4869">
      <c r="A4869" s="3">
        <v>2499.0</v>
      </c>
      <c r="B4869" s="4">
        <v>45364.31167824074</v>
      </c>
      <c r="C4869" s="3" t="s">
        <v>4</v>
      </c>
    </row>
    <row r="4870">
      <c r="A4870" s="3">
        <v>4267.0</v>
      </c>
      <c r="B4870" s="4">
        <v>45364.317337962966</v>
      </c>
      <c r="C4870" s="3" t="s">
        <v>5</v>
      </c>
    </row>
    <row r="4871">
      <c r="A4871" s="3">
        <v>5496.0</v>
      </c>
      <c r="B4871" s="4">
        <v>45364.32454861111</v>
      </c>
      <c r="C4871" s="3" t="s">
        <v>4</v>
      </c>
    </row>
    <row r="4872">
      <c r="A4872" s="3">
        <v>7864.0</v>
      </c>
      <c r="B4872" s="4">
        <v>45364.336689814816</v>
      </c>
      <c r="C4872" s="3" t="s">
        <v>6</v>
      </c>
    </row>
    <row r="4873">
      <c r="A4873" s="3">
        <v>2499.0</v>
      </c>
      <c r="B4873" s="4">
        <v>45364.34596064815</v>
      </c>
      <c r="C4873" s="3" t="s">
        <v>5</v>
      </c>
    </row>
    <row r="4874">
      <c r="A4874" s="3">
        <v>3963.0</v>
      </c>
      <c r="B4874" s="4">
        <v>45364.412199074075</v>
      </c>
      <c r="C4874" s="3" t="s">
        <v>3</v>
      </c>
    </row>
    <row r="4875">
      <c r="A4875" s="3">
        <v>7611.0</v>
      </c>
      <c r="B4875" s="4">
        <v>45364.42221064815</v>
      </c>
      <c r="C4875" s="3" t="s">
        <v>3</v>
      </c>
    </row>
    <row r="4876">
      <c r="A4876" s="3">
        <v>5358.0</v>
      </c>
      <c r="B4876" s="4">
        <v>45364.43748842592</v>
      </c>
      <c r="C4876" s="3" t="s">
        <v>7</v>
      </c>
    </row>
    <row r="4877">
      <c r="A4877" s="3">
        <v>2636.0</v>
      </c>
      <c r="B4877" s="4">
        <v>45364.45109953704</v>
      </c>
      <c r="C4877" s="3" t="s">
        <v>4</v>
      </c>
    </row>
    <row r="4878">
      <c r="A4878" s="3">
        <v>1412.0</v>
      </c>
      <c r="B4878" s="4">
        <v>45364.46408564815</v>
      </c>
      <c r="C4878" s="3" t="s">
        <v>4</v>
      </c>
    </row>
    <row r="4879">
      <c r="A4879" s="3">
        <v>1336.0</v>
      </c>
      <c r="B4879" s="4">
        <v>45364.48119212963</v>
      </c>
      <c r="C4879" s="3" t="s">
        <v>6</v>
      </c>
    </row>
    <row r="4880">
      <c r="A4880" s="3">
        <v>5413.0</v>
      </c>
      <c r="B4880" s="4">
        <v>45364.481782407405</v>
      </c>
      <c r="C4880" s="3" t="s">
        <v>3</v>
      </c>
    </row>
    <row r="4881">
      <c r="A4881" s="3">
        <v>2499.0</v>
      </c>
      <c r="B4881" s="4">
        <v>45364.526238425926</v>
      </c>
      <c r="C4881" s="3" t="s">
        <v>7</v>
      </c>
    </row>
    <row r="4882">
      <c r="A4882" s="3">
        <v>4405.0</v>
      </c>
      <c r="B4882" s="4">
        <v>45364.57324074074</v>
      </c>
      <c r="C4882" s="3" t="s">
        <v>6</v>
      </c>
    </row>
    <row r="4883">
      <c r="A4883" s="3">
        <v>3124.0</v>
      </c>
      <c r="B4883" s="4">
        <v>45364.587916666664</v>
      </c>
      <c r="C4883" s="3" t="s">
        <v>4</v>
      </c>
    </row>
    <row r="4884">
      <c r="A4884" s="3">
        <v>880.0</v>
      </c>
      <c r="B4884" s="4">
        <v>45364.621886574074</v>
      </c>
      <c r="C4884" s="3" t="s">
        <v>6</v>
      </c>
    </row>
    <row r="4885">
      <c r="A4885" s="3">
        <v>3621.0</v>
      </c>
      <c r="B4885" s="4">
        <v>45364.62746527778</v>
      </c>
      <c r="C4885" s="3" t="s">
        <v>7</v>
      </c>
    </row>
    <row r="4886">
      <c r="A4886" s="3">
        <v>4596.0</v>
      </c>
      <c r="B4886" s="4">
        <v>45364.64984953704</v>
      </c>
      <c r="C4886" s="3" t="s">
        <v>5</v>
      </c>
    </row>
    <row r="4887">
      <c r="A4887" s="3">
        <v>839.0</v>
      </c>
      <c r="B4887" s="4">
        <v>45364.65118055556</v>
      </c>
      <c r="C4887" s="3" t="s">
        <v>6</v>
      </c>
    </row>
    <row r="4888">
      <c r="A4888" s="3">
        <v>82.0</v>
      </c>
      <c r="B4888" s="4">
        <v>45364.6749537037</v>
      </c>
      <c r="C4888" s="3" t="s">
        <v>3</v>
      </c>
    </row>
    <row r="4889">
      <c r="A4889" s="3">
        <v>433.0</v>
      </c>
      <c r="B4889" s="4">
        <v>45364.67505787037</v>
      </c>
      <c r="C4889" s="3" t="s">
        <v>5</v>
      </c>
    </row>
    <row r="4890">
      <c r="A4890" s="3">
        <v>2463.0</v>
      </c>
      <c r="B4890" s="4">
        <v>45364.69457175926</v>
      </c>
      <c r="C4890" s="3" t="s">
        <v>7</v>
      </c>
    </row>
    <row r="4891">
      <c r="A4891" s="3">
        <v>2499.0</v>
      </c>
      <c r="B4891" s="4">
        <v>45364.69719907407</v>
      </c>
      <c r="C4891" s="3" t="s">
        <v>6</v>
      </c>
    </row>
    <row r="4892">
      <c r="A4892" s="3">
        <v>7004.0</v>
      </c>
      <c r="B4892" s="4">
        <v>45364.700474537036</v>
      </c>
      <c r="C4892" s="3" t="s">
        <v>3</v>
      </c>
    </row>
    <row r="4893">
      <c r="A4893" s="3">
        <v>314.0</v>
      </c>
      <c r="B4893" s="4">
        <v>45364.70806712963</v>
      </c>
      <c r="C4893" s="3" t="s">
        <v>3</v>
      </c>
    </row>
    <row r="4894">
      <c r="A4894" s="3">
        <v>4371.0</v>
      </c>
      <c r="B4894" s="4">
        <v>45364.717199074075</v>
      </c>
      <c r="C4894" s="3" t="s">
        <v>6</v>
      </c>
    </row>
    <row r="4895">
      <c r="A4895" s="3">
        <v>1041.0</v>
      </c>
      <c r="B4895" s="4">
        <v>45364.72738425926</v>
      </c>
      <c r="C4895" s="3" t="s">
        <v>3</v>
      </c>
    </row>
    <row r="4896">
      <c r="A4896" s="3">
        <v>461.0</v>
      </c>
      <c r="B4896" s="4">
        <v>45364.7665625</v>
      </c>
      <c r="C4896" s="3" t="s">
        <v>3</v>
      </c>
    </row>
    <row r="4897">
      <c r="A4897" s="3">
        <v>983.0</v>
      </c>
      <c r="B4897" s="4">
        <v>45364.7787962963</v>
      </c>
      <c r="C4897" s="3" t="s">
        <v>3</v>
      </c>
    </row>
    <row r="4898">
      <c r="A4898" s="3">
        <v>3090.0</v>
      </c>
      <c r="B4898" s="4">
        <v>45364.80519675926</v>
      </c>
      <c r="C4898" s="3" t="s">
        <v>3</v>
      </c>
    </row>
    <row r="4899">
      <c r="A4899" s="3">
        <v>7469.0</v>
      </c>
      <c r="B4899" s="4">
        <v>45364.82717592592</v>
      </c>
      <c r="C4899" s="3" t="s">
        <v>3</v>
      </c>
    </row>
    <row r="4900">
      <c r="A4900" s="3">
        <v>6765.0</v>
      </c>
      <c r="B4900" s="4">
        <v>45364.83896990741</v>
      </c>
      <c r="C4900" s="3" t="s">
        <v>3</v>
      </c>
    </row>
    <row r="4901">
      <c r="A4901" s="3">
        <v>878.0</v>
      </c>
      <c r="B4901" s="4">
        <v>45364.852106481485</v>
      </c>
      <c r="C4901" s="3" t="s">
        <v>4</v>
      </c>
    </row>
    <row r="4902">
      <c r="A4902" s="3">
        <v>7044.0</v>
      </c>
      <c r="B4902" s="4">
        <v>45364.88111111111</v>
      </c>
      <c r="C4902" s="3" t="s">
        <v>6</v>
      </c>
    </row>
    <row r="4903">
      <c r="A4903" s="3">
        <v>2303.0</v>
      </c>
      <c r="B4903" s="4">
        <v>45364.903275462966</v>
      </c>
      <c r="C4903" s="3" t="s">
        <v>7</v>
      </c>
    </row>
    <row r="4904">
      <c r="A4904" s="3">
        <v>314.0</v>
      </c>
      <c r="B4904" s="4">
        <v>45364.940347222226</v>
      </c>
      <c r="C4904" s="3" t="s">
        <v>4</v>
      </c>
    </row>
    <row r="4905">
      <c r="A4905" s="3">
        <v>5112.0</v>
      </c>
      <c r="B4905" s="4">
        <v>45364.94960648148</v>
      </c>
      <c r="C4905" s="3" t="s">
        <v>3</v>
      </c>
    </row>
    <row r="4906">
      <c r="A4906" s="3">
        <v>4356.0</v>
      </c>
      <c r="B4906" s="4">
        <v>45364.97277777778</v>
      </c>
      <c r="C4906" s="3" t="s">
        <v>7</v>
      </c>
    </row>
    <row r="4907">
      <c r="A4907" s="3">
        <v>7002.0</v>
      </c>
      <c r="B4907" s="4">
        <v>45364.98275462963</v>
      </c>
      <c r="C4907" s="3" t="s">
        <v>3</v>
      </c>
    </row>
    <row r="4908">
      <c r="A4908" s="3">
        <v>983.0</v>
      </c>
      <c r="B4908" s="4">
        <v>45364.98923611111</v>
      </c>
      <c r="C4908" s="3" t="s">
        <v>4</v>
      </c>
    </row>
    <row r="4909">
      <c r="A4909" s="3">
        <v>6783.0</v>
      </c>
      <c r="B4909" s="4">
        <v>45364.9997337963</v>
      </c>
      <c r="C4909" s="3" t="s">
        <v>3</v>
      </c>
    </row>
    <row r="4910">
      <c r="A4910" s="3">
        <v>4000.0</v>
      </c>
      <c r="B4910" s="4">
        <v>45365.015856481485</v>
      </c>
      <c r="C4910" s="3" t="s">
        <v>3</v>
      </c>
    </row>
    <row r="4911">
      <c r="A4911" s="3">
        <v>1415.0</v>
      </c>
      <c r="B4911" s="4">
        <v>45365.028495370374</v>
      </c>
      <c r="C4911" s="3" t="s">
        <v>7</v>
      </c>
    </row>
    <row r="4912">
      <c r="A4912" s="3">
        <v>880.0</v>
      </c>
      <c r="B4912" s="4">
        <v>45365.06384259259</v>
      </c>
      <c r="C4912" s="3" t="s">
        <v>7</v>
      </c>
    </row>
    <row r="4913">
      <c r="A4913" s="3">
        <v>3175.0</v>
      </c>
      <c r="B4913" s="4">
        <v>45365.06711805556</v>
      </c>
      <c r="C4913" s="3" t="s">
        <v>3</v>
      </c>
    </row>
    <row r="4914">
      <c r="A4914" s="3">
        <v>6063.0</v>
      </c>
      <c r="B4914" s="4">
        <v>45365.08048611111</v>
      </c>
      <c r="C4914" s="3" t="s">
        <v>7</v>
      </c>
    </row>
    <row r="4915">
      <c r="A4915" s="3">
        <v>6607.0</v>
      </c>
      <c r="B4915" s="4">
        <v>45365.08547453704</v>
      </c>
      <c r="C4915" s="3" t="s">
        <v>3</v>
      </c>
    </row>
    <row r="4916">
      <c r="A4916" s="3">
        <v>110.0</v>
      </c>
      <c r="B4916" s="4">
        <v>45365.094930555555</v>
      </c>
      <c r="C4916" s="3" t="s">
        <v>3</v>
      </c>
    </row>
    <row r="4917">
      <c r="A4917" s="3">
        <v>880.0</v>
      </c>
      <c r="B4917" s="4">
        <v>45365.10731481481</v>
      </c>
      <c r="C4917" s="3" t="s">
        <v>5</v>
      </c>
    </row>
    <row r="4918">
      <c r="A4918" s="3">
        <v>6998.0</v>
      </c>
      <c r="B4918" s="4">
        <v>45365.117685185185</v>
      </c>
      <c r="C4918" s="3" t="s">
        <v>3</v>
      </c>
    </row>
    <row r="4919">
      <c r="A4919" s="3">
        <v>7875.0</v>
      </c>
      <c r="B4919" s="4">
        <v>45365.130219907405</v>
      </c>
      <c r="C4919" s="3" t="s">
        <v>6</v>
      </c>
    </row>
    <row r="4920">
      <c r="A4920" s="3">
        <v>322.0</v>
      </c>
      <c r="B4920" s="4">
        <v>45365.214479166665</v>
      </c>
      <c r="C4920" s="3" t="s">
        <v>6</v>
      </c>
    </row>
    <row r="4921">
      <c r="A4921" s="3">
        <v>6063.0</v>
      </c>
      <c r="B4921" s="4">
        <v>45365.22059027778</v>
      </c>
      <c r="C4921" s="3" t="s">
        <v>5</v>
      </c>
    </row>
    <row r="4922">
      <c r="A4922" s="3">
        <v>4356.0</v>
      </c>
      <c r="B4922" s="4">
        <v>45365.2534375</v>
      </c>
      <c r="C4922" s="3" t="s">
        <v>6</v>
      </c>
    </row>
    <row r="4923">
      <c r="A4923" s="3">
        <v>3001.0</v>
      </c>
      <c r="B4923" s="4">
        <v>45365.27103009259</v>
      </c>
      <c r="C4923" s="3" t="s">
        <v>3</v>
      </c>
    </row>
    <row r="4924">
      <c r="A4924" s="3">
        <v>1432.0</v>
      </c>
      <c r="B4924" s="4">
        <v>45365.27851851852</v>
      </c>
      <c r="C4924" s="3" t="s">
        <v>3</v>
      </c>
    </row>
    <row r="4925">
      <c r="A4925" s="3">
        <v>1403.0</v>
      </c>
      <c r="B4925" s="4">
        <v>45365.27855324074</v>
      </c>
      <c r="C4925" s="3" t="s">
        <v>6</v>
      </c>
    </row>
    <row r="4926">
      <c r="A4926" s="3">
        <v>3186.0</v>
      </c>
      <c r="B4926" s="4">
        <v>45365.29597222222</v>
      </c>
      <c r="C4926" s="3" t="s">
        <v>3</v>
      </c>
    </row>
    <row r="4927">
      <c r="A4927" s="3">
        <v>2178.0</v>
      </c>
      <c r="B4927" s="4">
        <v>45365.29703703704</v>
      </c>
      <c r="C4927" s="3" t="s">
        <v>4</v>
      </c>
    </row>
    <row r="4928">
      <c r="A4928" s="3">
        <v>1787.0</v>
      </c>
      <c r="B4928" s="4">
        <v>45365.313043981485</v>
      </c>
      <c r="C4928" s="3" t="s">
        <v>6</v>
      </c>
    </row>
    <row r="4929">
      <c r="A4929" s="3">
        <v>6247.0</v>
      </c>
      <c r="B4929" s="4">
        <v>45365.32109953704</v>
      </c>
      <c r="C4929" s="3" t="s">
        <v>6</v>
      </c>
    </row>
    <row r="4930">
      <c r="A4930" s="3">
        <v>5657.0</v>
      </c>
      <c r="B4930" s="4">
        <v>45365.3615162037</v>
      </c>
      <c r="C4930" s="3" t="s">
        <v>4</v>
      </c>
    </row>
    <row r="4931">
      <c r="A4931" s="3">
        <v>24.0</v>
      </c>
      <c r="B4931" s="4">
        <v>45365.363078703704</v>
      </c>
      <c r="C4931" s="3" t="s">
        <v>4</v>
      </c>
    </row>
    <row r="4932">
      <c r="A4932" s="3">
        <v>3394.0</v>
      </c>
      <c r="B4932" s="4">
        <v>45365.38266203704</v>
      </c>
      <c r="C4932" s="3" t="s">
        <v>3</v>
      </c>
    </row>
    <row r="4933">
      <c r="A4933" s="3">
        <v>6890.0</v>
      </c>
      <c r="B4933" s="4">
        <v>45365.385833333334</v>
      </c>
      <c r="C4933" s="3" t="s">
        <v>4</v>
      </c>
    </row>
    <row r="4934">
      <c r="A4934" s="3">
        <v>1415.0</v>
      </c>
      <c r="B4934" s="4">
        <v>45365.39079861111</v>
      </c>
      <c r="C4934" s="3" t="s">
        <v>5</v>
      </c>
    </row>
    <row r="4935">
      <c r="A4935" s="3">
        <v>1018.0</v>
      </c>
      <c r="B4935" s="4">
        <v>45365.3912037037</v>
      </c>
      <c r="C4935" s="3" t="s">
        <v>3</v>
      </c>
    </row>
    <row r="4936">
      <c r="A4936" s="3">
        <v>368.0</v>
      </c>
      <c r="B4936" s="4">
        <v>45365.39939814815</v>
      </c>
      <c r="C4936" s="3" t="s">
        <v>6</v>
      </c>
    </row>
    <row r="4937">
      <c r="A4937" s="3">
        <v>7682.0</v>
      </c>
      <c r="B4937" s="4">
        <v>45365.449583333335</v>
      </c>
      <c r="C4937" s="3" t="s">
        <v>6</v>
      </c>
    </row>
    <row r="4938">
      <c r="A4938" s="3">
        <v>860.0</v>
      </c>
      <c r="B4938" s="4">
        <v>45365.450949074075</v>
      </c>
      <c r="C4938" s="3" t="s">
        <v>4</v>
      </c>
    </row>
    <row r="4939">
      <c r="A4939" s="3">
        <v>7825.0</v>
      </c>
      <c r="B4939" s="4">
        <v>45365.45826388889</v>
      </c>
      <c r="C4939" s="3" t="s">
        <v>3</v>
      </c>
    </row>
    <row r="4940">
      <c r="A4940" s="3">
        <v>3951.0</v>
      </c>
      <c r="B4940" s="4">
        <v>45365.477314814816</v>
      </c>
      <c r="C4940" s="3" t="s">
        <v>3</v>
      </c>
    </row>
    <row r="4941">
      <c r="A4941" s="3">
        <v>7318.0</v>
      </c>
      <c r="B4941" s="4">
        <v>45365.481620370374</v>
      </c>
      <c r="C4941" s="3" t="s">
        <v>3</v>
      </c>
    </row>
    <row r="4942">
      <c r="A4942" s="3">
        <v>7875.0</v>
      </c>
      <c r="B4942" s="4">
        <v>45365.483668981484</v>
      </c>
      <c r="C4942" s="3" t="s">
        <v>4</v>
      </c>
    </row>
    <row r="4943">
      <c r="A4943" s="3">
        <v>998.0</v>
      </c>
      <c r="B4943" s="4">
        <v>45365.49101851852</v>
      </c>
      <c r="C4943" s="3" t="s">
        <v>6</v>
      </c>
    </row>
    <row r="4944">
      <c r="A4944" s="3">
        <v>5849.0</v>
      </c>
      <c r="B4944" s="4">
        <v>45365.49725694444</v>
      </c>
      <c r="C4944" s="3" t="s">
        <v>6</v>
      </c>
    </row>
    <row r="4945">
      <c r="A4945" s="3">
        <v>365.0</v>
      </c>
      <c r="B4945" s="4">
        <v>45365.503541666665</v>
      </c>
      <c r="C4945" s="3" t="s">
        <v>3</v>
      </c>
    </row>
    <row r="4946">
      <c r="A4946" s="3">
        <v>5775.0</v>
      </c>
      <c r="B4946" s="4">
        <v>45365.53928240741</v>
      </c>
      <c r="C4946" s="3" t="s">
        <v>6</v>
      </c>
    </row>
    <row r="4947">
      <c r="A4947" s="3">
        <v>975.0</v>
      </c>
      <c r="B4947" s="4">
        <v>45365.544282407405</v>
      </c>
      <c r="C4947" s="3" t="s">
        <v>3</v>
      </c>
    </row>
    <row r="4948">
      <c r="A4948" s="3">
        <v>4479.0</v>
      </c>
      <c r="B4948" s="4">
        <v>45365.58324074074</v>
      </c>
      <c r="C4948" s="3" t="s">
        <v>4</v>
      </c>
    </row>
    <row r="4949">
      <c r="A4949" s="3">
        <v>2023.0</v>
      </c>
      <c r="B4949" s="4">
        <v>45365.5878125</v>
      </c>
      <c r="C4949" s="3" t="s">
        <v>5</v>
      </c>
    </row>
    <row r="4950">
      <c r="A4950" s="3">
        <v>7226.0</v>
      </c>
      <c r="B4950" s="4">
        <v>45365.59238425926</v>
      </c>
      <c r="C4950" s="3" t="s">
        <v>6</v>
      </c>
    </row>
    <row r="4951">
      <c r="A4951" s="3">
        <v>406.0</v>
      </c>
      <c r="B4951" s="4">
        <v>45365.6109375</v>
      </c>
      <c r="C4951" s="3" t="s">
        <v>3</v>
      </c>
    </row>
    <row r="4952">
      <c r="A4952" s="3">
        <v>3568.0</v>
      </c>
      <c r="B4952" s="4">
        <v>45365.630219907405</v>
      </c>
      <c r="C4952" s="3" t="s">
        <v>6</v>
      </c>
    </row>
    <row r="4953">
      <c r="A4953" s="3">
        <v>322.0</v>
      </c>
      <c r="B4953" s="4">
        <v>45365.69280092593</v>
      </c>
      <c r="C4953" s="3" t="s">
        <v>7</v>
      </c>
    </row>
    <row r="4954">
      <c r="A4954" s="3">
        <v>4314.0</v>
      </c>
      <c r="B4954" s="4">
        <v>45365.69458333333</v>
      </c>
      <c r="C4954" s="3" t="s">
        <v>7</v>
      </c>
    </row>
    <row r="4955">
      <c r="A4955" s="3">
        <v>6195.0</v>
      </c>
      <c r="B4955" s="4">
        <v>45365.7025462963</v>
      </c>
      <c r="C4955" s="3" t="s">
        <v>3</v>
      </c>
    </row>
    <row r="4956">
      <c r="A4956" s="3">
        <v>86.0</v>
      </c>
      <c r="B4956" s="4">
        <v>45365.7062037037</v>
      </c>
      <c r="C4956" s="3" t="s">
        <v>3</v>
      </c>
    </row>
    <row r="4957">
      <c r="A4957" s="3">
        <v>2023.0</v>
      </c>
      <c r="B4957" s="4">
        <v>45365.716516203705</v>
      </c>
      <c r="C4957" s="3" t="s">
        <v>4</v>
      </c>
    </row>
    <row r="4958">
      <c r="A4958" s="3">
        <v>2488.0</v>
      </c>
      <c r="B4958" s="4">
        <v>45365.72027777778</v>
      </c>
      <c r="C4958" s="3" t="s">
        <v>7</v>
      </c>
    </row>
    <row r="4959">
      <c r="A4959" s="3">
        <v>4946.0</v>
      </c>
      <c r="B4959" s="4">
        <v>45365.73849537037</v>
      </c>
      <c r="C4959" s="3" t="s">
        <v>7</v>
      </c>
    </row>
    <row r="4960">
      <c r="A4960" s="3">
        <v>24.0</v>
      </c>
      <c r="B4960" s="4">
        <v>45365.75179398148</v>
      </c>
      <c r="C4960" s="3" t="s">
        <v>3</v>
      </c>
    </row>
    <row r="4961">
      <c r="A4961" s="3">
        <v>2211.0</v>
      </c>
      <c r="B4961" s="4">
        <v>45365.75578703704</v>
      </c>
      <c r="C4961" s="3" t="s">
        <v>3</v>
      </c>
    </row>
    <row r="4962">
      <c r="A4962" s="3">
        <v>3246.0</v>
      </c>
      <c r="B4962" s="4">
        <v>45365.75636574074</v>
      </c>
      <c r="C4962" s="3" t="s">
        <v>6</v>
      </c>
    </row>
    <row r="4963">
      <c r="A4963" s="3">
        <v>4077.0</v>
      </c>
      <c r="B4963" s="4">
        <v>45365.76893518519</v>
      </c>
      <c r="C4963" s="3" t="s">
        <v>3</v>
      </c>
    </row>
    <row r="4964">
      <c r="A4964" s="3">
        <v>49.0</v>
      </c>
      <c r="B4964" s="4">
        <v>45365.82469907407</v>
      </c>
      <c r="C4964" s="3" t="s">
        <v>6</v>
      </c>
    </row>
    <row r="4965">
      <c r="A4965" s="3">
        <v>260.0</v>
      </c>
      <c r="B4965" s="4">
        <v>45365.83712962963</v>
      </c>
      <c r="C4965" s="3" t="s">
        <v>7</v>
      </c>
    </row>
    <row r="4966">
      <c r="A4966" s="3">
        <v>6335.0</v>
      </c>
      <c r="B4966" s="4">
        <v>45365.84416666667</v>
      </c>
      <c r="C4966" s="3" t="s">
        <v>3</v>
      </c>
    </row>
    <row r="4967">
      <c r="A4967" s="3">
        <v>2488.0</v>
      </c>
      <c r="B4967" s="4">
        <v>45365.880219907405</v>
      </c>
      <c r="C4967" s="3" t="s">
        <v>5</v>
      </c>
    </row>
    <row r="4968">
      <c r="A4968" s="3">
        <v>7002.0</v>
      </c>
      <c r="B4968" s="4">
        <v>45365.88480324074</v>
      </c>
      <c r="C4968" s="3" t="s">
        <v>7</v>
      </c>
    </row>
    <row r="4969">
      <c r="A4969" s="3">
        <v>1707.0</v>
      </c>
      <c r="B4969" s="4">
        <v>45365.901192129626</v>
      </c>
      <c r="C4969" s="3" t="s">
        <v>6</v>
      </c>
    </row>
    <row r="4970">
      <c r="A4970" s="3">
        <v>34.0</v>
      </c>
      <c r="B4970" s="4">
        <v>45365.91268518518</v>
      </c>
      <c r="C4970" s="3" t="s">
        <v>3</v>
      </c>
    </row>
    <row r="4971">
      <c r="A4971" s="3">
        <v>3765.0</v>
      </c>
      <c r="B4971" s="4">
        <v>45365.91792824074</v>
      </c>
      <c r="C4971" s="3" t="s">
        <v>3</v>
      </c>
    </row>
    <row r="4972">
      <c r="A4972" s="3">
        <v>7829.0</v>
      </c>
      <c r="B4972" s="4">
        <v>45365.921331018515</v>
      </c>
      <c r="C4972" s="3" t="s">
        <v>6</v>
      </c>
    </row>
    <row r="4973">
      <c r="A4973" s="3">
        <v>4077.0</v>
      </c>
      <c r="B4973" s="4">
        <v>45365.93</v>
      </c>
      <c r="C4973" s="3" t="s">
        <v>4</v>
      </c>
    </row>
    <row r="4974">
      <c r="A4974" s="3">
        <v>7186.0</v>
      </c>
      <c r="B4974" s="4">
        <v>45365.98599537037</v>
      </c>
      <c r="C4974" s="3" t="s">
        <v>3</v>
      </c>
    </row>
    <row r="4975">
      <c r="A4975" s="3">
        <v>3298.0</v>
      </c>
      <c r="B4975" s="4">
        <v>45366.00342592593</v>
      </c>
      <c r="C4975" s="3" t="s">
        <v>3</v>
      </c>
    </row>
    <row r="4976">
      <c r="A4976" s="3">
        <v>5488.0</v>
      </c>
      <c r="B4976" s="4">
        <v>45366.01082175926</v>
      </c>
      <c r="C4976" s="3" t="s">
        <v>3</v>
      </c>
    </row>
    <row r="4977">
      <c r="A4977" s="3">
        <v>4382.0</v>
      </c>
      <c r="B4977" s="4">
        <v>45366.02502314815</v>
      </c>
      <c r="C4977" s="3" t="s">
        <v>4</v>
      </c>
    </row>
    <row r="4978">
      <c r="A4978" s="3">
        <v>3124.0</v>
      </c>
      <c r="B4978" s="4">
        <v>45366.02747685185</v>
      </c>
      <c r="C4978" s="3" t="s">
        <v>7</v>
      </c>
    </row>
    <row r="4979">
      <c r="A4979" s="3">
        <v>7797.0</v>
      </c>
      <c r="B4979" s="4">
        <v>45366.089050925926</v>
      </c>
      <c r="C4979" s="3" t="s">
        <v>3</v>
      </c>
    </row>
    <row r="4980">
      <c r="A4980" s="3">
        <v>6607.0</v>
      </c>
      <c r="B4980" s="4">
        <v>45366.09006944444</v>
      </c>
      <c r="C4980" s="3" t="s">
        <v>4</v>
      </c>
    </row>
    <row r="4981">
      <c r="A4981" s="3">
        <v>5752.0</v>
      </c>
      <c r="B4981" s="4">
        <v>45366.11015046296</v>
      </c>
      <c r="C4981" s="3" t="s">
        <v>6</v>
      </c>
    </row>
    <row r="4982">
      <c r="A4982" s="3">
        <v>5495.0</v>
      </c>
      <c r="B4982" s="4">
        <v>45366.11015046296</v>
      </c>
      <c r="C4982" s="3" t="s">
        <v>7</v>
      </c>
    </row>
    <row r="4983">
      <c r="A4983" s="3">
        <v>365.0</v>
      </c>
      <c r="B4983" s="4">
        <v>45366.176724537036</v>
      </c>
      <c r="C4983" s="3" t="s">
        <v>4</v>
      </c>
    </row>
    <row r="4984">
      <c r="A4984" s="3">
        <v>3839.0</v>
      </c>
      <c r="B4984" s="4">
        <v>45366.20549768519</v>
      </c>
      <c r="C4984" s="3" t="s">
        <v>3</v>
      </c>
    </row>
    <row r="4985">
      <c r="A4985" s="3">
        <v>6972.0</v>
      </c>
      <c r="B4985" s="4">
        <v>45366.20621527778</v>
      </c>
      <c r="C4985" s="3" t="s">
        <v>3</v>
      </c>
    </row>
    <row r="4986">
      <c r="A4986" s="3">
        <v>1079.0</v>
      </c>
      <c r="B4986" s="4">
        <v>45366.20846064815</v>
      </c>
      <c r="C4986" s="3" t="s">
        <v>3</v>
      </c>
    </row>
    <row r="4987">
      <c r="A4987" s="3">
        <v>1365.0</v>
      </c>
      <c r="B4987" s="4">
        <v>45366.22833333333</v>
      </c>
      <c r="C4987" s="3" t="s">
        <v>4</v>
      </c>
    </row>
    <row r="4988">
      <c r="A4988" s="3">
        <v>2023.0</v>
      </c>
      <c r="B4988" s="4">
        <v>45366.22959490741</v>
      </c>
      <c r="C4988" s="3" t="s">
        <v>7</v>
      </c>
    </row>
    <row r="4989">
      <c r="A4989" s="3">
        <v>5474.0</v>
      </c>
      <c r="B4989" s="4">
        <v>45366.23056712963</v>
      </c>
      <c r="C4989" s="3" t="s">
        <v>3</v>
      </c>
    </row>
    <row r="4990">
      <c r="A4990" s="3">
        <v>6745.0</v>
      </c>
      <c r="B4990" s="4">
        <v>45366.24256944445</v>
      </c>
      <c r="C4990" s="3" t="s">
        <v>6</v>
      </c>
    </row>
    <row r="4991">
      <c r="A4991" s="3">
        <v>3186.0</v>
      </c>
      <c r="B4991" s="4">
        <v>45366.26893518519</v>
      </c>
      <c r="C4991" s="3" t="s">
        <v>7</v>
      </c>
    </row>
    <row r="4992">
      <c r="A4992" s="3">
        <v>6628.0</v>
      </c>
      <c r="B4992" s="4">
        <v>45366.273726851854</v>
      </c>
      <c r="C4992" s="3" t="s">
        <v>3</v>
      </c>
    </row>
    <row r="4993">
      <c r="A4993" s="3">
        <v>1365.0</v>
      </c>
      <c r="B4993" s="4">
        <v>45366.27599537037</v>
      </c>
      <c r="C4993" s="3" t="s">
        <v>3</v>
      </c>
    </row>
    <row r="4994">
      <c r="A4994" s="3">
        <v>2949.0</v>
      </c>
      <c r="B4994" s="4">
        <v>45366.281064814815</v>
      </c>
      <c r="C4994" s="3" t="s">
        <v>3</v>
      </c>
    </row>
    <row r="4995">
      <c r="A4995" s="3">
        <v>7301.0</v>
      </c>
      <c r="B4995" s="4">
        <v>45366.301875</v>
      </c>
      <c r="C4995" s="3" t="s">
        <v>4</v>
      </c>
    </row>
    <row r="4996">
      <c r="A4996" s="3">
        <v>4502.0</v>
      </c>
      <c r="B4996" s="4">
        <v>45366.32084490741</v>
      </c>
      <c r="C4996" s="3" t="s">
        <v>3</v>
      </c>
    </row>
    <row r="4997">
      <c r="A4997" s="3">
        <v>1653.0</v>
      </c>
      <c r="B4997" s="4">
        <v>45366.32113425926</v>
      </c>
      <c r="C4997" s="3" t="s">
        <v>3</v>
      </c>
    </row>
    <row r="4998">
      <c r="A4998" s="3">
        <v>1018.0</v>
      </c>
      <c r="B4998" s="4">
        <v>45366.33707175926</v>
      </c>
      <c r="C4998" s="3" t="s">
        <v>6</v>
      </c>
    </row>
    <row r="4999">
      <c r="A4999" s="3">
        <v>6493.0</v>
      </c>
      <c r="B4999" s="4">
        <v>45366.362349537034</v>
      </c>
      <c r="C4999" s="3" t="s">
        <v>4</v>
      </c>
    </row>
    <row r="5000">
      <c r="A5000" s="3">
        <v>3571.0</v>
      </c>
      <c r="B5000" s="4">
        <v>45366.39381944444</v>
      </c>
      <c r="C5000" s="3" t="s">
        <v>3</v>
      </c>
    </row>
    <row r="5001">
      <c r="A5001" s="3">
        <v>4652.0</v>
      </c>
      <c r="B5001" s="4">
        <v>45366.3990625</v>
      </c>
      <c r="C5001" s="3" t="s">
        <v>3</v>
      </c>
    </row>
    <row r="5002">
      <c r="A5002" s="3">
        <v>5877.0</v>
      </c>
      <c r="B5002" s="4">
        <v>45366.39931712963</v>
      </c>
      <c r="C5002" s="3" t="s">
        <v>6</v>
      </c>
    </row>
    <row r="5003">
      <c r="A5003" s="3">
        <v>3568.0</v>
      </c>
      <c r="B5003" s="4">
        <v>45366.40998842593</v>
      </c>
      <c r="C5003" s="3" t="s">
        <v>7</v>
      </c>
    </row>
    <row r="5004">
      <c r="A5004" s="3">
        <v>4382.0</v>
      </c>
      <c r="B5004" s="4">
        <v>45366.411307870374</v>
      </c>
      <c r="C5004" s="3" t="s">
        <v>3</v>
      </c>
    </row>
    <row r="5005">
      <c r="A5005" s="3">
        <v>2860.0</v>
      </c>
      <c r="B5005" s="4">
        <v>45366.42197916667</v>
      </c>
      <c r="C5005" s="3" t="s">
        <v>5</v>
      </c>
    </row>
    <row r="5006">
      <c r="A5006" s="3">
        <v>5003.0</v>
      </c>
      <c r="B5006" s="4">
        <v>45366.42215277778</v>
      </c>
      <c r="C5006" s="3" t="s">
        <v>3</v>
      </c>
    </row>
    <row r="5007">
      <c r="A5007" s="3">
        <v>3215.0</v>
      </c>
      <c r="B5007" s="4">
        <v>45366.42775462963</v>
      </c>
      <c r="C5007" s="3" t="s">
        <v>5</v>
      </c>
    </row>
    <row r="5008">
      <c r="A5008" s="3">
        <v>4216.0</v>
      </c>
      <c r="B5008" s="4">
        <v>45366.429606481484</v>
      </c>
      <c r="C5008" s="3" t="s">
        <v>3</v>
      </c>
    </row>
    <row r="5009">
      <c r="A5009" s="3">
        <v>5003.0</v>
      </c>
      <c r="B5009" s="4">
        <v>45366.44023148148</v>
      </c>
      <c r="C5009" s="3" t="s">
        <v>5</v>
      </c>
    </row>
    <row r="5010">
      <c r="A5010" s="3">
        <v>1299.0</v>
      </c>
      <c r="B5010" s="4">
        <v>45366.45748842593</v>
      </c>
      <c r="C5010" s="3" t="s">
        <v>3</v>
      </c>
    </row>
    <row r="5011">
      <c r="A5011" s="3">
        <v>3963.0</v>
      </c>
      <c r="B5011" s="4">
        <v>45366.46611111111</v>
      </c>
      <c r="C5011" s="3" t="s">
        <v>4</v>
      </c>
    </row>
    <row r="5012">
      <c r="A5012" s="3">
        <v>1942.0</v>
      </c>
      <c r="B5012" s="4">
        <v>45366.50780092592</v>
      </c>
      <c r="C5012" s="3" t="s">
        <v>3</v>
      </c>
    </row>
    <row r="5013">
      <c r="A5013" s="3">
        <v>4998.0</v>
      </c>
      <c r="B5013" s="4">
        <v>45366.54363425926</v>
      </c>
      <c r="C5013" s="3" t="s">
        <v>3</v>
      </c>
    </row>
    <row r="5014">
      <c r="A5014" s="3">
        <v>5474.0</v>
      </c>
      <c r="B5014" s="4">
        <v>45366.612604166665</v>
      </c>
      <c r="C5014" s="3" t="s">
        <v>4</v>
      </c>
    </row>
    <row r="5015">
      <c r="A5015" s="3">
        <v>1254.0</v>
      </c>
      <c r="B5015" s="4">
        <v>45366.61958333333</v>
      </c>
      <c r="C5015" s="3" t="s">
        <v>5</v>
      </c>
    </row>
    <row r="5016">
      <c r="A5016" s="3">
        <v>1018.0</v>
      </c>
      <c r="B5016" s="4">
        <v>45366.65221064815</v>
      </c>
      <c r="C5016" s="3" t="s">
        <v>5</v>
      </c>
    </row>
    <row r="5017">
      <c r="A5017" s="3">
        <v>1079.0</v>
      </c>
      <c r="B5017" s="4">
        <v>45366.667025462964</v>
      </c>
      <c r="C5017" s="3" t="s">
        <v>4</v>
      </c>
    </row>
    <row r="5018">
      <c r="A5018" s="3">
        <v>2139.0</v>
      </c>
      <c r="B5018" s="4">
        <v>45366.66738425926</v>
      </c>
      <c r="C5018" s="3" t="s">
        <v>3</v>
      </c>
    </row>
    <row r="5019">
      <c r="A5019" s="3">
        <v>6026.0</v>
      </c>
      <c r="B5019" s="4">
        <v>45366.671423611115</v>
      </c>
      <c r="C5019" s="3" t="s">
        <v>3</v>
      </c>
    </row>
    <row r="5020">
      <c r="A5020" s="3">
        <v>1018.0</v>
      </c>
      <c r="B5020" s="4">
        <v>45366.677152777775</v>
      </c>
      <c r="C5020" s="3" t="s">
        <v>4</v>
      </c>
    </row>
    <row r="5021">
      <c r="A5021" s="3">
        <v>2649.0</v>
      </c>
      <c r="B5021" s="4">
        <v>45366.692245370374</v>
      </c>
      <c r="C5021" s="3" t="s">
        <v>4</v>
      </c>
    </row>
    <row r="5022">
      <c r="A5022" s="3">
        <v>4884.0</v>
      </c>
      <c r="B5022" s="4">
        <v>45366.69421296296</v>
      </c>
      <c r="C5022" s="3" t="s">
        <v>3</v>
      </c>
    </row>
    <row r="5023">
      <c r="A5023" s="3">
        <v>5225.0</v>
      </c>
      <c r="B5023" s="4">
        <v>45366.7000462963</v>
      </c>
      <c r="C5023" s="3" t="s">
        <v>4</v>
      </c>
    </row>
    <row r="5024">
      <c r="A5024" s="3">
        <v>4161.0</v>
      </c>
      <c r="B5024" s="4">
        <v>45366.713321759256</v>
      </c>
      <c r="C5024" s="3" t="s">
        <v>3</v>
      </c>
    </row>
    <row r="5025">
      <c r="A5025" s="3">
        <v>7301.0</v>
      </c>
      <c r="B5025" s="4">
        <v>45366.71596064815</v>
      </c>
      <c r="C5025" s="3" t="s">
        <v>3</v>
      </c>
    </row>
    <row r="5026">
      <c r="A5026" s="3">
        <v>878.0</v>
      </c>
      <c r="B5026" s="4">
        <v>45366.717152777775</v>
      </c>
      <c r="C5026" s="3" t="s">
        <v>7</v>
      </c>
    </row>
    <row r="5027">
      <c r="A5027" s="3">
        <v>7946.0</v>
      </c>
      <c r="B5027" s="4">
        <v>45366.740381944444</v>
      </c>
      <c r="C5027" s="3" t="s">
        <v>6</v>
      </c>
    </row>
    <row r="5028">
      <c r="A5028" s="3">
        <v>1653.0</v>
      </c>
      <c r="B5028" s="4">
        <v>45366.756377314814</v>
      </c>
      <c r="C5028" s="3" t="s">
        <v>4</v>
      </c>
    </row>
    <row r="5029">
      <c r="A5029" s="3">
        <v>6469.0</v>
      </c>
      <c r="B5029" s="4">
        <v>45366.76248842593</v>
      </c>
      <c r="C5029" s="3" t="s">
        <v>3</v>
      </c>
    </row>
    <row r="5030">
      <c r="A5030" s="3">
        <v>7002.0</v>
      </c>
      <c r="B5030" s="4">
        <v>45366.775868055556</v>
      </c>
      <c r="C5030" s="3" t="s">
        <v>4</v>
      </c>
    </row>
    <row r="5031">
      <c r="A5031" s="3">
        <v>1468.0</v>
      </c>
      <c r="B5031" s="4">
        <v>45366.786307870374</v>
      </c>
      <c r="C5031" s="3" t="s">
        <v>6</v>
      </c>
    </row>
    <row r="5032">
      <c r="A5032" s="3">
        <v>24.0</v>
      </c>
      <c r="B5032" s="4">
        <v>45366.80037037037</v>
      </c>
      <c r="C5032" s="3" t="s">
        <v>6</v>
      </c>
    </row>
    <row r="5033">
      <c r="A5033" s="3">
        <v>6281.0</v>
      </c>
      <c r="B5033" s="4">
        <v>45366.81416666666</v>
      </c>
      <c r="C5033" s="3" t="s">
        <v>3</v>
      </c>
    </row>
    <row r="5034">
      <c r="A5034" s="3">
        <v>5003.0</v>
      </c>
      <c r="B5034" s="4">
        <v>45366.818449074075</v>
      </c>
      <c r="C5034" s="3" t="s">
        <v>4</v>
      </c>
    </row>
    <row r="5035">
      <c r="A5035" s="3">
        <v>1254.0</v>
      </c>
      <c r="B5035" s="4">
        <v>45366.829305555555</v>
      </c>
      <c r="C5035" s="3" t="s">
        <v>3</v>
      </c>
    </row>
    <row r="5036">
      <c r="A5036" s="3">
        <v>2649.0</v>
      </c>
      <c r="B5036" s="4">
        <v>45366.8365625</v>
      </c>
      <c r="C5036" s="3" t="s">
        <v>3</v>
      </c>
    </row>
    <row r="5037">
      <c r="A5037" s="3">
        <v>3394.0</v>
      </c>
      <c r="B5037" s="4">
        <v>45366.836863425924</v>
      </c>
      <c r="C5037" s="3" t="s">
        <v>7</v>
      </c>
    </row>
    <row r="5038">
      <c r="A5038" s="3">
        <v>3215.0</v>
      </c>
      <c r="B5038" s="4">
        <v>45366.84800925926</v>
      </c>
      <c r="C5038" s="3" t="s">
        <v>6</v>
      </c>
    </row>
    <row r="5039">
      <c r="A5039" s="3">
        <v>589.0</v>
      </c>
      <c r="B5039" s="4">
        <v>45366.84924768518</v>
      </c>
      <c r="C5039" s="3" t="s">
        <v>3</v>
      </c>
    </row>
    <row r="5040">
      <c r="A5040" s="3">
        <v>1054.0</v>
      </c>
      <c r="B5040" s="4">
        <v>45366.86269675926</v>
      </c>
      <c r="C5040" s="3" t="s">
        <v>3</v>
      </c>
    </row>
    <row r="5041">
      <c r="A5041" s="3">
        <v>4077.0</v>
      </c>
      <c r="B5041" s="4">
        <v>45366.90934027778</v>
      </c>
      <c r="C5041" s="3" t="s">
        <v>7</v>
      </c>
    </row>
    <row r="5042">
      <c r="A5042" s="3">
        <v>6068.0</v>
      </c>
      <c r="B5042" s="4">
        <v>45366.93708333333</v>
      </c>
      <c r="C5042" s="3" t="s">
        <v>3</v>
      </c>
    </row>
    <row r="5043">
      <c r="A5043" s="3">
        <v>6493.0</v>
      </c>
      <c r="B5043" s="4">
        <v>45366.94488425926</v>
      </c>
      <c r="C5043" s="3" t="s">
        <v>3</v>
      </c>
    </row>
    <row r="5044">
      <c r="A5044" s="3">
        <v>6068.0</v>
      </c>
      <c r="B5044" s="4">
        <v>45366.95731481481</v>
      </c>
      <c r="C5044" s="3" t="s">
        <v>4</v>
      </c>
    </row>
    <row r="5045">
      <c r="A5045" s="3">
        <v>5221.0</v>
      </c>
      <c r="B5045" s="4">
        <v>45366.958090277774</v>
      </c>
      <c r="C5045" s="3" t="s">
        <v>3</v>
      </c>
    </row>
    <row r="5046">
      <c r="A5046" s="3">
        <v>4451.0</v>
      </c>
      <c r="B5046" s="4">
        <v>45366.96755787037</v>
      </c>
      <c r="C5046" s="3" t="s">
        <v>6</v>
      </c>
    </row>
    <row r="5047">
      <c r="A5047" s="3">
        <v>6890.0</v>
      </c>
      <c r="B5047" s="4">
        <v>45366.98292824074</v>
      </c>
      <c r="C5047" s="3" t="s">
        <v>6</v>
      </c>
    </row>
    <row r="5048">
      <c r="A5048" s="3">
        <v>3839.0</v>
      </c>
      <c r="B5048" s="4">
        <v>45367.04829861111</v>
      </c>
      <c r="C5048" s="3" t="s">
        <v>6</v>
      </c>
    </row>
    <row r="5049">
      <c r="A5049" s="3">
        <v>7611.0</v>
      </c>
      <c r="B5049" s="4">
        <v>45367.060694444444</v>
      </c>
      <c r="C5049" s="3" t="s">
        <v>4</v>
      </c>
    </row>
    <row r="5050">
      <c r="A5050" s="3">
        <v>4382.0</v>
      </c>
      <c r="B5050" s="4">
        <v>45367.078055555554</v>
      </c>
      <c r="C5050" s="3" t="s">
        <v>6</v>
      </c>
    </row>
    <row r="5051">
      <c r="A5051" s="3">
        <v>3912.0</v>
      </c>
      <c r="B5051" s="4">
        <v>45367.080243055556</v>
      </c>
      <c r="C5051" s="3" t="s">
        <v>3</v>
      </c>
    </row>
    <row r="5052">
      <c r="A5052" s="3">
        <v>6335.0</v>
      </c>
      <c r="B5052" s="4">
        <v>45367.08028935185</v>
      </c>
      <c r="C5052" s="3" t="s">
        <v>7</v>
      </c>
    </row>
    <row r="5053">
      <c r="A5053" s="3">
        <v>6466.0</v>
      </c>
      <c r="B5053" s="4">
        <v>45367.096712962964</v>
      </c>
      <c r="C5053" s="3" t="s">
        <v>3</v>
      </c>
    </row>
    <row r="5054">
      <c r="A5054" s="3">
        <v>905.0</v>
      </c>
      <c r="B5054" s="4">
        <v>45367.10109953704</v>
      </c>
      <c r="C5054" s="3" t="s">
        <v>3</v>
      </c>
    </row>
    <row r="5055">
      <c r="A5055" s="3">
        <v>4388.0</v>
      </c>
      <c r="B5055" s="4">
        <v>45367.102951388886</v>
      </c>
      <c r="C5055" s="3" t="s">
        <v>3</v>
      </c>
    </row>
    <row r="5056">
      <c r="A5056" s="3">
        <v>4252.0</v>
      </c>
      <c r="B5056" s="4">
        <v>45367.10403935185</v>
      </c>
      <c r="C5056" s="3" t="s">
        <v>7</v>
      </c>
    </row>
    <row r="5057">
      <c r="A5057" s="3">
        <v>6335.0</v>
      </c>
      <c r="B5057" s="4">
        <v>45367.10648148148</v>
      </c>
      <c r="C5057" s="3" t="s">
        <v>4</v>
      </c>
    </row>
    <row r="5058">
      <c r="A5058" s="3">
        <v>1432.0</v>
      </c>
      <c r="B5058" s="4">
        <v>45367.110300925924</v>
      </c>
      <c r="C5058" s="3" t="s">
        <v>4</v>
      </c>
    </row>
    <row r="5059">
      <c r="A5059" s="3">
        <v>7113.0</v>
      </c>
      <c r="B5059" s="4">
        <v>45367.119571759256</v>
      </c>
      <c r="C5059" s="3" t="s">
        <v>5</v>
      </c>
    </row>
    <row r="5060">
      <c r="A5060" s="3">
        <v>5316.0</v>
      </c>
      <c r="B5060" s="4">
        <v>45367.121030092596</v>
      </c>
      <c r="C5060" s="3" t="s">
        <v>3</v>
      </c>
    </row>
    <row r="5061">
      <c r="A5061" s="3">
        <v>4884.0</v>
      </c>
      <c r="B5061" s="4">
        <v>45367.135879629626</v>
      </c>
      <c r="C5061" s="3" t="s">
        <v>4</v>
      </c>
    </row>
    <row r="5062">
      <c r="A5062" s="3">
        <v>1062.0</v>
      </c>
      <c r="B5062" s="4">
        <v>45367.15703703704</v>
      </c>
      <c r="C5062" s="3" t="s">
        <v>3</v>
      </c>
    </row>
    <row r="5063">
      <c r="A5063" s="3">
        <v>3839.0</v>
      </c>
      <c r="B5063" s="4">
        <v>45367.174849537034</v>
      </c>
      <c r="C5063" s="3" t="s">
        <v>7</v>
      </c>
    </row>
    <row r="5064">
      <c r="A5064" s="3">
        <v>2178.0</v>
      </c>
      <c r="B5064" s="4">
        <v>45367.17802083334</v>
      </c>
      <c r="C5064" s="3" t="s">
        <v>5</v>
      </c>
    </row>
    <row r="5065">
      <c r="A5065" s="3">
        <v>7825.0</v>
      </c>
      <c r="B5065" s="4">
        <v>45367.19565972222</v>
      </c>
      <c r="C5065" s="3" t="s">
        <v>4</v>
      </c>
    </row>
    <row r="5066">
      <c r="A5066" s="3">
        <v>6439.0</v>
      </c>
      <c r="B5066" s="4">
        <v>45367.21025462963</v>
      </c>
      <c r="C5066" s="3" t="s">
        <v>3</v>
      </c>
    </row>
    <row r="5067">
      <c r="A5067" s="3">
        <v>3394.0</v>
      </c>
      <c r="B5067" s="4">
        <v>45367.22678240741</v>
      </c>
      <c r="C5067" s="3" t="s">
        <v>5</v>
      </c>
    </row>
    <row r="5068">
      <c r="A5068" s="3">
        <v>990.0</v>
      </c>
      <c r="B5068" s="4">
        <v>45367.24686342593</v>
      </c>
      <c r="C5068" s="3" t="s">
        <v>3</v>
      </c>
    </row>
    <row r="5069">
      <c r="A5069" s="3">
        <v>1653.0</v>
      </c>
      <c r="B5069" s="4">
        <v>45367.260925925926</v>
      </c>
      <c r="C5069" s="3" t="s">
        <v>5</v>
      </c>
    </row>
    <row r="5070">
      <c r="A5070" s="3">
        <v>7300.0</v>
      </c>
      <c r="B5070" s="4">
        <v>45367.27778935185</v>
      </c>
      <c r="C5070" s="3" t="s">
        <v>3</v>
      </c>
    </row>
    <row r="5071">
      <c r="A5071" s="3">
        <v>1640.0</v>
      </c>
      <c r="B5071" s="4">
        <v>45367.28792824074</v>
      </c>
      <c r="C5071" s="3" t="s">
        <v>3</v>
      </c>
    </row>
    <row r="5072">
      <c r="A5072" s="3">
        <v>3850.0</v>
      </c>
      <c r="B5072" s="4">
        <v>45367.28980324074</v>
      </c>
      <c r="C5072" s="3" t="s">
        <v>3</v>
      </c>
    </row>
    <row r="5073">
      <c r="A5073" s="3">
        <v>983.0</v>
      </c>
      <c r="B5073" s="4">
        <v>45367.29130787037</v>
      </c>
      <c r="C5073" s="3" t="s">
        <v>5</v>
      </c>
    </row>
    <row r="5074">
      <c r="A5074" s="3">
        <v>5661.0</v>
      </c>
      <c r="B5074" s="4">
        <v>45367.30462962963</v>
      </c>
      <c r="C5074" s="3" t="s">
        <v>3</v>
      </c>
    </row>
    <row r="5075">
      <c r="A5075" s="3">
        <v>2919.0</v>
      </c>
      <c r="B5075" s="4">
        <v>45367.31928240741</v>
      </c>
      <c r="C5075" s="3" t="s">
        <v>3</v>
      </c>
    </row>
    <row r="5076">
      <c r="A5076" s="3">
        <v>7113.0</v>
      </c>
      <c r="B5076" s="4">
        <v>45367.325694444444</v>
      </c>
      <c r="C5076" s="3" t="s">
        <v>3</v>
      </c>
    </row>
    <row r="5077">
      <c r="A5077" s="3">
        <v>4024.0</v>
      </c>
      <c r="B5077" s="4">
        <v>45367.35644675926</v>
      </c>
      <c r="C5077" s="3" t="s">
        <v>4</v>
      </c>
    </row>
    <row r="5078">
      <c r="A5078" s="3">
        <v>4611.0</v>
      </c>
      <c r="B5078" s="4">
        <v>45367.37420138889</v>
      </c>
      <c r="C5078" s="3" t="s">
        <v>3</v>
      </c>
    </row>
    <row r="5079">
      <c r="A5079" s="3">
        <v>1183.0</v>
      </c>
      <c r="B5079" s="4">
        <v>45367.39068287037</v>
      </c>
      <c r="C5079" s="3" t="s">
        <v>3</v>
      </c>
    </row>
    <row r="5080">
      <c r="A5080" s="3">
        <v>3942.0</v>
      </c>
      <c r="B5080" s="4">
        <v>45367.41773148148</v>
      </c>
      <c r="C5080" s="3" t="s">
        <v>3</v>
      </c>
    </row>
    <row r="5081">
      <c r="A5081" s="3">
        <v>1652.0</v>
      </c>
      <c r="B5081" s="4">
        <v>45367.45222222222</v>
      </c>
      <c r="C5081" s="3" t="s">
        <v>3</v>
      </c>
    </row>
    <row r="5082">
      <c r="A5082" s="3">
        <v>6592.0</v>
      </c>
      <c r="B5082" s="4">
        <v>45367.45659722222</v>
      </c>
      <c r="C5082" s="3" t="s">
        <v>3</v>
      </c>
    </row>
    <row r="5083">
      <c r="A5083" s="3">
        <v>5287.0</v>
      </c>
      <c r="B5083" s="4">
        <v>45367.49186342592</v>
      </c>
      <c r="C5083" s="3" t="s">
        <v>3</v>
      </c>
    </row>
    <row r="5084">
      <c r="A5084" s="3">
        <v>7859.0</v>
      </c>
      <c r="B5084" s="4">
        <v>45367.51505787037</v>
      </c>
      <c r="C5084" s="3" t="s">
        <v>3</v>
      </c>
    </row>
    <row r="5085">
      <c r="A5085" s="3">
        <v>1003.0</v>
      </c>
      <c r="B5085" s="4">
        <v>45367.51658564815</v>
      </c>
      <c r="C5085" s="3" t="s">
        <v>6</v>
      </c>
    </row>
    <row r="5086">
      <c r="A5086" s="3">
        <v>1054.0</v>
      </c>
      <c r="B5086" s="4">
        <v>45367.51777777778</v>
      </c>
      <c r="C5086" s="3" t="s">
        <v>7</v>
      </c>
    </row>
    <row r="5087">
      <c r="A5087" s="3">
        <v>4388.0</v>
      </c>
      <c r="B5087" s="4">
        <v>45367.52042824074</v>
      </c>
      <c r="C5087" s="3" t="s">
        <v>5</v>
      </c>
    </row>
    <row r="5088">
      <c r="A5088" s="3">
        <v>6493.0</v>
      </c>
      <c r="B5088" s="4">
        <v>45367.560532407406</v>
      </c>
      <c r="C5088" s="3" t="s">
        <v>5</v>
      </c>
    </row>
    <row r="5089">
      <c r="A5089" s="3">
        <v>3913.0</v>
      </c>
      <c r="B5089" s="4">
        <v>45367.57068287037</v>
      </c>
      <c r="C5089" s="3" t="s">
        <v>3</v>
      </c>
    </row>
    <row r="5090">
      <c r="A5090" s="3">
        <v>752.0</v>
      </c>
      <c r="B5090" s="4">
        <v>45367.57181712963</v>
      </c>
      <c r="C5090" s="3" t="s">
        <v>6</v>
      </c>
    </row>
    <row r="5091">
      <c r="A5091" s="3">
        <v>6660.0</v>
      </c>
      <c r="B5091" s="4">
        <v>45367.58880787037</v>
      </c>
      <c r="C5091" s="3" t="s">
        <v>3</v>
      </c>
    </row>
    <row r="5092">
      <c r="A5092" s="3">
        <v>3105.0</v>
      </c>
      <c r="B5092" s="4">
        <v>45367.61184027778</v>
      </c>
      <c r="C5092" s="3" t="s">
        <v>3</v>
      </c>
    </row>
    <row r="5093">
      <c r="A5093" s="3">
        <v>2139.0</v>
      </c>
      <c r="B5093" s="4">
        <v>45367.61261574074</v>
      </c>
      <c r="C5093" s="3" t="s">
        <v>5</v>
      </c>
    </row>
    <row r="5094">
      <c r="A5094" s="3">
        <v>2919.0</v>
      </c>
      <c r="B5094" s="4">
        <v>45367.634097222224</v>
      </c>
      <c r="C5094" s="3" t="s">
        <v>4</v>
      </c>
    </row>
    <row r="5095">
      <c r="A5095" s="3">
        <v>5287.0</v>
      </c>
      <c r="B5095" s="4">
        <v>45367.70462962963</v>
      </c>
      <c r="C5095" s="3" t="s">
        <v>4</v>
      </c>
    </row>
    <row r="5096">
      <c r="A5096" s="3">
        <v>7865.0</v>
      </c>
      <c r="B5096" s="4">
        <v>45367.708032407405</v>
      </c>
      <c r="C5096" s="3" t="s">
        <v>6</v>
      </c>
    </row>
    <row r="5097">
      <c r="A5097" s="3">
        <v>4578.0</v>
      </c>
      <c r="B5097" s="4">
        <v>45367.724710648145</v>
      </c>
      <c r="C5097" s="3" t="s">
        <v>3</v>
      </c>
    </row>
    <row r="5098">
      <c r="A5098" s="3">
        <v>5271.0</v>
      </c>
      <c r="B5098" s="4">
        <v>45367.72541666667</v>
      </c>
      <c r="C5098" s="3" t="s">
        <v>3</v>
      </c>
    </row>
    <row r="5099">
      <c r="A5099" s="3">
        <v>5593.0</v>
      </c>
      <c r="B5099" s="4">
        <v>45367.73033564815</v>
      </c>
      <c r="C5099" s="3" t="s">
        <v>3</v>
      </c>
    </row>
    <row r="5100">
      <c r="A5100" s="3">
        <v>6466.0</v>
      </c>
      <c r="B5100" s="4">
        <v>45367.73274305555</v>
      </c>
      <c r="C5100" s="3" t="s">
        <v>4</v>
      </c>
    </row>
    <row r="5101">
      <c r="A5101" s="3">
        <v>1177.0</v>
      </c>
      <c r="B5101" s="4">
        <v>45367.767233796294</v>
      </c>
      <c r="C5101" s="3" t="s">
        <v>3</v>
      </c>
    </row>
    <row r="5102">
      <c r="A5102" s="3">
        <v>1415.0</v>
      </c>
      <c r="B5102" s="4">
        <v>45367.779131944444</v>
      </c>
      <c r="C5102" s="3" t="s">
        <v>6</v>
      </c>
    </row>
    <row r="5103">
      <c r="A5103" s="3">
        <v>2949.0</v>
      </c>
      <c r="B5103" s="4">
        <v>45367.78534722222</v>
      </c>
      <c r="C5103" s="3" t="s">
        <v>4</v>
      </c>
    </row>
    <row r="5104">
      <c r="A5104" s="3">
        <v>3186.0</v>
      </c>
      <c r="B5104" s="4">
        <v>45367.788356481484</v>
      </c>
      <c r="C5104" s="3" t="s">
        <v>4</v>
      </c>
    </row>
    <row r="5105">
      <c r="A5105" s="3">
        <v>86.0</v>
      </c>
      <c r="B5105" s="4">
        <v>45367.79185185185</v>
      </c>
      <c r="C5105" s="3" t="s">
        <v>4</v>
      </c>
    </row>
    <row r="5106">
      <c r="A5106" s="3">
        <v>3406.0</v>
      </c>
      <c r="B5106" s="4">
        <v>45367.798854166664</v>
      </c>
      <c r="C5106" s="3" t="s">
        <v>4</v>
      </c>
    </row>
    <row r="5107">
      <c r="A5107" s="3">
        <v>983.0</v>
      </c>
      <c r="B5107" s="4">
        <v>45367.802465277775</v>
      </c>
      <c r="C5107" s="3" t="s">
        <v>6</v>
      </c>
    </row>
    <row r="5108">
      <c r="A5108" s="3">
        <v>3406.0</v>
      </c>
      <c r="B5108" s="4">
        <v>45367.804085648146</v>
      </c>
      <c r="C5108" s="3" t="s">
        <v>3</v>
      </c>
    </row>
    <row r="5109">
      <c r="A5109" s="3">
        <v>1026.0</v>
      </c>
      <c r="B5109" s="4">
        <v>45367.80678240741</v>
      </c>
      <c r="C5109" s="3" t="s">
        <v>3</v>
      </c>
    </row>
    <row r="5110">
      <c r="A5110" s="3">
        <v>905.0</v>
      </c>
      <c r="B5110" s="4">
        <v>45367.806863425925</v>
      </c>
      <c r="C5110" s="3" t="s">
        <v>4</v>
      </c>
    </row>
    <row r="5111">
      <c r="A5111" s="3">
        <v>7172.0</v>
      </c>
      <c r="B5111" s="4">
        <v>45367.84508101852</v>
      </c>
      <c r="C5111" s="3" t="s">
        <v>6</v>
      </c>
    </row>
    <row r="5112">
      <c r="A5112" s="3">
        <v>2860.0</v>
      </c>
      <c r="B5112" s="4">
        <v>45367.860601851855</v>
      </c>
      <c r="C5112" s="3" t="s">
        <v>6</v>
      </c>
    </row>
    <row r="5113">
      <c r="A5113" s="3">
        <v>6628.0</v>
      </c>
      <c r="B5113" s="4">
        <v>45367.89635416667</v>
      </c>
      <c r="C5113" s="3" t="s">
        <v>7</v>
      </c>
    </row>
    <row r="5114">
      <c r="A5114" s="3">
        <v>4578.0</v>
      </c>
      <c r="B5114" s="4">
        <v>45367.918391203704</v>
      </c>
      <c r="C5114" s="3" t="s">
        <v>4</v>
      </c>
    </row>
    <row r="5115">
      <c r="A5115" s="3">
        <v>3001.0</v>
      </c>
      <c r="B5115" s="4">
        <v>45367.920127314814</v>
      </c>
      <c r="C5115" s="3" t="s">
        <v>5</v>
      </c>
    </row>
    <row r="5116">
      <c r="A5116" s="3">
        <v>5369.0</v>
      </c>
      <c r="B5116" s="4">
        <v>45367.92144675926</v>
      </c>
      <c r="C5116" s="3" t="s">
        <v>4</v>
      </c>
    </row>
    <row r="5117">
      <c r="A5117" s="3">
        <v>3955.0</v>
      </c>
      <c r="B5117" s="4">
        <v>45367.937256944446</v>
      </c>
      <c r="C5117" s="3" t="s">
        <v>3</v>
      </c>
    </row>
    <row r="5118">
      <c r="A5118" s="3">
        <v>1062.0</v>
      </c>
      <c r="B5118" s="4">
        <v>45367.94767361111</v>
      </c>
      <c r="C5118" s="3" t="s">
        <v>4</v>
      </c>
    </row>
    <row r="5119">
      <c r="A5119" s="3">
        <v>5551.0</v>
      </c>
      <c r="B5119" s="4">
        <v>45367.958645833336</v>
      </c>
      <c r="C5119" s="3" t="s">
        <v>3</v>
      </c>
    </row>
    <row r="5120">
      <c r="A5120" s="3">
        <v>1883.0</v>
      </c>
      <c r="B5120" s="4">
        <v>45368.092314814814</v>
      </c>
      <c r="C5120" s="3" t="s">
        <v>3</v>
      </c>
    </row>
    <row r="5121">
      <c r="A5121" s="3">
        <v>4884.0</v>
      </c>
      <c r="B5121" s="4">
        <v>45368.092523148145</v>
      </c>
      <c r="C5121" s="3" t="s">
        <v>7</v>
      </c>
    </row>
    <row r="5122">
      <c r="A5122" s="3">
        <v>1942.0</v>
      </c>
      <c r="B5122" s="4">
        <v>45368.1094212963</v>
      </c>
      <c r="C5122" s="3" t="s">
        <v>4</v>
      </c>
    </row>
    <row r="5123">
      <c r="A5123" s="3">
        <v>7183.0</v>
      </c>
      <c r="B5123" s="4">
        <v>45368.123877314814</v>
      </c>
      <c r="C5123" s="3" t="s">
        <v>6</v>
      </c>
    </row>
    <row r="5124">
      <c r="A5124" s="3">
        <v>4828.0</v>
      </c>
      <c r="B5124" s="4">
        <v>45368.12956018518</v>
      </c>
      <c r="C5124" s="3" t="s">
        <v>5</v>
      </c>
    </row>
    <row r="5125">
      <c r="A5125" s="3">
        <v>433.0</v>
      </c>
      <c r="B5125" s="4">
        <v>45368.13081018518</v>
      </c>
      <c r="C5125" s="3" t="s">
        <v>7</v>
      </c>
    </row>
    <row r="5126">
      <c r="A5126" s="3">
        <v>6592.0</v>
      </c>
      <c r="B5126" s="4">
        <v>45368.13712962963</v>
      </c>
      <c r="C5126" s="3" t="s">
        <v>4</v>
      </c>
    </row>
    <row r="5127">
      <c r="A5127" s="3">
        <v>4077.0</v>
      </c>
      <c r="B5127" s="4">
        <v>45368.13982638889</v>
      </c>
      <c r="C5127" s="3" t="s">
        <v>6</v>
      </c>
    </row>
    <row r="5128">
      <c r="A5128" s="3">
        <v>7840.0</v>
      </c>
      <c r="B5128" s="4">
        <v>45368.16782407407</v>
      </c>
      <c r="C5128" s="3" t="s">
        <v>3</v>
      </c>
    </row>
    <row r="5129">
      <c r="A5129" s="3">
        <v>7797.0</v>
      </c>
      <c r="B5129" s="4">
        <v>45368.17054398148</v>
      </c>
      <c r="C5129" s="3" t="s">
        <v>4</v>
      </c>
    </row>
    <row r="5130">
      <c r="A5130" s="3">
        <v>7271.0</v>
      </c>
      <c r="B5130" s="4">
        <v>45368.18850694445</v>
      </c>
      <c r="C5130" s="3" t="s">
        <v>3</v>
      </c>
    </row>
    <row r="5131">
      <c r="A5131" s="3">
        <v>4382.0</v>
      </c>
      <c r="B5131" s="4">
        <v>45368.215</v>
      </c>
      <c r="C5131" s="3" t="s">
        <v>5</v>
      </c>
    </row>
    <row r="5132">
      <c r="A5132" s="3">
        <v>2211.0</v>
      </c>
      <c r="B5132" s="4">
        <v>45368.22614583333</v>
      </c>
      <c r="C5132" s="3" t="s">
        <v>5</v>
      </c>
    </row>
    <row r="5133">
      <c r="A5133" s="3">
        <v>589.0</v>
      </c>
      <c r="B5133" s="4">
        <v>45368.24109953704</v>
      </c>
      <c r="C5133" s="3" t="s">
        <v>4</v>
      </c>
    </row>
    <row r="5134">
      <c r="A5134" s="3">
        <v>6469.0</v>
      </c>
      <c r="B5134" s="4">
        <v>45368.321851851855</v>
      </c>
      <c r="C5134" s="3" t="s">
        <v>4</v>
      </c>
    </row>
    <row r="5135">
      <c r="A5135" s="3">
        <v>2346.0</v>
      </c>
      <c r="B5135" s="4">
        <v>45368.33467592593</v>
      </c>
      <c r="C5135" s="3" t="s">
        <v>7</v>
      </c>
    </row>
    <row r="5136">
      <c r="A5136" s="3">
        <v>7146.0</v>
      </c>
      <c r="B5136" s="4">
        <v>45368.351006944446</v>
      </c>
      <c r="C5136" s="3" t="s">
        <v>3</v>
      </c>
    </row>
    <row r="5137">
      <c r="A5137" s="3">
        <v>7322.0</v>
      </c>
      <c r="B5137" s="4">
        <v>45368.38071759259</v>
      </c>
      <c r="C5137" s="3" t="s">
        <v>3</v>
      </c>
    </row>
    <row r="5138">
      <c r="A5138" s="3">
        <v>286.0</v>
      </c>
      <c r="B5138" s="4">
        <v>45368.4359837963</v>
      </c>
      <c r="C5138" s="3" t="s">
        <v>3</v>
      </c>
    </row>
    <row r="5139">
      <c r="A5139" s="3">
        <v>7373.0</v>
      </c>
      <c r="B5139" s="4">
        <v>45368.44917824074</v>
      </c>
      <c r="C5139" s="3" t="s">
        <v>3</v>
      </c>
    </row>
    <row r="5140">
      <c r="A5140" s="3">
        <v>7907.0</v>
      </c>
      <c r="B5140" s="4">
        <v>45368.52515046296</v>
      </c>
      <c r="C5140" s="3" t="s">
        <v>4</v>
      </c>
    </row>
    <row r="5141">
      <c r="A5141" s="3">
        <v>3406.0</v>
      </c>
      <c r="B5141" s="4">
        <v>45368.53167824074</v>
      </c>
      <c r="C5141" s="3" t="s">
        <v>5</v>
      </c>
    </row>
    <row r="5142">
      <c r="A5142" s="3">
        <v>6890.0</v>
      </c>
      <c r="B5142" s="4">
        <v>45368.53246527778</v>
      </c>
      <c r="C5142" s="3" t="s">
        <v>5</v>
      </c>
    </row>
    <row r="5143">
      <c r="A5143" s="3">
        <v>6607.0</v>
      </c>
      <c r="B5143" s="4">
        <v>45368.53690972222</v>
      </c>
      <c r="C5143" s="3" t="s">
        <v>6</v>
      </c>
    </row>
    <row r="5144">
      <c r="A5144" s="3">
        <v>2488.0</v>
      </c>
      <c r="B5144" s="4">
        <v>45368.549050925925</v>
      </c>
      <c r="C5144" s="3" t="s">
        <v>6</v>
      </c>
    </row>
    <row r="5145">
      <c r="A5145" s="3">
        <v>1026.0</v>
      </c>
      <c r="B5145" s="4">
        <v>45368.549629629626</v>
      </c>
      <c r="C5145" s="3" t="s">
        <v>4</v>
      </c>
    </row>
    <row r="5146">
      <c r="A5146" s="3">
        <v>5099.0</v>
      </c>
      <c r="B5146" s="4">
        <v>45368.54969907407</v>
      </c>
      <c r="C5146" s="3" t="s">
        <v>3</v>
      </c>
    </row>
    <row r="5147">
      <c r="A5147" s="3">
        <v>1054.0</v>
      </c>
      <c r="B5147" s="4">
        <v>45368.55221064815</v>
      </c>
      <c r="C5147" s="3" t="s">
        <v>4</v>
      </c>
    </row>
    <row r="5148">
      <c r="A5148" s="3">
        <v>7004.0</v>
      </c>
      <c r="B5148" s="4">
        <v>45368.57344907407</v>
      </c>
      <c r="C5148" s="3" t="s">
        <v>4</v>
      </c>
    </row>
    <row r="5149">
      <c r="A5149" s="3">
        <v>4828.0</v>
      </c>
      <c r="B5149" s="4">
        <v>45368.58001157407</v>
      </c>
      <c r="C5149" s="3" t="s">
        <v>3</v>
      </c>
    </row>
    <row r="5150">
      <c r="A5150" s="3">
        <v>7613.0</v>
      </c>
      <c r="B5150" s="4">
        <v>45368.60351851852</v>
      </c>
      <c r="C5150" s="3" t="s">
        <v>4</v>
      </c>
    </row>
    <row r="5151">
      <c r="A5151" s="3">
        <v>905.0</v>
      </c>
      <c r="B5151" s="4">
        <v>45368.62196759259</v>
      </c>
      <c r="C5151" s="3" t="s">
        <v>6</v>
      </c>
    </row>
    <row r="5152">
      <c r="A5152" s="3">
        <v>286.0</v>
      </c>
      <c r="B5152" s="4">
        <v>45368.62200231481</v>
      </c>
      <c r="C5152" s="3" t="s">
        <v>4</v>
      </c>
    </row>
    <row r="5153">
      <c r="A5153" s="3">
        <v>6711.0</v>
      </c>
      <c r="B5153" s="4">
        <v>45368.625914351855</v>
      </c>
      <c r="C5153" s="3" t="s">
        <v>3</v>
      </c>
    </row>
    <row r="5154">
      <c r="A5154" s="3">
        <v>1182.0</v>
      </c>
      <c r="B5154" s="4">
        <v>45368.64145833333</v>
      </c>
      <c r="C5154" s="3" t="s">
        <v>5</v>
      </c>
    </row>
    <row r="5155">
      <c r="A5155" s="3">
        <v>4998.0</v>
      </c>
      <c r="B5155" s="4">
        <v>45368.64231481482</v>
      </c>
      <c r="C5155" s="3" t="s">
        <v>7</v>
      </c>
    </row>
    <row r="5156">
      <c r="A5156" s="3">
        <v>5791.0</v>
      </c>
      <c r="B5156" s="4">
        <v>45368.67361111111</v>
      </c>
      <c r="C5156" s="3" t="s">
        <v>3</v>
      </c>
    </row>
    <row r="5157">
      <c r="A5157" s="3">
        <v>3839.0</v>
      </c>
      <c r="B5157" s="4">
        <v>45368.68770833333</v>
      </c>
      <c r="C5157" s="3" t="s">
        <v>4</v>
      </c>
    </row>
    <row r="5158">
      <c r="A5158" s="3">
        <v>5158.0</v>
      </c>
      <c r="B5158" s="4">
        <v>45368.69758101852</v>
      </c>
      <c r="C5158" s="3" t="s">
        <v>3</v>
      </c>
    </row>
    <row r="5159">
      <c r="A5159" s="3">
        <v>488.0</v>
      </c>
      <c r="B5159" s="4">
        <v>45368.724131944444</v>
      </c>
      <c r="C5159" s="3" t="s">
        <v>3</v>
      </c>
    </row>
    <row r="5160">
      <c r="A5160" s="3">
        <v>6972.0</v>
      </c>
      <c r="B5160" s="4">
        <v>45368.732303240744</v>
      </c>
      <c r="C5160" s="3" t="s">
        <v>4</v>
      </c>
    </row>
    <row r="5161">
      <c r="A5161" s="3">
        <v>4388.0</v>
      </c>
      <c r="B5161" s="4">
        <v>45368.7403587963</v>
      </c>
      <c r="C5161" s="3" t="s">
        <v>6</v>
      </c>
    </row>
    <row r="5162">
      <c r="A5162" s="3">
        <v>488.0</v>
      </c>
      <c r="B5162" s="4">
        <v>45368.768113425926</v>
      </c>
      <c r="C5162" s="3" t="s">
        <v>5</v>
      </c>
    </row>
    <row r="5163">
      <c r="A5163" s="3">
        <v>7002.0</v>
      </c>
      <c r="B5163" s="4">
        <v>45368.77203703704</v>
      </c>
      <c r="C5163" s="3" t="s">
        <v>5</v>
      </c>
    </row>
    <row r="5164">
      <c r="A5164" s="3">
        <v>3542.0</v>
      </c>
      <c r="B5164" s="4">
        <v>45368.77400462963</v>
      </c>
      <c r="C5164" s="3" t="s">
        <v>3</v>
      </c>
    </row>
    <row r="5165">
      <c r="A5165" s="3">
        <v>6628.0</v>
      </c>
      <c r="B5165" s="4">
        <v>45368.77762731481</v>
      </c>
      <c r="C5165" s="3" t="s">
        <v>4</v>
      </c>
    </row>
    <row r="5166">
      <c r="A5166" s="3">
        <v>3090.0</v>
      </c>
      <c r="B5166" s="4">
        <v>45368.778865740744</v>
      </c>
      <c r="C5166" s="3" t="s">
        <v>4</v>
      </c>
    </row>
    <row r="5167">
      <c r="A5167" s="3">
        <v>7002.0</v>
      </c>
      <c r="B5167" s="4">
        <v>45368.79678240741</v>
      </c>
      <c r="C5167" s="3" t="s">
        <v>6</v>
      </c>
    </row>
    <row r="5168">
      <c r="A5168" s="3">
        <v>1883.0</v>
      </c>
      <c r="B5168" s="4">
        <v>45368.81287037037</v>
      </c>
      <c r="C5168" s="3" t="s">
        <v>4</v>
      </c>
    </row>
    <row r="5169">
      <c r="A5169" s="3">
        <v>6335.0</v>
      </c>
      <c r="B5169" s="4">
        <v>45368.835023148145</v>
      </c>
      <c r="C5169" s="3" t="s">
        <v>6</v>
      </c>
    </row>
    <row r="5170">
      <c r="A5170" s="3">
        <v>3933.0</v>
      </c>
      <c r="B5170" s="4">
        <v>45368.83729166666</v>
      </c>
      <c r="C5170" s="3" t="s">
        <v>6</v>
      </c>
    </row>
    <row r="5171">
      <c r="A5171" s="3">
        <v>4596.0</v>
      </c>
      <c r="B5171" s="4">
        <v>45368.84208333334</v>
      </c>
      <c r="C5171" s="3" t="s">
        <v>6</v>
      </c>
    </row>
    <row r="5172">
      <c r="A5172" s="3">
        <v>7825.0</v>
      </c>
      <c r="B5172" s="4">
        <v>45368.84490740741</v>
      </c>
      <c r="C5172" s="3" t="s">
        <v>7</v>
      </c>
    </row>
    <row r="5173">
      <c r="A5173" s="3">
        <v>6660.0</v>
      </c>
      <c r="B5173" s="4">
        <v>45368.85471064815</v>
      </c>
      <c r="C5173" s="3" t="s">
        <v>4</v>
      </c>
    </row>
    <row r="5174">
      <c r="A5174" s="3">
        <v>7613.0</v>
      </c>
      <c r="B5174" s="4">
        <v>45368.86430555556</v>
      </c>
      <c r="C5174" s="3" t="s">
        <v>3</v>
      </c>
    </row>
    <row r="5175">
      <c r="A5175" s="3">
        <v>3951.0</v>
      </c>
      <c r="B5175" s="4">
        <v>45368.874710648146</v>
      </c>
      <c r="C5175" s="3" t="s">
        <v>4</v>
      </c>
    </row>
    <row r="5176">
      <c r="A5176" s="3">
        <v>4230.0</v>
      </c>
      <c r="B5176" s="4">
        <v>45368.88048611111</v>
      </c>
      <c r="C5176" s="3" t="s">
        <v>3</v>
      </c>
    </row>
    <row r="5177">
      <c r="A5177" s="3">
        <v>1299.0</v>
      </c>
      <c r="B5177" s="4">
        <v>45368.894421296296</v>
      </c>
      <c r="C5177" s="3" t="s">
        <v>4</v>
      </c>
    </row>
    <row r="5178">
      <c r="A5178" s="3">
        <v>7907.0</v>
      </c>
      <c r="B5178" s="4">
        <v>45368.89487268519</v>
      </c>
      <c r="C5178" s="3" t="s">
        <v>3</v>
      </c>
    </row>
    <row r="5179">
      <c r="A5179" s="3">
        <v>5551.0</v>
      </c>
      <c r="B5179" s="4">
        <v>45368.89895833333</v>
      </c>
      <c r="C5179" s="3" t="s">
        <v>4</v>
      </c>
    </row>
    <row r="5180">
      <c r="A5180" s="3">
        <v>57.0</v>
      </c>
      <c r="B5180" s="4">
        <v>45368.93664351852</v>
      </c>
      <c r="C5180" s="3" t="s">
        <v>6</v>
      </c>
    </row>
    <row r="5181">
      <c r="A5181" s="3">
        <v>6765.0</v>
      </c>
      <c r="B5181" s="4">
        <v>45368.93913194445</v>
      </c>
      <c r="C5181" s="3" t="s">
        <v>4</v>
      </c>
    </row>
    <row r="5182">
      <c r="A5182" s="3">
        <v>7969.0</v>
      </c>
      <c r="B5182" s="4">
        <v>45368.94179398148</v>
      </c>
      <c r="C5182" s="3" t="s">
        <v>3</v>
      </c>
    </row>
    <row r="5183">
      <c r="A5183" s="3">
        <v>2649.0</v>
      </c>
      <c r="B5183" s="4">
        <v>45368.9490625</v>
      </c>
      <c r="C5183" s="3" t="s">
        <v>5</v>
      </c>
    </row>
    <row r="5184">
      <c r="A5184" s="3">
        <v>7528.0</v>
      </c>
      <c r="B5184" s="4">
        <v>45368.95296296296</v>
      </c>
      <c r="C5184" s="3" t="s">
        <v>3</v>
      </c>
    </row>
    <row r="5185">
      <c r="A5185" s="3">
        <v>6179.0</v>
      </c>
      <c r="B5185" s="4">
        <v>45368.97943287037</v>
      </c>
      <c r="C5185" s="3" t="s">
        <v>4</v>
      </c>
    </row>
    <row r="5186">
      <c r="A5186" s="3">
        <v>6628.0</v>
      </c>
      <c r="B5186" s="4">
        <v>45368.98405092592</v>
      </c>
      <c r="C5186" s="3" t="s">
        <v>5</v>
      </c>
    </row>
    <row r="5187">
      <c r="A5187" s="3">
        <v>1182.0</v>
      </c>
      <c r="B5187" s="4">
        <v>45368.98469907408</v>
      </c>
      <c r="C5187" s="3" t="s">
        <v>3</v>
      </c>
    </row>
    <row r="5188">
      <c r="A5188" s="3">
        <v>34.0</v>
      </c>
      <c r="B5188" s="4">
        <v>45368.9984375</v>
      </c>
      <c r="C5188" s="3" t="s">
        <v>5</v>
      </c>
    </row>
    <row r="5189">
      <c r="A5189" s="3">
        <v>3986.0</v>
      </c>
      <c r="B5189" s="4">
        <v>45369.000706018516</v>
      </c>
      <c r="C5189" s="3" t="s">
        <v>3</v>
      </c>
    </row>
    <row r="5190">
      <c r="A5190" s="3">
        <v>2178.0</v>
      </c>
      <c r="B5190" s="4">
        <v>45369.002974537034</v>
      </c>
      <c r="C5190" s="3" t="s">
        <v>6</v>
      </c>
    </row>
    <row r="5191">
      <c r="A5191" s="3">
        <v>834.0</v>
      </c>
      <c r="B5191" s="4">
        <v>45369.00949074074</v>
      </c>
      <c r="C5191" s="3" t="s">
        <v>3</v>
      </c>
    </row>
    <row r="5192">
      <c r="A5192" s="3">
        <v>1062.0</v>
      </c>
      <c r="B5192" s="4">
        <v>45369.010659722226</v>
      </c>
      <c r="C5192" s="3" t="s">
        <v>5</v>
      </c>
    </row>
    <row r="5193">
      <c r="A5193" s="3">
        <v>3961.0</v>
      </c>
      <c r="B5193" s="4">
        <v>45369.01550925926</v>
      </c>
      <c r="C5193" s="3" t="s">
        <v>3</v>
      </c>
    </row>
    <row r="5194">
      <c r="A5194" s="3">
        <v>4828.0</v>
      </c>
      <c r="B5194" s="4">
        <v>45369.01629629629</v>
      </c>
      <c r="C5194" s="3" t="s">
        <v>4</v>
      </c>
    </row>
    <row r="5195">
      <c r="A5195" s="3">
        <v>6439.0</v>
      </c>
      <c r="B5195" s="4">
        <v>45369.03643518518</v>
      </c>
      <c r="C5195" s="3" t="s">
        <v>4</v>
      </c>
    </row>
    <row r="5196">
      <c r="A5196" s="3">
        <v>2139.0</v>
      </c>
      <c r="B5196" s="4">
        <v>45369.04032407407</v>
      </c>
      <c r="C5196" s="3" t="s">
        <v>6</v>
      </c>
    </row>
    <row r="5197">
      <c r="A5197" s="3">
        <v>7364.0</v>
      </c>
      <c r="B5197" s="4">
        <v>45369.07289351852</v>
      </c>
      <c r="C5197" s="3" t="s">
        <v>3</v>
      </c>
    </row>
    <row r="5198">
      <c r="A5198" s="3">
        <v>7300.0</v>
      </c>
      <c r="B5198" s="4">
        <v>45369.08967592593</v>
      </c>
      <c r="C5198" s="3" t="s">
        <v>5</v>
      </c>
    </row>
    <row r="5199">
      <c r="A5199" s="3">
        <v>7301.0</v>
      </c>
      <c r="B5199" s="4">
        <v>45369.09756944444</v>
      </c>
      <c r="C5199" s="3" t="s">
        <v>5</v>
      </c>
    </row>
    <row r="5200">
      <c r="A5200" s="3">
        <v>1209.0</v>
      </c>
      <c r="B5200" s="4">
        <v>45369.11099537037</v>
      </c>
      <c r="C5200" s="3" t="s">
        <v>3</v>
      </c>
    </row>
    <row r="5201">
      <c r="A5201" s="3">
        <v>7113.0</v>
      </c>
      <c r="B5201" s="4">
        <v>45369.142488425925</v>
      </c>
      <c r="C5201" s="3" t="s">
        <v>4</v>
      </c>
    </row>
    <row r="5202">
      <c r="A5202" s="3">
        <v>5019.0</v>
      </c>
      <c r="B5202" s="4">
        <v>45369.15011574074</v>
      </c>
      <c r="C5202" s="3" t="s">
        <v>3</v>
      </c>
    </row>
    <row r="5203">
      <c r="A5203" s="3">
        <v>3672.0</v>
      </c>
      <c r="B5203" s="4">
        <v>45369.16292824074</v>
      </c>
      <c r="C5203" s="3" t="s">
        <v>3</v>
      </c>
    </row>
    <row r="5204">
      <c r="A5204" s="3">
        <v>5495.0</v>
      </c>
      <c r="B5204" s="4">
        <v>45369.186840277776</v>
      </c>
      <c r="C5204" s="3" t="s">
        <v>6</v>
      </c>
    </row>
    <row r="5205">
      <c r="A5205" s="3">
        <v>2858.0</v>
      </c>
      <c r="B5205" s="4">
        <v>45369.19478009259</v>
      </c>
      <c r="C5205" s="3" t="s">
        <v>3</v>
      </c>
    </row>
    <row r="5206">
      <c r="A5206" s="3">
        <v>3621.0</v>
      </c>
      <c r="B5206" s="4">
        <v>45369.20038194444</v>
      </c>
      <c r="C5206" s="3" t="s">
        <v>6</v>
      </c>
    </row>
    <row r="5207">
      <c r="A5207" s="3">
        <v>6836.0</v>
      </c>
      <c r="B5207" s="4">
        <v>45369.20261574074</v>
      </c>
      <c r="C5207" s="3" t="s">
        <v>3</v>
      </c>
    </row>
    <row r="5208">
      <c r="A5208" s="3">
        <v>2813.0</v>
      </c>
      <c r="B5208" s="4">
        <v>45369.20532407407</v>
      </c>
      <c r="C5208" s="3" t="s">
        <v>3</v>
      </c>
    </row>
    <row r="5209">
      <c r="A5209" s="3">
        <v>4314.0</v>
      </c>
      <c r="B5209" s="4">
        <v>45369.22686342592</v>
      </c>
      <c r="C5209" s="3" t="s">
        <v>6</v>
      </c>
    </row>
    <row r="5210">
      <c r="A5210" s="3">
        <v>6068.0</v>
      </c>
      <c r="B5210" s="4">
        <v>45369.234444444446</v>
      </c>
      <c r="C5210" s="3" t="s">
        <v>7</v>
      </c>
    </row>
    <row r="5211">
      <c r="A5211" s="3">
        <v>1640.0</v>
      </c>
      <c r="B5211" s="4">
        <v>45369.247824074075</v>
      </c>
      <c r="C5211" s="3" t="s">
        <v>4</v>
      </c>
    </row>
    <row r="5212">
      <c r="A5212" s="3">
        <v>7137.0</v>
      </c>
      <c r="B5212" s="4">
        <v>45369.252291666664</v>
      </c>
      <c r="C5212" s="3" t="s">
        <v>3</v>
      </c>
    </row>
    <row r="5213">
      <c r="A5213" s="3">
        <v>7840.0</v>
      </c>
      <c r="B5213" s="4">
        <v>45369.262557870374</v>
      </c>
      <c r="C5213" s="3" t="s">
        <v>7</v>
      </c>
    </row>
    <row r="5214">
      <c r="A5214" s="3">
        <v>5003.0</v>
      </c>
      <c r="B5214" s="4">
        <v>45369.27103009259</v>
      </c>
      <c r="C5214" s="3" t="s">
        <v>7</v>
      </c>
    </row>
    <row r="5215">
      <c r="A5215" s="3">
        <v>108.0</v>
      </c>
      <c r="B5215" s="4">
        <v>45369.29545138889</v>
      </c>
      <c r="C5215" s="3" t="s">
        <v>3</v>
      </c>
    </row>
    <row r="5216">
      <c r="A5216" s="3">
        <v>1893.0</v>
      </c>
      <c r="B5216" s="4">
        <v>45369.343125</v>
      </c>
      <c r="C5216" s="3" t="s">
        <v>3</v>
      </c>
    </row>
    <row r="5217">
      <c r="A5217" s="3">
        <v>7743.0</v>
      </c>
      <c r="B5217" s="4">
        <v>45369.34670138889</v>
      </c>
      <c r="C5217" s="3" t="s">
        <v>3</v>
      </c>
    </row>
    <row r="5218">
      <c r="A5218" s="3">
        <v>488.0</v>
      </c>
      <c r="B5218" s="4">
        <v>45369.35591435185</v>
      </c>
      <c r="C5218" s="3" t="s">
        <v>4</v>
      </c>
    </row>
    <row r="5219">
      <c r="A5219" s="3">
        <v>3962.0</v>
      </c>
      <c r="B5219" s="4">
        <v>45369.3840162037</v>
      </c>
      <c r="C5219" s="3" t="s">
        <v>6</v>
      </c>
    </row>
    <row r="5220">
      <c r="A5220" s="3">
        <v>6439.0</v>
      </c>
      <c r="B5220" s="4">
        <v>45369.40222222222</v>
      </c>
      <c r="C5220" s="3" t="s">
        <v>6</v>
      </c>
    </row>
    <row r="5221">
      <c r="A5221" s="3">
        <v>1177.0</v>
      </c>
      <c r="B5221" s="4">
        <v>45369.40759259259</v>
      </c>
      <c r="C5221" s="3" t="s">
        <v>5</v>
      </c>
    </row>
    <row r="5222">
      <c r="A5222" s="3">
        <v>5158.0</v>
      </c>
      <c r="B5222" s="4">
        <v>45369.4262962963</v>
      </c>
      <c r="C5222" s="3" t="s">
        <v>4</v>
      </c>
    </row>
    <row r="5223">
      <c r="A5223" s="3">
        <v>6607.0</v>
      </c>
      <c r="B5223" s="4">
        <v>45369.435648148145</v>
      </c>
      <c r="C5223" s="3" t="s">
        <v>5</v>
      </c>
    </row>
    <row r="5224">
      <c r="A5224" s="3">
        <v>2919.0</v>
      </c>
      <c r="B5224" s="4">
        <v>45369.44978009259</v>
      </c>
      <c r="C5224" s="3" t="s">
        <v>6</v>
      </c>
    </row>
    <row r="5225">
      <c r="A5225" s="3">
        <v>5689.0</v>
      </c>
      <c r="B5225" s="4">
        <v>45369.45394675926</v>
      </c>
      <c r="C5225" s="3" t="s">
        <v>3</v>
      </c>
    </row>
    <row r="5226">
      <c r="A5226" s="3">
        <v>6487.0</v>
      </c>
      <c r="B5226" s="4">
        <v>45369.45811342593</v>
      </c>
      <c r="C5226" s="3" t="s">
        <v>3</v>
      </c>
    </row>
    <row r="5227">
      <c r="A5227" s="3">
        <v>3765.0</v>
      </c>
      <c r="B5227" s="4">
        <v>45369.46471064815</v>
      </c>
      <c r="C5227" s="3" t="s">
        <v>4</v>
      </c>
    </row>
    <row r="5228">
      <c r="A5228" s="3">
        <v>2178.0</v>
      </c>
      <c r="B5228" s="4">
        <v>45369.471770833334</v>
      </c>
      <c r="C5228" s="3" t="s">
        <v>7</v>
      </c>
    </row>
    <row r="5229">
      <c r="A5229" s="3">
        <v>2991.0</v>
      </c>
      <c r="B5229" s="4">
        <v>45369.495983796296</v>
      </c>
      <c r="C5229" s="3" t="s">
        <v>3</v>
      </c>
    </row>
    <row r="5230">
      <c r="A5230" s="3">
        <v>905.0</v>
      </c>
      <c r="B5230" s="4">
        <v>45369.54585648148</v>
      </c>
      <c r="C5230" s="3" t="s">
        <v>5</v>
      </c>
    </row>
    <row r="5231">
      <c r="A5231" s="3">
        <v>1079.0</v>
      </c>
      <c r="B5231" s="4">
        <v>45369.55774305556</v>
      </c>
      <c r="C5231" s="3" t="s">
        <v>7</v>
      </c>
    </row>
    <row r="5232">
      <c r="A5232" s="3">
        <v>6439.0</v>
      </c>
      <c r="B5232" s="4">
        <v>45369.56658564815</v>
      </c>
      <c r="C5232" s="3" t="s">
        <v>5</v>
      </c>
    </row>
    <row r="5233">
      <c r="A5233" s="3">
        <v>4359.0</v>
      </c>
      <c r="B5233" s="4">
        <v>45369.569016203706</v>
      </c>
      <c r="C5233" s="3" t="s">
        <v>3</v>
      </c>
    </row>
    <row r="5234">
      <c r="A5234" s="3">
        <v>34.0</v>
      </c>
      <c r="B5234" s="4">
        <v>45369.581655092596</v>
      </c>
      <c r="C5234" s="3" t="s">
        <v>6</v>
      </c>
    </row>
    <row r="5235">
      <c r="A5235" s="3">
        <v>1883.0</v>
      </c>
      <c r="B5235" s="4">
        <v>45369.59648148148</v>
      </c>
      <c r="C5235" s="3" t="s">
        <v>5</v>
      </c>
    </row>
    <row r="5236">
      <c r="A5236" s="3">
        <v>2813.0</v>
      </c>
      <c r="B5236" s="4">
        <v>45369.60769675926</v>
      </c>
      <c r="C5236" s="3" t="s">
        <v>5</v>
      </c>
    </row>
    <row r="5237">
      <c r="A5237" s="3">
        <v>6386.0</v>
      </c>
      <c r="B5237" s="4">
        <v>45369.61209490741</v>
      </c>
      <c r="C5237" s="3" t="s">
        <v>3</v>
      </c>
    </row>
    <row r="5238">
      <c r="A5238" s="3">
        <v>5717.0</v>
      </c>
      <c r="B5238" s="4">
        <v>45369.622349537036</v>
      </c>
      <c r="C5238" s="3" t="s">
        <v>3</v>
      </c>
    </row>
    <row r="5239">
      <c r="A5239" s="3">
        <v>6265.0</v>
      </c>
      <c r="B5239" s="4">
        <v>45369.64090277778</v>
      </c>
      <c r="C5239" s="3" t="s">
        <v>3</v>
      </c>
    </row>
    <row r="5240">
      <c r="A5240" s="3">
        <v>2551.0</v>
      </c>
      <c r="B5240" s="4">
        <v>45369.67190972222</v>
      </c>
      <c r="C5240" s="3" t="s">
        <v>3</v>
      </c>
    </row>
    <row r="5241">
      <c r="A5241" s="3">
        <v>2718.0</v>
      </c>
      <c r="B5241" s="4">
        <v>45369.684328703705</v>
      </c>
      <c r="C5241" s="3" t="s">
        <v>3</v>
      </c>
    </row>
    <row r="5242">
      <c r="A5242" s="3">
        <v>108.0</v>
      </c>
      <c r="B5242" s="4">
        <v>45369.69414351852</v>
      </c>
      <c r="C5242" s="3" t="s">
        <v>4</v>
      </c>
    </row>
    <row r="5243">
      <c r="A5243" s="3">
        <v>5258.0</v>
      </c>
      <c r="B5243" s="4">
        <v>45369.69869212963</v>
      </c>
      <c r="C5243" s="3" t="s">
        <v>6</v>
      </c>
    </row>
    <row r="5244">
      <c r="A5244" s="3">
        <v>6582.0</v>
      </c>
      <c r="B5244" s="4">
        <v>45369.756886574076</v>
      </c>
      <c r="C5244" s="3" t="s">
        <v>3</v>
      </c>
    </row>
    <row r="5245">
      <c r="A5245" s="3">
        <v>3186.0</v>
      </c>
      <c r="B5245" s="4">
        <v>45369.77266203704</v>
      </c>
      <c r="C5245" s="3" t="s">
        <v>5</v>
      </c>
    </row>
    <row r="5246">
      <c r="A5246" s="3">
        <v>68.0</v>
      </c>
      <c r="B5246" s="4">
        <v>45369.79673611111</v>
      </c>
      <c r="C5246" s="3" t="s">
        <v>3</v>
      </c>
    </row>
    <row r="5247">
      <c r="A5247" s="3">
        <v>3735.0</v>
      </c>
      <c r="B5247" s="4">
        <v>45369.79708333333</v>
      </c>
      <c r="C5247" s="3" t="s">
        <v>3</v>
      </c>
    </row>
    <row r="5248">
      <c r="A5248" s="3">
        <v>7364.0</v>
      </c>
      <c r="B5248" s="4">
        <v>45369.79825231482</v>
      </c>
      <c r="C5248" s="3" t="s">
        <v>4</v>
      </c>
    </row>
    <row r="5249">
      <c r="A5249" s="3">
        <v>6664.0</v>
      </c>
      <c r="B5249" s="4">
        <v>45369.825787037036</v>
      </c>
      <c r="C5249" s="3" t="s">
        <v>3</v>
      </c>
    </row>
    <row r="5250">
      <c r="A5250" s="3">
        <v>433.0</v>
      </c>
      <c r="B5250" s="4">
        <v>45369.83385416667</v>
      </c>
      <c r="C5250" s="3" t="s">
        <v>6</v>
      </c>
    </row>
    <row r="5251">
      <c r="A5251" s="3">
        <v>1421.0</v>
      </c>
      <c r="B5251" s="4">
        <v>45369.84135416667</v>
      </c>
      <c r="C5251" s="3" t="s">
        <v>3</v>
      </c>
    </row>
    <row r="5252">
      <c r="A5252" s="3">
        <v>3072.0</v>
      </c>
      <c r="B5252" s="4">
        <v>45369.844375</v>
      </c>
      <c r="C5252" s="3" t="s">
        <v>3</v>
      </c>
    </row>
    <row r="5253">
      <c r="A5253" s="3">
        <v>4175.0</v>
      </c>
      <c r="B5253" s="4">
        <v>45369.85071759259</v>
      </c>
      <c r="C5253" s="3" t="s">
        <v>3</v>
      </c>
    </row>
    <row r="5254">
      <c r="A5254" s="3">
        <v>7342.0</v>
      </c>
      <c r="B5254" s="4">
        <v>45369.86554398148</v>
      </c>
      <c r="C5254" s="3" t="s">
        <v>3</v>
      </c>
    </row>
    <row r="5255">
      <c r="A5255" s="3">
        <v>4388.0</v>
      </c>
      <c r="B5255" s="4">
        <v>45369.86835648148</v>
      </c>
      <c r="C5255" s="3" t="s">
        <v>4</v>
      </c>
    </row>
    <row r="5256">
      <c r="A5256" s="3">
        <v>6265.0</v>
      </c>
      <c r="B5256" s="4">
        <v>45369.89423611111</v>
      </c>
      <c r="C5256" s="3" t="s">
        <v>4</v>
      </c>
    </row>
    <row r="5257">
      <c r="A5257" s="3">
        <v>6487.0</v>
      </c>
      <c r="B5257" s="4">
        <v>45369.903969907406</v>
      </c>
      <c r="C5257" s="3" t="s">
        <v>4</v>
      </c>
    </row>
    <row r="5258">
      <c r="A5258" s="3">
        <v>1942.0</v>
      </c>
      <c r="B5258" s="4">
        <v>45369.91341435185</v>
      </c>
      <c r="C5258" s="3" t="s">
        <v>5</v>
      </c>
    </row>
    <row r="5259">
      <c r="A5259" s="3">
        <v>5208.0</v>
      </c>
      <c r="B5259" s="4">
        <v>45369.9284375</v>
      </c>
      <c r="C5259" s="3" t="s">
        <v>3</v>
      </c>
    </row>
    <row r="5260">
      <c r="A5260" s="3">
        <v>1182.0</v>
      </c>
      <c r="B5260" s="4">
        <v>45369.94939814815</v>
      </c>
      <c r="C5260" s="3" t="s">
        <v>4</v>
      </c>
    </row>
    <row r="5261">
      <c r="A5261" s="3">
        <v>1947.0</v>
      </c>
      <c r="B5261" s="4">
        <v>45369.9653587963</v>
      </c>
      <c r="C5261" s="3" t="s">
        <v>3</v>
      </c>
    </row>
    <row r="5262">
      <c r="A5262" s="3">
        <v>4876.0</v>
      </c>
      <c r="B5262" s="4">
        <v>45369.96674768518</v>
      </c>
      <c r="C5262" s="3" t="s">
        <v>3</v>
      </c>
    </row>
    <row r="5263">
      <c r="A5263" s="3">
        <v>3986.0</v>
      </c>
      <c r="B5263" s="4">
        <v>45369.96716435185</v>
      </c>
      <c r="C5263" s="3" t="s">
        <v>5</v>
      </c>
    </row>
    <row r="5264">
      <c r="A5264" s="3">
        <v>6738.0</v>
      </c>
      <c r="B5264" s="4">
        <v>45369.98978009259</v>
      </c>
      <c r="C5264" s="3" t="s">
        <v>3</v>
      </c>
    </row>
    <row r="5265">
      <c r="A5265" s="3">
        <v>1862.0</v>
      </c>
      <c r="B5265" s="4">
        <v>45369.997094907405</v>
      </c>
      <c r="C5265" s="3" t="s">
        <v>3</v>
      </c>
    </row>
    <row r="5266">
      <c r="A5266" s="3">
        <v>7741.0</v>
      </c>
      <c r="B5266" s="4">
        <v>45370.00077546296</v>
      </c>
      <c r="C5266" s="3" t="s">
        <v>3</v>
      </c>
    </row>
    <row r="5267">
      <c r="A5267" s="3">
        <v>4116.0</v>
      </c>
      <c r="B5267" s="4">
        <v>45370.03795138889</v>
      </c>
      <c r="C5267" s="3" t="s">
        <v>3</v>
      </c>
    </row>
    <row r="5268">
      <c r="A5268" s="3">
        <v>197.0</v>
      </c>
      <c r="B5268" s="4">
        <v>45370.05304398148</v>
      </c>
      <c r="C5268" s="3" t="s">
        <v>4</v>
      </c>
    </row>
    <row r="5269">
      <c r="A5269" s="3">
        <v>5019.0</v>
      </c>
      <c r="B5269" s="4">
        <v>45370.05535879629</v>
      </c>
      <c r="C5269" s="3" t="s">
        <v>4</v>
      </c>
    </row>
    <row r="5270">
      <c r="A5270" s="3">
        <v>7613.0</v>
      </c>
      <c r="B5270" s="4">
        <v>45370.08042824074</v>
      </c>
      <c r="C5270" s="3" t="s">
        <v>5</v>
      </c>
    </row>
    <row r="5271">
      <c r="A5271" s="3">
        <v>1182.0</v>
      </c>
      <c r="B5271" s="4">
        <v>45370.08306712963</v>
      </c>
      <c r="C5271" s="3" t="s">
        <v>6</v>
      </c>
    </row>
    <row r="5272">
      <c r="A5272" s="3">
        <v>253.0</v>
      </c>
      <c r="B5272" s="4">
        <v>45370.096296296295</v>
      </c>
      <c r="C5272" s="3" t="s">
        <v>3</v>
      </c>
    </row>
    <row r="5273">
      <c r="A5273" s="3">
        <v>5474.0</v>
      </c>
      <c r="B5273" s="4">
        <v>45370.118738425925</v>
      </c>
      <c r="C5273" s="3" t="s">
        <v>6</v>
      </c>
    </row>
    <row r="5274">
      <c r="A5274" s="3">
        <v>2949.0</v>
      </c>
      <c r="B5274" s="4">
        <v>45370.12421296296</v>
      </c>
      <c r="C5274" s="3" t="s">
        <v>5</v>
      </c>
    </row>
    <row r="5275">
      <c r="A5275" s="3">
        <v>6857.0</v>
      </c>
      <c r="B5275" s="4">
        <v>45370.13768518518</v>
      </c>
      <c r="C5275" s="3" t="s">
        <v>3</v>
      </c>
    </row>
    <row r="5276">
      <c r="A5276" s="3">
        <v>483.0</v>
      </c>
      <c r="B5276" s="4">
        <v>45370.143599537034</v>
      </c>
      <c r="C5276" s="3" t="s">
        <v>3</v>
      </c>
    </row>
    <row r="5277">
      <c r="A5277" s="3">
        <v>2919.0</v>
      </c>
      <c r="B5277" s="4">
        <v>45370.15615740741</v>
      </c>
      <c r="C5277" s="3" t="s">
        <v>7</v>
      </c>
    </row>
    <row r="5278">
      <c r="A5278" s="3">
        <v>6469.0</v>
      </c>
      <c r="B5278" s="4">
        <v>45370.163460648146</v>
      </c>
      <c r="C5278" s="3" t="s">
        <v>5</v>
      </c>
    </row>
    <row r="5279">
      <c r="A5279" s="3">
        <v>2417.0</v>
      </c>
      <c r="B5279" s="4">
        <v>45370.165925925925</v>
      </c>
      <c r="C5279" s="3" t="s">
        <v>3</v>
      </c>
    </row>
    <row r="5280">
      <c r="A5280" s="3">
        <v>7300.0</v>
      </c>
      <c r="B5280" s="4">
        <v>45370.19383101852</v>
      </c>
      <c r="C5280" s="3" t="s">
        <v>7</v>
      </c>
    </row>
    <row r="5281">
      <c r="A5281" s="3">
        <v>1026.0</v>
      </c>
      <c r="B5281" s="4">
        <v>45370.19943287037</v>
      </c>
      <c r="C5281" s="3" t="s">
        <v>7</v>
      </c>
    </row>
    <row r="5282">
      <c r="A5282" s="3">
        <v>1026.0</v>
      </c>
      <c r="B5282" s="4">
        <v>45370.19996527778</v>
      </c>
      <c r="C5282" s="3" t="s">
        <v>5</v>
      </c>
    </row>
    <row r="5283">
      <c r="A5283" s="3">
        <v>1421.0</v>
      </c>
      <c r="B5283" s="4">
        <v>45370.20516203704</v>
      </c>
      <c r="C5283" s="3" t="s">
        <v>4</v>
      </c>
    </row>
    <row r="5284">
      <c r="A5284" s="3">
        <v>3072.0</v>
      </c>
      <c r="B5284" s="4">
        <v>45370.236875</v>
      </c>
      <c r="C5284" s="3" t="s">
        <v>7</v>
      </c>
    </row>
    <row r="5285">
      <c r="A5285" s="3">
        <v>4670.0</v>
      </c>
      <c r="B5285" s="4">
        <v>45370.23784722222</v>
      </c>
      <c r="C5285" s="3" t="s">
        <v>3</v>
      </c>
    </row>
    <row r="5286">
      <c r="A5286" s="3">
        <v>6428.0</v>
      </c>
      <c r="B5286" s="4">
        <v>45370.240011574075</v>
      </c>
      <c r="C5286" s="3" t="s">
        <v>3</v>
      </c>
    </row>
    <row r="5287">
      <c r="A5287" s="3">
        <v>7790.0</v>
      </c>
      <c r="B5287" s="4">
        <v>45370.24113425926</v>
      </c>
      <c r="C5287" s="3" t="s">
        <v>3</v>
      </c>
    </row>
    <row r="5288">
      <c r="A5288" s="3">
        <v>6386.0</v>
      </c>
      <c r="B5288" s="4">
        <v>45370.25409722222</v>
      </c>
      <c r="C5288" s="3" t="s">
        <v>5</v>
      </c>
    </row>
    <row r="5289">
      <c r="A5289" s="3">
        <v>1936.0</v>
      </c>
      <c r="B5289" s="4">
        <v>45370.25533564815</v>
      </c>
      <c r="C5289" s="3" t="s">
        <v>3</v>
      </c>
    </row>
    <row r="5290">
      <c r="A5290" s="3">
        <v>2808.0</v>
      </c>
      <c r="B5290" s="4">
        <v>45370.2716087963</v>
      </c>
      <c r="C5290" s="3" t="s">
        <v>6</v>
      </c>
    </row>
    <row r="5291">
      <c r="A5291" s="3">
        <v>6537.0</v>
      </c>
      <c r="B5291" s="4">
        <v>45370.27165509259</v>
      </c>
      <c r="C5291" s="3" t="s">
        <v>3</v>
      </c>
    </row>
    <row r="5292">
      <c r="A5292" s="3">
        <v>2346.0</v>
      </c>
      <c r="B5292" s="4">
        <v>45370.2812962963</v>
      </c>
      <c r="C5292" s="3" t="s">
        <v>6</v>
      </c>
    </row>
    <row r="5293">
      <c r="A5293" s="3">
        <v>1773.0</v>
      </c>
      <c r="B5293" s="4">
        <v>45370.28424768519</v>
      </c>
      <c r="C5293" s="3" t="s">
        <v>3</v>
      </c>
    </row>
    <row r="5294">
      <c r="A5294" s="3">
        <v>2386.0</v>
      </c>
      <c r="B5294" s="4">
        <v>45370.31070601852</v>
      </c>
      <c r="C5294" s="3" t="s">
        <v>3</v>
      </c>
    </row>
    <row r="5295">
      <c r="A5295" s="3">
        <v>7301.0</v>
      </c>
      <c r="B5295" s="4">
        <v>45370.33219907407</v>
      </c>
      <c r="C5295" s="3" t="s">
        <v>7</v>
      </c>
    </row>
    <row r="5296">
      <c r="A5296" s="3">
        <v>4998.0</v>
      </c>
      <c r="B5296" s="4">
        <v>45370.38746527778</v>
      </c>
      <c r="C5296" s="3" t="s">
        <v>5</v>
      </c>
    </row>
    <row r="5297">
      <c r="A5297" s="3">
        <v>4831.0</v>
      </c>
      <c r="B5297" s="4">
        <v>45370.3984375</v>
      </c>
      <c r="C5297" s="3" t="s">
        <v>6</v>
      </c>
    </row>
    <row r="5298">
      <c r="A5298" s="3">
        <v>3986.0</v>
      </c>
      <c r="B5298" s="4">
        <v>45370.41019675926</v>
      </c>
      <c r="C5298" s="3" t="s">
        <v>7</v>
      </c>
    </row>
    <row r="5299">
      <c r="A5299" s="3">
        <v>7322.0</v>
      </c>
      <c r="B5299" s="4">
        <v>45370.41032407407</v>
      </c>
      <c r="C5299" s="3" t="s">
        <v>4</v>
      </c>
    </row>
    <row r="5300">
      <c r="A5300" s="3">
        <v>6859.0</v>
      </c>
      <c r="B5300" s="4">
        <v>45370.41181712963</v>
      </c>
      <c r="C5300" s="3" t="s">
        <v>3</v>
      </c>
    </row>
    <row r="5301">
      <c r="A5301" s="3">
        <v>2023.0</v>
      </c>
      <c r="B5301" s="4">
        <v>45370.437106481484</v>
      </c>
      <c r="C5301" s="3" t="s">
        <v>6</v>
      </c>
    </row>
    <row r="5302">
      <c r="A5302" s="3">
        <v>197.0</v>
      </c>
      <c r="B5302" s="4">
        <v>45370.452361111114</v>
      </c>
      <c r="C5302" s="3" t="s">
        <v>3</v>
      </c>
    </row>
    <row r="5303">
      <c r="A5303" s="3">
        <v>7342.0</v>
      </c>
      <c r="B5303" s="4">
        <v>45370.46878472222</v>
      </c>
      <c r="C5303" s="3" t="s">
        <v>4</v>
      </c>
    </row>
    <row r="5304">
      <c r="A5304" s="3">
        <v>5675.0</v>
      </c>
      <c r="B5304" s="4">
        <v>45370.47189814815</v>
      </c>
      <c r="C5304" s="3" t="s">
        <v>4</v>
      </c>
    </row>
    <row r="5305">
      <c r="A5305" s="3">
        <v>6410.0</v>
      </c>
      <c r="B5305" s="4">
        <v>45370.51975694444</v>
      </c>
      <c r="C5305" s="3" t="s">
        <v>3</v>
      </c>
    </row>
    <row r="5306">
      <c r="A5306" s="3">
        <v>6466.0</v>
      </c>
      <c r="B5306" s="4">
        <v>45370.52148148148</v>
      </c>
      <c r="C5306" s="3" t="s">
        <v>7</v>
      </c>
    </row>
    <row r="5307">
      <c r="A5307" s="3">
        <v>483.0</v>
      </c>
      <c r="B5307" s="4">
        <v>45370.542662037034</v>
      </c>
      <c r="C5307" s="3" t="s">
        <v>4</v>
      </c>
    </row>
    <row r="5308">
      <c r="A5308" s="3">
        <v>7790.0</v>
      </c>
      <c r="B5308" s="4">
        <v>45370.55795138889</v>
      </c>
      <c r="C5308" s="3" t="s">
        <v>5</v>
      </c>
    </row>
    <row r="5309">
      <c r="A5309" s="3">
        <v>848.0</v>
      </c>
      <c r="B5309" s="4">
        <v>45370.55866898148</v>
      </c>
      <c r="C5309" s="3" t="s">
        <v>3</v>
      </c>
    </row>
    <row r="5310">
      <c r="A5310" s="3">
        <v>6497.0</v>
      </c>
      <c r="B5310" s="4">
        <v>45370.57103009259</v>
      </c>
      <c r="C5310" s="3" t="s">
        <v>5</v>
      </c>
    </row>
    <row r="5311">
      <c r="A5311" s="3">
        <v>6410.0</v>
      </c>
      <c r="B5311" s="4">
        <v>45370.5877662037</v>
      </c>
      <c r="C5311" s="3" t="s">
        <v>4</v>
      </c>
    </row>
    <row r="5312">
      <c r="A5312" s="3">
        <v>108.0</v>
      </c>
      <c r="B5312" s="4">
        <v>45370.59538194445</v>
      </c>
      <c r="C5312" s="3" t="s">
        <v>7</v>
      </c>
    </row>
    <row r="5313">
      <c r="A5313" s="3">
        <v>5675.0</v>
      </c>
      <c r="B5313" s="4">
        <v>45370.60884259259</v>
      </c>
      <c r="C5313" s="3" t="s">
        <v>3</v>
      </c>
    </row>
    <row r="5314">
      <c r="A5314" s="3">
        <v>5577.0</v>
      </c>
      <c r="B5314" s="4">
        <v>45370.63078703704</v>
      </c>
      <c r="C5314" s="3" t="s">
        <v>3</v>
      </c>
    </row>
    <row r="5315">
      <c r="A5315" s="3">
        <v>3685.0</v>
      </c>
      <c r="B5315" s="4">
        <v>45370.63230324074</v>
      </c>
      <c r="C5315" s="3" t="s">
        <v>6</v>
      </c>
    </row>
    <row r="5316">
      <c r="A5316" s="3">
        <v>6664.0</v>
      </c>
      <c r="B5316" s="4">
        <v>45370.63744212963</v>
      </c>
      <c r="C5316" s="3" t="s">
        <v>4</v>
      </c>
    </row>
    <row r="5317">
      <c r="A5317" s="3">
        <v>6497.0</v>
      </c>
      <c r="B5317" s="4">
        <v>45370.63898148148</v>
      </c>
      <c r="C5317" s="3" t="s">
        <v>4</v>
      </c>
    </row>
    <row r="5318">
      <c r="A5318" s="3">
        <v>7459.0</v>
      </c>
      <c r="B5318" s="4">
        <v>45370.6615625</v>
      </c>
      <c r="C5318" s="3" t="s">
        <v>3</v>
      </c>
    </row>
    <row r="5319">
      <c r="A5319" s="3">
        <v>6497.0</v>
      </c>
      <c r="B5319" s="4">
        <v>45370.668599537035</v>
      </c>
      <c r="C5319" s="3" t="s">
        <v>3</v>
      </c>
    </row>
    <row r="5320">
      <c r="A5320" s="3">
        <v>3735.0</v>
      </c>
      <c r="B5320" s="4">
        <v>45370.67561342593</v>
      </c>
      <c r="C5320" s="3" t="s">
        <v>4</v>
      </c>
    </row>
    <row r="5321">
      <c r="A5321" s="3">
        <v>3605.0</v>
      </c>
      <c r="B5321" s="4">
        <v>45370.68287037037</v>
      </c>
      <c r="C5321" s="3" t="s">
        <v>3</v>
      </c>
    </row>
    <row r="5322">
      <c r="A5322" s="3">
        <v>505.0</v>
      </c>
      <c r="B5322" s="4">
        <v>45370.68952546296</v>
      </c>
      <c r="C5322" s="3" t="s">
        <v>3</v>
      </c>
    </row>
    <row r="5323">
      <c r="A5323" s="3">
        <v>7459.0</v>
      </c>
      <c r="B5323" s="4">
        <v>45370.72204861111</v>
      </c>
      <c r="C5323" s="3" t="s">
        <v>4</v>
      </c>
    </row>
    <row r="5324">
      <c r="A5324" s="3">
        <v>1018.0</v>
      </c>
      <c r="B5324" s="4">
        <v>45370.737905092596</v>
      </c>
      <c r="C5324" s="3" t="s">
        <v>7</v>
      </c>
    </row>
    <row r="5325">
      <c r="A5325" s="3">
        <v>1832.0</v>
      </c>
      <c r="B5325" s="4">
        <v>45370.73923611111</v>
      </c>
      <c r="C5325" s="3" t="s">
        <v>3</v>
      </c>
    </row>
    <row r="5326">
      <c r="A5326" s="3">
        <v>3070.0</v>
      </c>
      <c r="B5326" s="4">
        <v>45370.74488425926</v>
      </c>
      <c r="C5326" s="3" t="s">
        <v>3</v>
      </c>
    </row>
    <row r="5327">
      <c r="A5327" s="3">
        <v>4828.0</v>
      </c>
      <c r="B5327" s="4">
        <v>45370.74686342593</v>
      </c>
      <c r="C5327" s="3" t="s">
        <v>6</v>
      </c>
    </row>
    <row r="5328">
      <c r="A5328" s="3">
        <v>178.0</v>
      </c>
      <c r="B5328" s="4">
        <v>45370.750243055554</v>
      </c>
      <c r="C5328" s="3" t="s">
        <v>3</v>
      </c>
    </row>
    <row r="5329">
      <c r="A5329" s="3">
        <v>1536.0</v>
      </c>
      <c r="B5329" s="4">
        <v>45370.75256944444</v>
      </c>
      <c r="C5329" s="3" t="s">
        <v>3</v>
      </c>
    </row>
    <row r="5330">
      <c r="A5330" s="3">
        <v>5570.0</v>
      </c>
      <c r="B5330" s="4">
        <v>45370.75685185185</v>
      </c>
      <c r="C5330" s="3" t="s">
        <v>3</v>
      </c>
    </row>
    <row r="5331">
      <c r="A5331" s="3">
        <v>6493.0</v>
      </c>
      <c r="B5331" s="4">
        <v>45370.7587037037</v>
      </c>
      <c r="C5331" s="3" t="s">
        <v>6</v>
      </c>
    </row>
    <row r="5332">
      <c r="A5332" s="3">
        <v>2348.0</v>
      </c>
      <c r="B5332" s="4">
        <v>45370.800532407404</v>
      </c>
      <c r="C5332" s="3" t="s">
        <v>3</v>
      </c>
    </row>
    <row r="5333">
      <c r="A5333" s="3">
        <v>6684.0</v>
      </c>
      <c r="B5333" s="4">
        <v>45370.84322916667</v>
      </c>
      <c r="C5333" s="3" t="s">
        <v>3</v>
      </c>
    </row>
    <row r="5334">
      <c r="A5334" s="3">
        <v>2187.0</v>
      </c>
      <c r="B5334" s="4">
        <v>45370.87869212963</v>
      </c>
      <c r="C5334" s="3" t="s">
        <v>3</v>
      </c>
    </row>
    <row r="5335">
      <c r="A5335" s="3">
        <v>2551.0</v>
      </c>
      <c r="B5335" s="4">
        <v>45370.88575231482</v>
      </c>
      <c r="C5335" s="3" t="s">
        <v>4</v>
      </c>
    </row>
    <row r="5336">
      <c r="A5336" s="3">
        <v>2919.0</v>
      </c>
      <c r="B5336" s="4">
        <v>45370.90269675926</v>
      </c>
      <c r="C5336" s="3" t="s">
        <v>5</v>
      </c>
    </row>
    <row r="5337">
      <c r="A5337" s="3">
        <v>1299.0</v>
      </c>
      <c r="B5337" s="4">
        <v>45370.91409722222</v>
      </c>
      <c r="C5337" s="3" t="s">
        <v>5</v>
      </c>
    </row>
    <row r="5338">
      <c r="A5338" s="3">
        <v>5158.0</v>
      </c>
      <c r="B5338" s="4">
        <v>45370.929293981484</v>
      </c>
      <c r="C5338" s="3" t="s">
        <v>5</v>
      </c>
    </row>
    <row r="5339">
      <c r="A5339" s="3">
        <v>1054.0</v>
      </c>
      <c r="B5339" s="4">
        <v>45370.93072916667</v>
      </c>
      <c r="C5339" s="3" t="s">
        <v>5</v>
      </c>
    </row>
    <row r="5340">
      <c r="A5340" s="3">
        <v>735.0</v>
      </c>
      <c r="B5340" s="4">
        <v>45370.94105324074</v>
      </c>
      <c r="C5340" s="3" t="s">
        <v>3</v>
      </c>
    </row>
    <row r="5341">
      <c r="A5341" s="3">
        <v>2522.0</v>
      </c>
      <c r="B5341" s="4">
        <v>45370.944606481484</v>
      </c>
      <c r="C5341" s="3" t="s">
        <v>3</v>
      </c>
    </row>
    <row r="5342">
      <c r="A5342" s="3">
        <v>108.0</v>
      </c>
      <c r="B5342" s="4">
        <v>45370.94621527778</v>
      </c>
      <c r="C5342" s="3" t="s">
        <v>5</v>
      </c>
    </row>
    <row r="5343">
      <c r="A5343" s="3">
        <v>364.0</v>
      </c>
      <c r="B5343" s="4">
        <v>45370.94996527778</v>
      </c>
      <c r="C5343" s="3" t="s">
        <v>3</v>
      </c>
    </row>
    <row r="5344">
      <c r="A5344" s="3">
        <v>7907.0</v>
      </c>
      <c r="B5344" s="4">
        <v>45370.95539351852</v>
      </c>
      <c r="C5344" s="3" t="s">
        <v>5</v>
      </c>
    </row>
    <row r="5345">
      <c r="A5345" s="3">
        <v>2578.0</v>
      </c>
      <c r="B5345" s="4">
        <v>45370.96171296296</v>
      </c>
      <c r="C5345" s="3" t="s">
        <v>3</v>
      </c>
    </row>
    <row r="5346">
      <c r="A5346" s="3">
        <v>260.0</v>
      </c>
      <c r="B5346" s="4">
        <v>45370.965162037035</v>
      </c>
      <c r="C5346" s="3" t="s">
        <v>6</v>
      </c>
    </row>
    <row r="5347">
      <c r="A5347" s="3">
        <v>1954.0</v>
      </c>
      <c r="B5347" s="4">
        <v>45370.96702546296</v>
      </c>
      <c r="C5347" s="3" t="s">
        <v>3</v>
      </c>
    </row>
    <row r="5348">
      <c r="A5348" s="3">
        <v>5689.0</v>
      </c>
      <c r="B5348" s="4">
        <v>45370.971608796295</v>
      </c>
      <c r="C5348" s="3" t="s">
        <v>7</v>
      </c>
    </row>
    <row r="5349">
      <c r="A5349" s="3">
        <v>4252.0</v>
      </c>
      <c r="B5349" s="4">
        <v>45370.97869212963</v>
      </c>
      <c r="C5349" s="3" t="s">
        <v>6</v>
      </c>
    </row>
    <row r="5350">
      <c r="A5350" s="3">
        <v>5635.0</v>
      </c>
      <c r="B5350" s="4">
        <v>45370.992314814815</v>
      </c>
      <c r="C5350" s="3" t="s">
        <v>3</v>
      </c>
    </row>
    <row r="5351">
      <c r="A5351" s="3">
        <v>4670.0</v>
      </c>
      <c r="B5351" s="4">
        <v>45370.997777777775</v>
      </c>
      <c r="C5351" s="3" t="s">
        <v>5</v>
      </c>
    </row>
    <row r="5352">
      <c r="A5352" s="3">
        <v>6684.0</v>
      </c>
      <c r="B5352" s="4">
        <v>45371.019108796296</v>
      </c>
      <c r="C5352" s="3" t="s">
        <v>7</v>
      </c>
    </row>
    <row r="5353">
      <c r="A5353" s="3">
        <v>1920.0</v>
      </c>
      <c r="B5353" s="4">
        <v>45371.03008101852</v>
      </c>
      <c r="C5353" s="3" t="s">
        <v>4</v>
      </c>
    </row>
    <row r="5354">
      <c r="A5354" s="3">
        <v>4648.0</v>
      </c>
      <c r="B5354" s="4">
        <v>45371.04193287037</v>
      </c>
      <c r="C5354" s="3" t="s">
        <v>3</v>
      </c>
    </row>
    <row r="5355">
      <c r="A5355" s="3">
        <v>7907.0</v>
      </c>
      <c r="B5355" s="4">
        <v>45371.05126157407</v>
      </c>
      <c r="C5355" s="3" t="s">
        <v>7</v>
      </c>
    </row>
    <row r="5356">
      <c r="A5356" s="3">
        <v>7790.0</v>
      </c>
      <c r="B5356" s="4">
        <v>45371.071701388886</v>
      </c>
      <c r="C5356" s="3" t="s">
        <v>4</v>
      </c>
    </row>
    <row r="5357">
      <c r="A5357" s="3">
        <v>5826.0</v>
      </c>
      <c r="B5357" s="4">
        <v>45371.07902777778</v>
      </c>
      <c r="C5357" s="3" t="s">
        <v>3</v>
      </c>
    </row>
    <row r="5358">
      <c r="A5358" s="3">
        <v>5803.0</v>
      </c>
      <c r="B5358" s="4">
        <v>45371.083333333336</v>
      </c>
      <c r="C5358" s="3" t="s">
        <v>5</v>
      </c>
    </row>
    <row r="5359">
      <c r="A5359" s="3">
        <v>2950.0</v>
      </c>
      <c r="B5359" s="4">
        <v>45371.088368055556</v>
      </c>
      <c r="C5359" s="3" t="s">
        <v>3</v>
      </c>
    </row>
    <row r="5360">
      <c r="A5360" s="3">
        <v>834.0</v>
      </c>
      <c r="B5360" s="4">
        <v>45371.125023148146</v>
      </c>
      <c r="C5360" s="3" t="s">
        <v>4</v>
      </c>
    </row>
    <row r="5361">
      <c r="A5361" s="3">
        <v>7828.0</v>
      </c>
      <c r="B5361" s="4">
        <v>45371.137824074074</v>
      </c>
      <c r="C5361" s="3" t="s">
        <v>3</v>
      </c>
    </row>
    <row r="5362">
      <c r="A5362" s="3">
        <v>3986.0</v>
      </c>
      <c r="B5362" s="4">
        <v>45371.148125</v>
      </c>
      <c r="C5362" s="3" t="s">
        <v>4</v>
      </c>
    </row>
    <row r="5363">
      <c r="A5363" s="3">
        <v>1973.0</v>
      </c>
      <c r="B5363" s="4">
        <v>45371.2097337963</v>
      </c>
      <c r="C5363" s="3" t="s">
        <v>3</v>
      </c>
    </row>
    <row r="5364">
      <c r="A5364" s="3">
        <v>7613.0</v>
      </c>
      <c r="B5364" s="4">
        <v>45371.215995370374</v>
      </c>
      <c r="C5364" s="3" t="s">
        <v>6</v>
      </c>
    </row>
    <row r="5365">
      <c r="A5365" s="3">
        <v>6607.0</v>
      </c>
      <c r="B5365" s="4">
        <v>45371.2196875</v>
      </c>
      <c r="C5365" s="3" t="s">
        <v>7</v>
      </c>
    </row>
    <row r="5366">
      <c r="A5366" s="3">
        <v>2522.0</v>
      </c>
      <c r="B5366" s="4">
        <v>45371.22078703704</v>
      </c>
      <c r="C5366" s="3" t="s">
        <v>4</v>
      </c>
    </row>
    <row r="5367">
      <c r="A5367" s="3">
        <v>3406.0</v>
      </c>
      <c r="B5367" s="4">
        <v>45371.25881944445</v>
      </c>
      <c r="C5367" s="3" t="s">
        <v>6</v>
      </c>
    </row>
    <row r="5368">
      <c r="A5368" s="3">
        <v>2334.0</v>
      </c>
      <c r="B5368" s="4">
        <v>45371.25938657407</v>
      </c>
      <c r="C5368" s="3" t="s">
        <v>3</v>
      </c>
    </row>
    <row r="5369">
      <c r="A5369" s="3">
        <v>5556.0</v>
      </c>
      <c r="B5369" s="4">
        <v>45371.26188657407</v>
      </c>
      <c r="C5369" s="3" t="s">
        <v>3</v>
      </c>
    </row>
    <row r="5370">
      <c r="A5370" s="3">
        <v>1920.0</v>
      </c>
      <c r="B5370" s="4">
        <v>45371.26820601852</v>
      </c>
      <c r="C5370" s="3" t="s">
        <v>3</v>
      </c>
    </row>
    <row r="5371">
      <c r="A5371" s="3">
        <v>7377.0</v>
      </c>
      <c r="B5371" s="4">
        <v>45371.27576388889</v>
      </c>
      <c r="C5371" s="3" t="s">
        <v>5</v>
      </c>
    </row>
    <row r="5372">
      <c r="A5372" s="3">
        <v>1942.0</v>
      </c>
      <c r="B5372" s="4">
        <v>45371.27715277778</v>
      </c>
      <c r="C5372" s="3" t="s">
        <v>6</v>
      </c>
    </row>
    <row r="5373">
      <c r="A5373" s="3">
        <v>6386.0</v>
      </c>
      <c r="B5373" s="4">
        <v>45371.27952546296</v>
      </c>
      <c r="C5373" s="3" t="s">
        <v>4</v>
      </c>
    </row>
    <row r="5374">
      <c r="A5374" s="3">
        <v>3072.0</v>
      </c>
      <c r="B5374" s="4">
        <v>45371.29299768519</v>
      </c>
      <c r="C5374" s="3" t="s">
        <v>4</v>
      </c>
    </row>
    <row r="5375">
      <c r="A5375" s="3">
        <v>7377.0</v>
      </c>
      <c r="B5375" s="4">
        <v>45371.30824074074</v>
      </c>
      <c r="C5375" s="3" t="s">
        <v>3</v>
      </c>
    </row>
    <row r="5376">
      <c r="A5376" s="3">
        <v>2340.0</v>
      </c>
      <c r="B5376" s="4">
        <v>45371.32409722222</v>
      </c>
      <c r="C5376" s="3" t="s">
        <v>3</v>
      </c>
    </row>
    <row r="5377">
      <c r="A5377" s="3">
        <v>6063.0</v>
      </c>
      <c r="B5377" s="4">
        <v>45371.331979166665</v>
      </c>
      <c r="C5377" s="3" t="s">
        <v>6</v>
      </c>
    </row>
    <row r="5378">
      <c r="A5378" s="3">
        <v>5803.0</v>
      </c>
      <c r="B5378" s="4">
        <v>45371.33574074074</v>
      </c>
      <c r="C5378" s="3" t="s">
        <v>3</v>
      </c>
    </row>
    <row r="5379">
      <c r="A5379" s="3">
        <v>178.0</v>
      </c>
      <c r="B5379" s="4">
        <v>45371.33875</v>
      </c>
      <c r="C5379" s="3" t="s">
        <v>5</v>
      </c>
    </row>
    <row r="5380">
      <c r="A5380" s="3">
        <v>554.0</v>
      </c>
      <c r="B5380" s="4">
        <v>45371.350798611114</v>
      </c>
      <c r="C5380" s="3" t="s">
        <v>3</v>
      </c>
    </row>
    <row r="5381">
      <c r="A5381" s="3">
        <v>4388.0</v>
      </c>
      <c r="B5381" s="4">
        <v>45371.36127314815</v>
      </c>
      <c r="C5381" s="3" t="s">
        <v>7</v>
      </c>
    </row>
    <row r="5382">
      <c r="A5382" s="3">
        <v>3888.0</v>
      </c>
      <c r="B5382" s="4">
        <v>45371.369988425926</v>
      </c>
      <c r="C5382" s="3" t="s">
        <v>3</v>
      </c>
    </row>
    <row r="5383">
      <c r="A5383" s="3">
        <v>5689.0</v>
      </c>
      <c r="B5383" s="4">
        <v>45371.372928240744</v>
      </c>
      <c r="C5383" s="3" t="s">
        <v>5</v>
      </c>
    </row>
    <row r="5384">
      <c r="A5384" s="3">
        <v>3892.0</v>
      </c>
      <c r="B5384" s="4">
        <v>45371.39476851852</v>
      </c>
      <c r="C5384" s="3" t="s">
        <v>3</v>
      </c>
    </row>
    <row r="5385">
      <c r="A5385" s="3">
        <v>4175.0</v>
      </c>
      <c r="B5385" s="4">
        <v>45371.41711805556</v>
      </c>
      <c r="C5385" s="3" t="s">
        <v>5</v>
      </c>
    </row>
    <row r="5386">
      <c r="A5386" s="3">
        <v>3953.0</v>
      </c>
      <c r="B5386" s="4">
        <v>45371.43168981482</v>
      </c>
      <c r="C5386" s="3" t="s">
        <v>3</v>
      </c>
    </row>
    <row r="5387">
      <c r="A5387" s="3">
        <v>6038.0</v>
      </c>
      <c r="B5387" s="4">
        <v>45371.45324074074</v>
      </c>
      <c r="C5387" s="3" t="s">
        <v>5</v>
      </c>
    </row>
    <row r="5388">
      <c r="A5388" s="3">
        <v>2928.0</v>
      </c>
      <c r="B5388" s="4">
        <v>45371.48409722222</v>
      </c>
      <c r="C5388" s="3" t="s">
        <v>6</v>
      </c>
    </row>
    <row r="5389">
      <c r="A5389" s="3">
        <v>7213.0</v>
      </c>
      <c r="B5389" s="4">
        <v>45371.500023148146</v>
      </c>
      <c r="C5389" s="3" t="s">
        <v>3</v>
      </c>
    </row>
    <row r="5390">
      <c r="A5390" s="3">
        <v>1118.0</v>
      </c>
      <c r="B5390" s="4">
        <v>45371.51881944444</v>
      </c>
      <c r="C5390" s="3" t="s">
        <v>3</v>
      </c>
    </row>
    <row r="5391">
      <c r="A5391" s="3">
        <v>710.0</v>
      </c>
      <c r="B5391" s="4">
        <v>45371.52502314815</v>
      </c>
      <c r="C5391" s="3" t="s">
        <v>3</v>
      </c>
    </row>
    <row r="5392">
      <c r="A5392" s="3">
        <v>7926.0</v>
      </c>
      <c r="B5392" s="4">
        <v>45371.54383101852</v>
      </c>
      <c r="C5392" s="3" t="s">
        <v>3</v>
      </c>
    </row>
    <row r="5393">
      <c r="A5393" s="3">
        <v>4230.0</v>
      </c>
      <c r="B5393" s="4">
        <v>45371.56387731482</v>
      </c>
      <c r="C5393" s="3" t="s">
        <v>5</v>
      </c>
    </row>
    <row r="5394">
      <c r="A5394" s="3">
        <v>197.0</v>
      </c>
      <c r="B5394" s="4">
        <v>45371.56814814815</v>
      </c>
      <c r="C5394" s="3" t="s">
        <v>5</v>
      </c>
    </row>
    <row r="5395">
      <c r="A5395" s="3">
        <v>7613.0</v>
      </c>
      <c r="B5395" s="4">
        <v>45371.58215277778</v>
      </c>
      <c r="C5395" s="3" t="s">
        <v>7</v>
      </c>
    </row>
    <row r="5396">
      <c r="A5396" s="3">
        <v>5990.0</v>
      </c>
      <c r="B5396" s="4">
        <v>45371.58310185185</v>
      </c>
      <c r="C5396" s="3" t="s">
        <v>3</v>
      </c>
    </row>
    <row r="5397">
      <c r="A5397" s="3">
        <v>1883.0</v>
      </c>
      <c r="B5397" s="4">
        <v>45371.58695601852</v>
      </c>
      <c r="C5397" s="3" t="s">
        <v>7</v>
      </c>
    </row>
    <row r="5398">
      <c r="A5398" s="3">
        <v>4648.0</v>
      </c>
      <c r="B5398" s="4">
        <v>45371.604050925926</v>
      </c>
      <c r="C5398" s="3" t="s">
        <v>5</v>
      </c>
    </row>
    <row r="5399">
      <c r="A5399" s="3">
        <v>848.0</v>
      </c>
      <c r="B5399" s="4">
        <v>45371.60508101852</v>
      </c>
      <c r="C5399" s="3" t="s">
        <v>7</v>
      </c>
    </row>
    <row r="5400">
      <c r="A5400" s="3">
        <v>6410.0</v>
      </c>
      <c r="B5400" s="4">
        <v>45371.60900462963</v>
      </c>
      <c r="C5400" s="3" t="s">
        <v>5</v>
      </c>
    </row>
    <row r="5401">
      <c r="A5401" s="3">
        <v>7859.0</v>
      </c>
      <c r="B5401" s="4">
        <v>45371.610451388886</v>
      </c>
      <c r="C5401" s="3" t="s">
        <v>4</v>
      </c>
    </row>
    <row r="5402">
      <c r="A5402" s="3">
        <v>1177.0</v>
      </c>
      <c r="B5402" s="4">
        <v>45371.61207175926</v>
      </c>
      <c r="C5402" s="3" t="s">
        <v>6</v>
      </c>
    </row>
    <row r="5403">
      <c r="A5403" s="3">
        <v>3187.0</v>
      </c>
      <c r="B5403" s="4">
        <v>45371.634097222224</v>
      </c>
      <c r="C5403" s="3" t="s">
        <v>3</v>
      </c>
    </row>
    <row r="5404">
      <c r="A5404" s="3">
        <v>5800.0</v>
      </c>
      <c r="B5404" s="4">
        <v>45371.65366898148</v>
      </c>
      <c r="C5404" s="3" t="s">
        <v>3</v>
      </c>
    </row>
    <row r="5405">
      <c r="A5405" s="3">
        <v>834.0</v>
      </c>
      <c r="B5405" s="4">
        <v>45371.654398148145</v>
      </c>
      <c r="C5405" s="3" t="s">
        <v>5</v>
      </c>
    </row>
    <row r="5406">
      <c r="A5406" s="3">
        <v>2211.0</v>
      </c>
      <c r="B5406" s="4">
        <v>45371.666875</v>
      </c>
      <c r="C5406" s="3" t="s">
        <v>6</v>
      </c>
    </row>
    <row r="5407">
      <c r="A5407" s="3">
        <v>108.0</v>
      </c>
      <c r="B5407" s="4">
        <v>45371.6671875</v>
      </c>
      <c r="C5407" s="3" t="s">
        <v>6</v>
      </c>
    </row>
    <row r="5408">
      <c r="A5408" s="3">
        <v>197.0</v>
      </c>
      <c r="B5408" s="4">
        <v>45371.68393518519</v>
      </c>
      <c r="C5408" s="3" t="s">
        <v>7</v>
      </c>
    </row>
    <row r="5409">
      <c r="A5409" s="3">
        <v>735.0</v>
      </c>
      <c r="B5409" s="4">
        <v>45371.69247685185</v>
      </c>
      <c r="C5409" s="3" t="s">
        <v>5</v>
      </c>
    </row>
    <row r="5410">
      <c r="A5410" s="3">
        <v>735.0</v>
      </c>
      <c r="B5410" s="4">
        <v>45371.69253472222</v>
      </c>
      <c r="C5410" s="3" t="s">
        <v>4</v>
      </c>
    </row>
    <row r="5411">
      <c r="A5411" s="3">
        <v>534.0</v>
      </c>
      <c r="B5411" s="4">
        <v>45371.71266203704</v>
      </c>
      <c r="C5411" s="3" t="s">
        <v>3</v>
      </c>
    </row>
    <row r="5412">
      <c r="A5412" s="3">
        <v>3287.0</v>
      </c>
      <c r="B5412" s="4">
        <v>45371.74186342592</v>
      </c>
      <c r="C5412" s="3" t="s">
        <v>3</v>
      </c>
    </row>
    <row r="5413">
      <c r="A5413" s="3">
        <v>2334.0</v>
      </c>
      <c r="B5413" s="4">
        <v>45371.74925925926</v>
      </c>
      <c r="C5413" s="3" t="s">
        <v>4</v>
      </c>
    </row>
    <row r="5414">
      <c r="A5414" s="3">
        <v>7741.0</v>
      </c>
      <c r="B5414" s="4">
        <v>45371.75564814815</v>
      </c>
      <c r="C5414" s="3" t="s">
        <v>4</v>
      </c>
    </row>
    <row r="5415">
      <c r="A5415" s="3">
        <v>5316.0</v>
      </c>
      <c r="B5415" s="4">
        <v>45371.76730324074</v>
      </c>
      <c r="C5415" s="3" t="s">
        <v>4</v>
      </c>
    </row>
    <row r="5416">
      <c r="A5416" s="3">
        <v>6684.0</v>
      </c>
      <c r="B5416" s="4">
        <v>45371.77556712963</v>
      </c>
      <c r="C5416" s="3" t="s">
        <v>4</v>
      </c>
    </row>
    <row r="5417">
      <c r="A5417" s="3">
        <v>888.0</v>
      </c>
      <c r="B5417" s="4">
        <v>45371.82072916667</v>
      </c>
      <c r="C5417" s="3" t="s">
        <v>3</v>
      </c>
    </row>
    <row r="5418">
      <c r="A5418" s="3">
        <v>857.0</v>
      </c>
      <c r="B5418" s="4">
        <v>45371.84422453704</v>
      </c>
      <c r="C5418" s="3" t="s">
        <v>5</v>
      </c>
    </row>
    <row r="5419">
      <c r="A5419" s="3">
        <v>6265.0</v>
      </c>
      <c r="B5419" s="4">
        <v>45371.8734837963</v>
      </c>
      <c r="C5419" s="3" t="s">
        <v>6</v>
      </c>
    </row>
    <row r="5420">
      <c r="A5420" s="3">
        <v>5616.0</v>
      </c>
      <c r="B5420" s="4">
        <v>45371.87563657408</v>
      </c>
      <c r="C5420" s="3" t="s">
        <v>3</v>
      </c>
    </row>
    <row r="5421">
      <c r="A5421" s="3">
        <v>5717.0</v>
      </c>
      <c r="B5421" s="4">
        <v>45371.892430555556</v>
      </c>
      <c r="C5421" s="3" t="s">
        <v>5</v>
      </c>
    </row>
    <row r="5422">
      <c r="A5422" s="3">
        <v>6038.0</v>
      </c>
      <c r="B5422" s="4">
        <v>45371.899201388886</v>
      </c>
      <c r="C5422" s="3" t="s">
        <v>3</v>
      </c>
    </row>
    <row r="5423">
      <c r="A5423" s="3">
        <v>3913.0</v>
      </c>
      <c r="B5423" s="4">
        <v>45371.92570601852</v>
      </c>
      <c r="C5423" s="3" t="s">
        <v>4</v>
      </c>
    </row>
    <row r="5424">
      <c r="A5424" s="3">
        <v>6955.0</v>
      </c>
      <c r="B5424" s="4">
        <v>45371.92748842593</v>
      </c>
      <c r="C5424" s="3" t="s">
        <v>3</v>
      </c>
    </row>
    <row r="5425">
      <c r="A5425" s="3">
        <v>5661.0</v>
      </c>
      <c r="B5425" s="4">
        <v>45371.935</v>
      </c>
      <c r="C5425" s="3" t="s">
        <v>4</v>
      </c>
    </row>
    <row r="5426">
      <c r="A5426" s="3">
        <v>5717.0</v>
      </c>
      <c r="B5426" s="4">
        <v>45371.937002314815</v>
      </c>
      <c r="C5426" s="3" t="s">
        <v>4</v>
      </c>
    </row>
    <row r="5427">
      <c r="A5427" s="3">
        <v>857.0</v>
      </c>
      <c r="B5427" s="4">
        <v>45371.94625</v>
      </c>
      <c r="C5427" s="3" t="s">
        <v>3</v>
      </c>
    </row>
    <row r="5428">
      <c r="A5428" s="3">
        <v>4501.0</v>
      </c>
      <c r="B5428" s="4">
        <v>45371.982256944444</v>
      </c>
      <c r="C5428" s="3" t="s">
        <v>3</v>
      </c>
    </row>
    <row r="5429">
      <c r="A5429" s="3">
        <v>2565.0</v>
      </c>
      <c r="B5429" s="4">
        <v>45372.01474537037</v>
      </c>
      <c r="C5429" s="3" t="s">
        <v>3</v>
      </c>
    </row>
    <row r="5430">
      <c r="A5430" s="3">
        <v>909.0</v>
      </c>
      <c r="B5430" s="4">
        <v>45372.02564814815</v>
      </c>
      <c r="C5430" s="3" t="s">
        <v>3</v>
      </c>
    </row>
    <row r="5431">
      <c r="A5431" s="3">
        <v>5803.0</v>
      </c>
      <c r="B5431" s="4">
        <v>45372.02638888889</v>
      </c>
      <c r="C5431" s="3" t="s">
        <v>4</v>
      </c>
    </row>
    <row r="5432">
      <c r="A5432" s="3">
        <v>1875.0</v>
      </c>
      <c r="B5432" s="4">
        <v>45372.05025462963</v>
      </c>
      <c r="C5432" s="3" t="s">
        <v>3</v>
      </c>
    </row>
    <row r="5433">
      <c r="A5433" s="3">
        <v>3697.0</v>
      </c>
      <c r="B5433" s="4">
        <v>45372.062685185185</v>
      </c>
      <c r="C5433" s="3" t="s">
        <v>3</v>
      </c>
    </row>
    <row r="5434">
      <c r="A5434" s="3">
        <v>4670.0</v>
      </c>
      <c r="B5434" s="4">
        <v>45372.07016203704</v>
      </c>
      <c r="C5434" s="3" t="s">
        <v>6</v>
      </c>
    </row>
    <row r="5435">
      <c r="A5435" s="3">
        <v>2334.0</v>
      </c>
      <c r="B5435" s="4">
        <v>45372.07369212963</v>
      </c>
      <c r="C5435" s="3" t="s">
        <v>7</v>
      </c>
    </row>
    <row r="5436">
      <c r="A5436" s="3">
        <v>6386.0</v>
      </c>
      <c r="B5436" s="4">
        <v>45372.08650462963</v>
      </c>
      <c r="C5436" s="3" t="s">
        <v>6</v>
      </c>
    </row>
    <row r="5437">
      <c r="A5437" s="3">
        <v>2551.0</v>
      </c>
      <c r="B5437" s="4">
        <v>45372.08684027778</v>
      </c>
      <c r="C5437" s="3" t="s">
        <v>5</v>
      </c>
    </row>
    <row r="5438">
      <c r="A5438" s="3">
        <v>3967.0</v>
      </c>
      <c r="B5438" s="4">
        <v>45372.08693287037</v>
      </c>
      <c r="C5438" s="3" t="s">
        <v>3</v>
      </c>
    </row>
    <row r="5439">
      <c r="A5439" s="3">
        <v>534.0</v>
      </c>
      <c r="B5439" s="4">
        <v>45372.09967592593</v>
      </c>
      <c r="C5439" s="3" t="s">
        <v>7</v>
      </c>
    </row>
    <row r="5440">
      <c r="A5440" s="3">
        <v>6578.0</v>
      </c>
      <c r="B5440" s="4">
        <v>45372.10670138889</v>
      </c>
      <c r="C5440" s="3" t="s">
        <v>3</v>
      </c>
    </row>
    <row r="5441">
      <c r="A5441" s="3">
        <v>1209.0</v>
      </c>
      <c r="B5441" s="4">
        <v>45372.15758101852</v>
      </c>
      <c r="C5441" s="3" t="s">
        <v>4</v>
      </c>
    </row>
    <row r="5442">
      <c r="A5442" s="3">
        <v>3308.0</v>
      </c>
      <c r="B5442" s="4">
        <v>45372.181446759256</v>
      </c>
      <c r="C5442" s="3" t="s">
        <v>3</v>
      </c>
    </row>
    <row r="5443">
      <c r="A5443" s="3">
        <v>2334.0</v>
      </c>
      <c r="B5443" s="4">
        <v>45372.19432870371</v>
      </c>
      <c r="C5443" s="3" t="s">
        <v>5</v>
      </c>
    </row>
    <row r="5444">
      <c r="A5444" s="3">
        <v>3697.0</v>
      </c>
      <c r="B5444" s="4">
        <v>45372.22618055555</v>
      </c>
      <c r="C5444" s="3" t="s">
        <v>4</v>
      </c>
    </row>
    <row r="5445">
      <c r="A5445" s="3">
        <v>4421.0</v>
      </c>
      <c r="B5445" s="4">
        <v>45372.250810185185</v>
      </c>
      <c r="C5445" s="3" t="s">
        <v>4</v>
      </c>
    </row>
    <row r="5446">
      <c r="A5446" s="3">
        <v>4501.0</v>
      </c>
      <c r="B5446" s="4">
        <v>45372.27099537037</v>
      </c>
      <c r="C5446" s="3" t="s">
        <v>7</v>
      </c>
    </row>
    <row r="5447">
      <c r="A5447" s="3">
        <v>5635.0</v>
      </c>
      <c r="B5447" s="4">
        <v>45372.29326388889</v>
      </c>
      <c r="C5447" s="3" t="s">
        <v>4</v>
      </c>
    </row>
    <row r="5448">
      <c r="A5448" s="3">
        <v>178.0</v>
      </c>
      <c r="B5448" s="4">
        <v>45372.29368055556</v>
      </c>
      <c r="C5448" s="3" t="s">
        <v>4</v>
      </c>
    </row>
    <row r="5449">
      <c r="A5449" s="3">
        <v>3820.0</v>
      </c>
      <c r="B5449" s="4">
        <v>45372.30025462963</v>
      </c>
      <c r="C5449" s="3" t="s">
        <v>3</v>
      </c>
    </row>
    <row r="5450">
      <c r="A5450" s="3">
        <v>3672.0</v>
      </c>
      <c r="B5450" s="4">
        <v>45372.32010416667</v>
      </c>
      <c r="C5450" s="3" t="s">
        <v>4</v>
      </c>
    </row>
    <row r="5451">
      <c r="A5451" s="3">
        <v>6263.0</v>
      </c>
      <c r="B5451" s="4">
        <v>45372.33378472222</v>
      </c>
      <c r="C5451" s="3" t="s">
        <v>3</v>
      </c>
    </row>
    <row r="5452">
      <c r="A5452" s="3">
        <v>7113.0</v>
      </c>
      <c r="B5452" s="4">
        <v>45372.345821759256</v>
      </c>
      <c r="C5452" s="3" t="s">
        <v>6</v>
      </c>
    </row>
    <row r="5453">
      <c r="A5453" s="3">
        <v>2578.0</v>
      </c>
      <c r="B5453" s="4">
        <v>45372.361493055556</v>
      </c>
      <c r="C5453" s="3" t="s">
        <v>7</v>
      </c>
    </row>
    <row r="5454">
      <c r="A5454" s="3">
        <v>1710.0</v>
      </c>
      <c r="B5454" s="4">
        <v>45372.36231481482</v>
      </c>
      <c r="C5454" s="3" t="s">
        <v>3</v>
      </c>
    </row>
    <row r="5455">
      <c r="A5455" s="3">
        <v>2088.0</v>
      </c>
      <c r="B5455" s="4">
        <v>45372.36403935185</v>
      </c>
      <c r="C5455" s="3" t="s">
        <v>3</v>
      </c>
    </row>
    <row r="5456">
      <c r="A5456" s="3">
        <v>5104.0</v>
      </c>
      <c r="B5456" s="4">
        <v>45372.38730324074</v>
      </c>
      <c r="C5456" s="3" t="s">
        <v>3</v>
      </c>
    </row>
    <row r="5457">
      <c r="A5457" s="3">
        <v>6406.0</v>
      </c>
      <c r="B5457" s="4">
        <v>45372.42403935185</v>
      </c>
      <c r="C5457" s="3" t="s">
        <v>4</v>
      </c>
    </row>
    <row r="5458">
      <c r="A5458" s="3">
        <v>6660.0</v>
      </c>
      <c r="B5458" s="4">
        <v>45372.43662037037</v>
      </c>
      <c r="C5458" s="3" t="s">
        <v>6</v>
      </c>
    </row>
    <row r="5459">
      <c r="A5459" s="3">
        <v>1076.0</v>
      </c>
      <c r="B5459" s="4">
        <v>45372.43788194445</v>
      </c>
      <c r="C5459" s="3" t="s">
        <v>3</v>
      </c>
    </row>
    <row r="5460">
      <c r="A5460" s="3">
        <v>7322.0</v>
      </c>
      <c r="B5460" s="4">
        <v>45372.44981481481</v>
      </c>
      <c r="C5460" s="3" t="s">
        <v>7</v>
      </c>
    </row>
    <row r="5461">
      <c r="A5461" s="3">
        <v>5758.0</v>
      </c>
      <c r="B5461" s="4">
        <v>45372.454201388886</v>
      </c>
      <c r="C5461" s="3" t="s">
        <v>3</v>
      </c>
    </row>
    <row r="5462">
      <c r="A5462" s="3">
        <v>4998.0</v>
      </c>
      <c r="B5462" s="4">
        <v>45372.50270833333</v>
      </c>
      <c r="C5462" s="3" t="s">
        <v>6</v>
      </c>
    </row>
    <row r="5463">
      <c r="A5463" s="3">
        <v>3033.0</v>
      </c>
      <c r="B5463" s="4">
        <v>45372.50413194444</v>
      </c>
      <c r="C5463" s="3" t="s">
        <v>3</v>
      </c>
    </row>
    <row r="5464">
      <c r="A5464" s="3">
        <v>5578.0</v>
      </c>
      <c r="B5464" s="4">
        <v>45372.508368055554</v>
      </c>
      <c r="C5464" s="3" t="s">
        <v>3</v>
      </c>
    </row>
    <row r="5465">
      <c r="A5465" s="3">
        <v>4229.0</v>
      </c>
      <c r="B5465" s="4">
        <v>45372.51283564815</v>
      </c>
      <c r="C5465" s="3" t="s">
        <v>3</v>
      </c>
    </row>
    <row r="5466">
      <c r="A5466" s="3">
        <v>6265.0</v>
      </c>
      <c r="B5466" s="4">
        <v>45372.513877314814</v>
      </c>
      <c r="C5466" s="3" t="s">
        <v>5</v>
      </c>
    </row>
    <row r="5467">
      <c r="A5467" s="3">
        <v>7377.0</v>
      </c>
      <c r="B5467" s="4">
        <v>45372.52196759259</v>
      </c>
      <c r="C5467" s="3" t="s">
        <v>6</v>
      </c>
    </row>
    <row r="5468">
      <c r="A5468" s="3">
        <v>6068.0</v>
      </c>
      <c r="B5468" s="4">
        <v>45372.52259259259</v>
      </c>
      <c r="C5468" s="3" t="s">
        <v>6</v>
      </c>
    </row>
    <row r="5469">
      <c r="A5469" s="3">
        <v>5019.0</v>
      </c>
      <c r="B5469" s="4">
        <v>45372.54599537037</v>
      </c>
      <c r="C5469" s="3" t="s">
        <v>5</v>
      </c>
    </row>
    <row r="5470">
      <c r="A5470" s="3">
        <v>7342.0</v>
      </c>
      <c r="B5470" s="4">
        <v>45372.54875</v>
      </c>
      <c r="C5470" s="3" t="s">
        <v>5</v>
      </c>
    </row>
    <row r="5471">
      <c r="A5471" s="3">
        <v>905.0</v>
      </c>
      <c r="B5471" s="4">
        <v>45372.55167824074</v>
      </c>
      <c r="C5471" s="3" t="s">
        <v>7</v>
      </c>
    </row>
    <row r="5472">
      <c r="A5472" s="3">
        <v>6354.0</v>
      </c>
      <c r="B5472" s="4">
        <v>45372.55907407407</v>
      </c>
      <c r="C5472" s="3" t="s">
        <v>3</v>
      </c>
    </row>
    <row r="5473">
      <c r="A5473" s="3">
        <v>7459.0</v>
      </c>
      <c r="B5473" s="4">
        <v>45372.56858796296</v>
      </c>
      <c r="C5473" s="3" t="s">
        <v>5</v>
      </c>
    </row>
    <row r="5474">
      <c r="A5474" s="3">
        <v>3409.0</v>
      </c>
      <c r="B5474" s="4">
        <v>45372.58474537037</v>
      </c>
      <c r="C5474" s="3" t="s">
        <v>3</v>
      </c>
    </row>
    <row r="5475">
      <c r="A5475" s="3">
        <v>4358.0</v>
      </c>
      <c r="B5475" s="4">
        <v>45372.5890162037</v>
      </c>
      <c r="C5475" s="3" t="s">
        <v>3</v>
      </c>
    </row>
    <row r="5476">
      <c r="A5476" s="3">
        <v>2121.0</v>
      </c>
      <c r="B5476" s="4">
        <v>45372.59679398148</v>
      </c>
      <c r="C5476" s="3" t="s">
        <v>4</v>
      </c>
    </row>
    <row r="5477">
      <c r="A5477" s="3">
        <v>1177.0</v>
      </c>
      <c r="B5477" s="4">
        <v>45372.61943287037</v>
      </c>
      <c r="C5477" s="3" t="s">
        <v>7</v>
      </c>
    </row>
    <row r="5478">
      <c r="A5478" s="3">
        <v>6660.0</v>
      </c>
      <c r="B5478" s="4">
        <v>45372.631736111114</v>
      </c>
      <c r="C5478" s="3" t="s">
        <v>7</v>
      </c>
    </row>
    <row r="5479">
      <c r="A5479" s="3">
        <v>6738.0</v>
      </c>
      <c r="B5479" s="4">
        <v>45372.63450231482</v>
      </c>
      <c r="C5479" s="3" t="s">
        <v>4</v>
      </c>
    </row>
    <row r="5480">
      <c r="A5480" s="3">
        <v>5803.0</v>
      </c>
      <c r="B5480" s="4">
        <v>45372.639918981484</v>
      </c>
      <c r="C5480" s="3" t="s">
        <v>6</v>
      </c>
    </row>
    <row r="5481">
      <c r="A5481" s="3">
        <v>4884.0</v>
      </c>
      <c r="B5481" s="4">
        <v>45372.64096064815</v>
      </c>
      <c r="C5481" s="3" t="s">
        <v>6</v>
      </c>
    </row>
    <row r="5482">
      <c r="A5482" s="3">
        <v>550.0</v>
      </c>
      <c r="B5482" s="4">
        <v>45372.645150462966</v>
      </c>
      <c r="C5482" s="3" t="s">
        <v>3</v>
      </c>
    </row>
    <row r="5483">
      <c r="A5483" s="3">
        <v>7322.0</v>
      </c>
      <c r="B5483" s="4">
        <v>45372.65590277778</v>
      </c>
      <c r="C5483" s="3" t="s">
        <v>6</v>
      </c>
    </row>
    <row r="5484">
      <c r="A5484" s="3">
        <v>2088.0</v>
      </c>
      <c r="B5484" s="4">
        <v>45372.65998842593</v>
      </c>
      <c r="C5484" s="3" t="s">
        <v>4</v>
      </c>
    </row>
    <row r="5485">
      <c r="A5485" s="3">
        <v>909.0</v>
      </c>
      <c r="B5485" s="4">
        <v>45372.66185185185</v>
      </c>
      <c r="C5485" s="3" t="s">
        <v>5</v>
      </c>
    </row>
    <row r="5486">
      <c r="A5486" s="3">
        <v>6406.0</v>
      </c>
      <c r="B5486" s="4">
        <v>45372.664826388886</v>
      </c>
      <c r="C5486" s="3" t="s">
        <v>3</v>
      </c>
    </row>
    <row r="5487">
      <c r="A5487" s="3">
        <v>5697.0</v>
      </c>
      <c r="B5487" s="4">
        <v>45372.68017361111</v>
      </c>
      <c r="C5487" s="3" t="s">
        <v>3</v>
      </c>
    </row>
    <row r="5488">
      <c r="A5488" s="3">
        <v>7828.0</v>
      </c>
      <c r="B5488" s="4">
        <v>45372.6850462963</v>
      </c>
      <c r="C5488" s="3" t="s">
        <v>5</v>
      </c>
    </row>
    <row r="5489">
      <c r="A5489" s="3">
        <v>1536.0</v>
      </c>
      <c r="B5489" s="4">
        <v>45372.73168981481</v>
      </c>
      <c r="C5489" s="3" t="s">
        <v>5</v>
      </c>
    </row>
    <row r="5490">
      <c r="A5490" s="3">
        <v>1054.0</v>
      </c>
      <c r="B5490" s="4">
        <v>45372.756319444445</v>
      </c>
      <c r="C5490" s="3" t="s">
        <v>6</v>
      </c>
    </row>
    <row r="5491">
      <c r="A5491" s="3">
        <v>4654.0</v>
      </c>
      <c r="B5491" s="4">
        <v>45372.75697916667</v>
      </c>
      <c r="C5491" s="3" t="s">
        <v>3</v>
      </c>
    </row>
    <row r="5492">
      <c r="A5492" s="3">
        <v>197.0</v>
      </c>
      <c r="B5492" s="4">
        <v>45372.76116898148</v>
      </c>
      <c r="C5492" s="3" t="s">
        <v>6</v>
      </c>
    </row>
    <row r="5493">
      <c r="A5493" s="3">
        <v>5902.0</v>
      </c>
      <c r="B5493" s="4">
        <v>45372.7950462963</v>
      </c>
      <c r="C5493" s="3" t="s">
        <v>3</v>
      </c>
    </row>
    <row r="5494">
      <c r="A5494" s="3">
        <v>39.0</v>
      </c>
      <c r="B5494" s="4">
        <v>45372.80568287037</v>
      </c>
      <c r="C5494" s="3" t="s">
        <v>3</v>
      </c>
    </row>
    <row r="5495">
      <c r="A5495" s="3">
        <v>7926.0</v>
      </c>
      <c r="B5495" s="4">
        <v>45372.809386574074</v>
      </c>
      <c r="C5495" s="3" t="s">
        <v>4</v>
      </c>
    </row>
    <row r="5496">
      <c r="A5496" s="3">
        <v>2139.0</v>
      </c>
      <c r="B5496" s="4">
        <v>45372.810694444444</v>
      </c>
      <c r="C5496" s="3" t="s">
        <v>7</v>
      </c>
    </row>
    <row r="5497">
      <c r="A5497" s="3">
        <v>3735.0</v>
      </c>
      <c r="B5497" s="4">
        <v>45372.81748842593</v>
      </c>
      <c r="C5497" s="3" t="s">
        <v>7</v>
      </c>
    </row>
    <row r="5498">
      <c r="A5498" s="3">
        <v>3062.0</v>
      </c>
      <c r="B5498" s="4">
        <v>45372.81898148148</v>
      </c>
      <c r="C5498" s="3" t="s">
        <v>3</v>
      </c>
    </row>
    <row r="5499">
      <c r="A5499" s="3">
        <v>7213.0</v>
      </c>
      <c r="B5499" s="4">
        <v>45372.8284375</v>
      </c>
      <c r="C5499" s="3" t="s">
        <v>4</v>
      </c>
    </row>
    <row r="5500">
      <c r="A5500" s="3">
        <v>178.0</v>
      </c>
      <c r="B5500" s="4">
        <v>45372.84023148148</v>
      </c>
      <c r="C5500" s="3" t="s">
        <v>7</v>
      </c>
    </row>
    <row r="5501">
      <c r="A5501" s="3">
        <v>7741.0</v>
      </c>
      <c r="B5501" s="4">
        <v>45372.843622685185</v>
      </c>
      <c r="C5501" s="3" t="s">
        <v>5</v>
      </c>
    </row>
    <row r="5502">
      <c r="A5502" s="3">
        <v>2588.0</v>
      </c>
      <c r="B5502" s="4">
        <v>45372.85842592592</v>
      </c>
      <c r="C5502" s="3" t="s">
        <v>3</v>
      </c>
    </row>
    <row r="5503">
      <c r="A5503" s="3">
        <v>4421.0</v>
      </c>
      <c r="B5503" s="4">
        <v>45372.859131944446</v>
      </c>
      <c r="C5503" s="3" t="s">
        <v>3</v>
      </c>
    </row>
    <row r="5504">
      <c r="A5504" s="3">
        <v>6895.0</v>
      </c>
      <c r="B5504" s="4">
        <v>45372.861597222225</v>
      </c>
      <c r="C5504" s="3" t="s">
        <v>3</v>
      </c>
    </row>
    <row r="5505">
      <c r="A5505" s="3">
        <v>7535.0</v>
      </c>
      <c r="B5505" s="4">
        <v>45372.86859953704</v>
      </c>
      <c r="C5505" s="3" t="s">
        <v>3</v>
      </c>
    </row>
    <row r="5506">
      <c r="A5506" s="3">
        <v>1254.0</v>
      </c>
      <c r="B5506" s="4">
        <v>45372.87318287037</v>
      </c>
      <c r="C5506" s="3" t="s">
        <v>6</v>
      </c>
    </row>
    <row r="5507">
      <c r="A5507" s="3">
        <v>6124.0</v>
      </c>
      <c r="B5507" s="4">
        <v>45372.9002662037</v>
      </c>
      <c r="C5507" s="3" t="s">
        <v>3</v>
      </c>
    </row>
    <row r="5508">
      <c r="A5508" s="3">
        <v>225.0</v>
      </c>
      <c r="B5508" s="4">
        <v>45372.91501157408</v>
      </c>
      <c r="C5508" s="3" t="s">
        <v>3</v>
      </c>
    </row>
    <row r="5509">
      <c r="A5509" s="3">
        <v>1536.0</v>
      </c>
      <c r="B5509" s="4">
        <v>45372.92150462963</v>
      </c>
      <c r="C5509" s="3" t="s">
        <v>6</v>
      </c>
    </row>
    <row r="5510">
      <c r="A5510" s="3">
        <v>7609.0</v>
      </c>
      <c r="B5510" s="4">
        <v>45372.928715277776</v>
      </c>
      <c r="C5510" s="3" t="s">
        <v>3</v>
      </c>
    </row>
    <row r="5511">
      <c r="A5511" s="3">
        <v>225.0</v>
      </c>
      <c r="B5511" s="4">
        <v>45372.929756944446</v>
      </c>
      <c r="C5511" s="3" t="s">
        <v>4</v>
      </c>
    </row>
    <row r="5512">
      <c r="A5512" s="3">
        <v>2121.0</v>
      </c>
      <c r="B5512" s="4">
        <v>45372.93017361111</v>
      </c>
      <c r="C5512" s="3" t="s">
        <v>3</v>
      </c>
    </row>
    <row r="5513">
      <c r="A5513" s="3">
        <v>5643.0</v>
      </c>
      <c r="B5513" s="4">
        <v>45372.932291666664</v>
      </c>
      <c r="C5513" s="3" t="s">
        <v>3</v>
      </c>
    </row>
    <row r="5514">
      <c r="A5514" s="3">
        <v>2949.0</v>
      </c>
      <c r="B5514" s="4">
        <v>45373.015625</v>
      </c>
      <c r="C5514" s="3" t="s">
        <v>6</v>
      </c>
    </row>
    <row r="5515">
      <c r="A5515" s="3">
        <v>6038.0</v>
      </c>
      <c r="B5515" s="4">
        <v>45373.01777777778</v>
      </c>
      <c r="C5515" s="3" t="s">
        <v>4</v>
      </c>
    </row>
    <row r="5516">
      <c r="A5516" s="3">
        <v>6386.0</v>
      </c>
      <c r="B5516" s="4">
        <v>45373.02716435185</v>
      </c>
      <c r="C5516" s="3" t="s">
        <v>7</v>
      </c>
    </row>
    <row r="5517">
      <c r="A5517" s="3">
        <v>5628.0</v>
      </c>
      <c r="B5517" s="4">
        <v>45373.043900462966</v>
      </c>
      <c r="C5517" s="3" t="s">
        <v>5</v>
      </c>
    </row>
    <row r="5518">
      <c r="A5518" s="3">
        <v>488.0</v>
      </c>
      <c r="B5518" s="4">
        <v>45373.055138888885</v>
      </c>
      <c r="C5518" s="3" t="s">
        <v>6</v>
      </c>
    </row>
    <row r="5519">
      <c r="A5519" s="3">
        <v>6578.0</v>
      </c>
      <c r="B5519" s="4">
        <v>45373.059375</v>
      </c>
      <c r="C5519" s="3" t="s">
        <v>4</v>
      </c>
    </row>
    <row r="5520">
      <c r="A5520" s="3">
        <v>6073.0</v>
      </c>
      <c r="B5520" s="4">
        <v>45373.07976851852</v>
      </c>
      <c r="C5520" s="3" t="s">
        <v>3</v>
      </c>
    </row>
    <row r="5521">
      <c r="A5521" s="3">
        <v>613.0</v>
      </c>
      <c r="B5521" s="4">
        <v>45373.08023148148</v>
      </c>
      <c r="C5521" s="3" t="s">
        <v>3</v>
      </c>
    </row>
    <row r="5522">
      <c r="A5522" s="3">
        <v>4862.0</v>
      </c>
      <c r="B5522" s="4">
        <v>45373.09013888889</v>
      </c>
      <c r="C5522" s="3" t="s">
        <v>3</v>
      </c>
    </row>
    <row r="5523">
      <c r="A5523" s="3">
        <v>5104.0</v>
      </c>
      <c r="B5523" s="4">
        <v>45373.09453703704</v>
      </c>
      <c r="C5523" s="3" t="s">
        <v>5</v>
      </c>
    </row>
    <row r="5524">
      <c r="A5524" s="3">
        <v>150.0</v>
      </c>
      <c r="B5524" s="4">
        <v>45373.09873842593</v>
      </c>
      <c r="C5524" s="3" t="s">
        <v>4</v>
      </c>
    </row>
    <row r="5525">
      <c r="A5525" s="3">
        <v>1973.0</v>
      </c>
      <c r="B5525" s="4">
        <v>45373.104675925926</v>
      </c>
      <c r="C5525" s="3" t="s">
        <v>5</v>
      </c>
    </row>
    <row r="5526">
      <c r="A5526" s="3">
        <v>1973.0</v>
      </c>
      <c r="B5526" s="4">
        <v>45373.1071875</v>
      </c>
      <c r="C5526" s="3" t="s">
        <v>4</v>
      </c>
    </row>
    <row r="5527">
      <c r="A5527" s="3">
        <v>5104.0</v>
      </c>
      <c r="B5527" s="4">
        <v>45373.12420138889</v>
      </c>
      <c r="C5527" s="3" t="s">
        <v>4</v>
      </c>
    </row>
    <row r="5528">
      <c r="A5528" s="3">
        <v>6801.0</v>
      </c>
      <c r="B5528" s="4">
        <v>45373.12488425926</v>
      </c>
      <c r="C5528" s="3" t="s">
        <v>4</v>
      </c>
    </row>
    <row r="5529">
      <c r="A5529" s="3">
        <v>6487.0</v>
      </c>
      <c r="B5529" s="4">
        <v>45373.12866898148</v>
      </c>
      <c r="C5529" s="3" t="s">
        <v>7</v>
      </c>
    </row>
    <row r="5530">
      <c r="A5530" s="3">
        <v>3961.0</v>
      </c>
      <c r="B5530" s="4">
        <v>45373.138761574075</v>
      </c>
      <c r="C5530" s="3" t="s">
        <v>5</v>
      </c>
    </row>
    <row r="5531">
      <c r="A5531" s="3">
        <v>7066.0</v>
      </c>
      <c r="B5531" s="4">
        <v>45373.160775462966</v>
      </c>
      <c r="C5531" s="3" t="s">
        <v>3</v>
      </c>
    </row>
    <row r="5532">
      <c r="A5532" s="3">
        <v>3450.0</v>
      </c>
      <c r="B5532" s="4">
        <v>45373.16391203704</v>
      </c>
      <c r="C5532" s="3" t="s">
        <v>3</v>
      </c>
    </row>
    <row r="5533">
      <c r="A5533" s="3">
        <v>2658.0</v>
      </c>
      <c r="B5533" s="4">
        <v>45373.202210648145</v>
      </c>
      <c r="C5533" s="3" t="s">
        <v>3</v>
      </c>
    </row>
    <row r="5534">
      <c r="A5534" s="3">
        <v>3287.0</v>
      </c>
      <c r="B5534" s="4">
        <v>45373.204618055555</v>
      </c>
      <c r="C5534" s="3" t="s">
        <v>7</v>
      </c>
    </row>
    <row r="5535">
      <c r="A5535" s="3">
        <v>2148.0</v>
      </c>
      <c r="B5535" s="4">
        <v>45373.21204861111</v>
      </c>
      <c r="C5535" s="3" t="s">
        <v>3</v>
      </c>
    </row>
    <row r="5536">
      <c r="A5536" s="3">
        <v>5506.0</v>
      </c>
      <c r="B5536" s="4">
        <v>45373.21376157407</v>
      </c>
      <c r="C5536" s="3" t="s">
        <v>3</v>
      </c>
    </row>
    <row r="5537">
      <c r="A5537" s="3">
        <v>2813.0</v>
      </c>
      <c r="B5537" s="4">
        <v>45373.233877314815</v>
      </c>
      <c r="C5537" s="3" t="s">
        <v>6</v>
      </c>
    </row>
    <row r="5538">
      <c r="A5538" s="3">
        <v>3001.0</v>
      </c>
      <c r="B5538" s="4">
        <v>45373.2455787037</v>
      </c>
      <c r="C5538" s="3" t="s">
        <v>6</v>
      </c>
    </row>
    <row r="5539">
      <c r="A5539" s="3">
        <v>1079.0</v>
      </c>
      <c r="B5539" s="4">
        <v>45373.25665509259</v>
      </c>
      <c r="C5539" s="3" t="s">
        <v>6</v>
      </c>
    </row>
    <row r="5540">
      <c r="A5540" s="3">
        <v>6497.0</v>
      </c>
      <c r="B5540" s="4">
        <v>45373.26681712963</v>
      </c>
      <c r="C5540" s="3" t="s">
        <v>7</v>
      </c>
    </row>
    <row r="5541">
      <c r="A5541" s="3">
        <v>4914.0</v>
      </c>
      <c r="B5541" s="4">
        <v>45373.28375</v>
      </c>
      <c r="C5541" s="3" t="s">
        <v>4</v>
      </c>
    </row>
    <row r="5542">
      <c r="A5542" s="3">
        <v>550.0</v>
      </c>
      <c r="B5542" s="4">
        <v>45373.30021990741</v>
      </c>
      <c r="C5542" s="3" t="s">
        <v>6</v>
      </c>
    </row>
    <row r="5543">
      <c r="A5543" s="3">
        <v>857.0</v>
      </c>
      <c r="B5543" s="4">
        <v>45373.317395833335</v>
      </c>
      <c r="C5543" s="3" t="s">
        <v>4</v>
      </c>
    </row>
    <row r="5544">
      <c r="A5544" s="3">
        <v>7828.0</v>
      </c>
      <c r="B5544" s="4">
        <v>45373.31842592593</v>
      </c>
      <c r="C5544" s="3" t="s">
        <v>4</v>
      </c>
    </row>
    <row r="5545">
      <c r="A5545" s="3">
        <v>4661.0</v>
      </c>
      <c r="B5545" s="4">
        <v>45373.319236111114</v>
      </c>
      <c r="C5545" s="3" t="s">
        <v>4</v>
      </c>
    </row>
    <row r="5546">
      <c r="A5546" s="3">
        <v>1659.0</v>
      </c>
      <c r="B5546" s="4">
        <v>45373.34170138889</v>
      </c>
      <c r="C5546" s="3" t="s">
        <v>3</v>
      </c>
    </row>
    <row r="5547">
      <c r="A5547" s="3">
        <v>6342.0</v>
      </c>
      <c r="B5547" s="4">
        <v>45373.34527777778</v>
      </c>
      <c r="C5547" s="3" t="s">
        <v>4</v>
      </c>
    </row>
    <row r="5548">
      <c r="A5548" s="3">
        <v>1421.0</v>
      </c>
      <c r="B5548" s="4">
        <v>45373.365</v>
      </c>
      <c r="C5548" s="3" t="s">
        <v>5</v>
      </c>
    </row>
    <row r="5549">
      <c r="A5549" s="3">
        <v>5064.0</v>
      </c>
      <c r="B5549" s="4">
        <v>45373.36667824074</v>
      </c>
      <c r="C5549" s="3" t="s">
        <v>3</v>
      </c>
    </row>
    <row r="5550">
      <c r="A5550" s="3">
        <v>2946.0</v>
      </c>
      <c r="B5550" s="4">
        <v>45373.402407407404</v>
      </c>
      <c r="C5550" s="3" t="s">
        <v>4</v>
      </c>
    </row>
    <row r="5551">
      <c r="A5551" s="3">
        <v>5517.0</v>
      </c>
      <c r="B5551" s="4">
        <v>45373.40414351852</v>
      </c>
      <c r="C5551" s="3" t="s">
        <v>4</v>
      </c>
    </row>
    <row r="5552">
      <c r="A5552" s="3">
        <v>7301.0</v>
      </c>
      <c r="B5552" s="4">
        <v>45373.41520833333</v>
      </c>
      <c r="C5552" s="3" t="s">
        <v>6</v>
      </c>
    </row>
    <row r="5553">
      <c r="A5553" s="3">
        <v>4438.0</v>
      </c>
      <c r="B5553" s="4">
        <v>45373.4227662037</v>
      </c>
      <c r="C5553" s="3" t="s">
        <v>3</v>
      </c>
    </row>
    <row r="5554">
      <c r="A5554" s="3">
        <v>3072.0</v>
      </c>
      <c r="B5554" s="4">
        <v>45373.42775462963</v>
      </c>
      <c r="C5554" s="3" t="s">
        <v>6</v>
      </c>
    </row>
    <row r="5555">
      <c r="A5555" s="3">
        <v>3394.0</v>
      </c>
      <c r="B5555" s="4">
        <v>45373.42934027778</v>
      </c>
      <c r="C5555" s="3" t="s">
        <v>6</v>
      </c>
    </row>
    <row r="5556">
      <c r="A5556" s="3">
        <v>4914.0</v>
      </c>
      <c r="B5556" s="4">
        <v>45373.44841435185</v>
      </c>
      <c r="C5556" s="3" t="s">
        <v>3</v>
      </c>
    </row>
    <row r="5557">
      <c r="A5557" s="3">
        <v>4862.0</v>
      </c>
      <c r="B5557" s="4">
        <v>45373.4500462963</v>
      </c>
      <c r="C5557" s="3" t="s">
        <v>5</v>
      </c>
    </row>
    <row r="5558">
      <c r="A5558" s="3">
        <v>7213.0</v>
      </c>
      <c r="B5558" s="4">
        <v>45373.45491898148</v>
      </c>
      <c r="C5558" s="3" t="s">
        <v>7</v>
      </c>
    </row>
    <row r="5559">
      <c r="A5559" s="3">
        <v>4648.0</v>
      </c>
      <c r="B5559" s="4">
        <v>45373.48993055556</v>
      </c>
      <c r="C5559" s="3" t="s">
        <v>7</v>
      </c>
    </row>
    <row r="5560">
      <c r="A5560" s="3">
        <v>150.0</v>
      </c>
      <c r="B5560" s="4">
        <v>45373.51516203704</v>
      </c>
      <c r="C5560" s="3" t="s">
        <v>3</v>
      </c>
    </row>
    <row r="5561">
      <c r="A5561" s="3">
        <v>1076.0</v>
      </c>
      <c r="B5561" s="4">
        <v>45373.54571759259</v>
      </c>
      <c r="C5561" s="3" t="s">
        <v>6</v>
      </c>
    </row>
    <row r="5562">
      <c r="A5562" s="3">
        <v>550.0</v>
      </c>
      <c r="B5562" s="4">
        <v>45373.54657407408</v>
      </c>
      <c r="C5562" s="3" t="s">
        <v>4</v>
      </c>
    </row>
    <row r="5563">
      <c r="A5563" s="3">
        <v>6895.0</v>
      </c>
      <c r="B5563" s="4">
        <v>45373.55212962963</v>
      </c>
      <c r="C5563" s="3" t="s">
        <v>4</v>
      </c>
    </row>
    <row r="5564">
      <c r="A5564" s="3">
        <v>4533.0</v>
      </c>
      <c r="B5564" s="4">
        <v>45373.5534837963</v>
      </c>
      <c r="C5564" s="3" t="s">
        <v>3</v>
      </c>
    </row>
    <row r="5565">
      <c r="A5565" s="3">
        <v>4211.0</v>
      </c>
      <c r="B5565" s="4">
        <v>45373.56538194444</v>
      </c>
      <c r="C5565" s="3" t="s">
        <v>3</v>
      </c>
    </row>
    <row r="5566">
      <c r="A5566" s="3">
        <v>610.0</v>
      </c>
      <c r="B5566" s="4">
        <v>45373.56738425926</v>
      </c>
      <c r="C5566" s="3" t="s">
        <v>4</v>
      </c>
    </row>
    <row r="5567">
      <c r="A5567" s="3">
        <v>1691.0</v>
      </c>
      <c r="B5567" s="4">
        <v>45373.57098379629</v>
      </c>
      <c r="C5567" s="3" t="s">
        <v>3</v>
      </c>
    </row>
    <row r="5568">
      <c r="A5568" s="3">
        <v>4106.0</v>
      </c>
      <c r="B5568" s="4">
        <v>45373.57524305556</v>
      </c>
      <c r="C5568" s="3" t="s">
        <v>3</v>
      </c>
    </row>
    <row r="5569">
      <c r="A5569" s="3">
        <v>7535.0</v>
      </c>
      <c r="B5569" s="4">
        <v>45373.583599537036</v>
      </c>
      <c r="C5569" s="3" t="s">
        <v>4</v>
      </c>
    </row>
    <row r="5570">
      <c r="A5570" s="3">
        <v>5675.0</v>
      </c>
      <c r="B5570" s="4">
        <v>45373.598912037036</v>
      </c>
      <c r="C5570" s="3" t="s">
        <v>5</v>
      </c>
    </row>
    <row r="5571">
      <c r="A5571" s="3">
        <v>5170.0</v>
      </c>
      <c r="B5571" s="4">
        <v>45373.615636574075</v>
      </c>
      <c r="C5571" s="3" t="s">
        <v>3</v>
      </c>
    </row>
    <row r="5572">
      <c r="A5572" s="3">
        <v>4229.0</v>
      </c>
      <c r="B5572" s="4">
        <v>45373.65163194444</v>
      </c>
      <c r="C5572" s="3" t="s">
        <v>7</v>
      </c>
    </row>
    <row r="5573">
      <c r="A5573" s="3">
        <v>4661.0</v>
      </c>
      <c r="B5573" s="4">
        <v>45373.66936342593</v>
      </c>
      <c r="C5573" s="3" t="s">
        <v>3</v>
      </c>
    </row>
    <row r="5574">
      <c r="A5574" s="3">
        <v>7518.0</v>
      </c>
      <c r="B5574" s="4">
        <v>45373.67303240741</v>
      </c>
      <c r="C5574" s="3" t="s">
        <v>3</v>
      </c>
    </row>
    <row r="5575">
      <c r="A5575" s="3">
        <v>1194.0</v>
      </c>
      <c r="B5575" s="4">
        <v>45373.68478009259</v>
      </c>
      <c r="C5575" s="3" t="s">
        <v>3</v>
      </c>
    </row>
    <row r="5576">
      <c r="A5576" s="3">
        <v>4126.0</v>
      </c>
      <c r="B5576" s="4">
        <v>45373.697118055556</v>
      </c>
      <c r="C5576" s="3" t="s">
        <v>3</v>
      </c>
    </row>
    <row r="5577">
      <c r="A5577" s="3">
        <v>6073.0</v>
      </c>
      <c r="B5577" s="4">
        <v>45373.699537037035</v>
      </c>
      <c r="C5577" s="3" t="s">
        <v>5</v>
      </c>
    </row>
    <row r="5578">
      <c r="A5578" s="3">
        <v>5517.0</v>
      </c>
      <c r="B5578" s="4">
        <v>45373.70407407408</v>
      </c>
      <c r="C5578" s="3" t="s">
        <v>3</v>
      </c>
    </row>
    <row r="5579">
      <c r="A5579" s="3">
        <v>1062.0</v>
      </c>
      <c r="B5579" s="4">
        <v>45373.73769675926</v>
      </c>
      <c r="C5579" s="3" t="s">
        <v>7</v>
      </c>
    </row>
    <row r="5580">
      <c r="A5580" s="3">
        <v>4025.0</v>
      </c>
      <c r="B5580" s="4">
        <v>45373.78188657408</v>
      </c>
      <c r="C5580" s="3" t="s">
        <v>3</v>
      </c>
    </row>
    <row r="5581">
      <c r="A5581" s="3">
        <v>534.0</v>
      </c>
      <c r="B5581" s="4">
        <v>45373.78763888889</v>
      </c>
      <c r="C5581" s="3" t="s">
        <v>4</v>
      </c>
    </row>
    <row r="5582">
      <c r="A5582" s="3">
        <v>6357.0</v>
      </c>
      <c r="B5582" s="4">
        <v>45373.79032407407</v>
      </c>
      <c r="C5582" s="3" t="s">
        <v>3</v>
      </c>
    </row>
    <row r="5583">
      <c r="A5583" s="3">
        <v>6406.0</v>
      </c>
      <c r="B5583" s="4">
        <v>45373.818020833336</v>
      </c>
      <c r="C5583" s="3" t="s">
        <v>7</v>
      </c>
    </row>
    <row r="5584">
      <c r="A5584" s="3">
        <v>6801.0</v>
      </c>
      <c r="B5584" s="4">
        <v>45373.8202662037</v>
      </c>
      <c r="C5584" s="3" t="s">
        <v>3</v>
      </c>
    </row>
    <row r="5585">
      <c r="A5585" s="3">
        <v>4116.0</v>
      </c>
      <c r="B5585" s="4">
        <v>45373.821805555555</v>
      </c>
      <c r="C5585" s="3" t="s">
        <v>4</v>
      </c>
    </row>
    <row r="5586">
      <c r="A5586" s="3">
        <v>7213.0</v>
      </c>
      <c r="B5586" s="4">
        <v>45373.824224537035</v>
      </c>
      <c r="C5586" s="3" t="s">
        <v>6</v>
      </c>
    </row>
    <row r="5587">
      <c r="A5587" s="3">
        <v>3992.0</v>
      </c>
      <c r="B5587" s="4">
        <v>45373.82747685185</v>
      </c>
      <c r="C5587" s="3" t="s">
        <v>3</v>
      </c>
    </row>
    <row r="5588">
      <c r="A5588" s="3">
        <v>3033.0</v>
      </c>
      <c r="B5588" s="4">
        <v>45373.86199074074</v>
      </c>
      <c r="C5588" s="3" t="s">
        <v>6</v>
      </c>
    </row>
    <row r="5589">
      <c r="A5589" s="3">
        <v>7926.0</v>
      </c>
      <c r="B5589" s="4">
        <v>45373.86819444445</v>
      </c>
      <c r="C5589" s="3" t="s">
        <v>7</v>
      </c>
    </row>
    <row r="5590">
      <c r="A5590" s="3">
        <v>6342.0</v>
      </c>
      <c r="B5590" s="4">
        <v>45373.868622685186</v>
      </c>
      <c r="C5590" s="3" t="s">
        <v>3</v>
      </c>
    </row>
    <row r="5591">
      <c r="A5591" s="3">
        <v>5567.0</v>
      </c>
      <c r="B5591" s="4">
        <v>45373.87388888889</v>
      </c>
      <c r="C5591" s="3" t="s">
        <v>3</v>
      </c>
    </row>
    <row r="5592">
      <c r="A5592" s="3">
        <v>7615.0</v>
      </c>
      <c r="B5592" s="4">
        <v>45373.87572916667</v>
      </c>
      <c r="C5592" s="3" t="s">
        <v>3</v>
      </c>
    </row>
    <row r="5593">
      <c r="A5593" s="3">
        <v>7213.0</v>
      </c>
      <c r="B5593" s="4">
        <v>45373.878900462965</v>
      </c>
      <c r="C5593" s="3" t="s">
        <v>5</v>
      </c>
    </row>
    <row r="5594">
      <c r="A5594" s="3">
        <v>6466.0</v>
      </c>
      <c r="B5594" s="4">
        <v>45373.879849537036</v>
      </c>
      <c r="C5594" s="3" t="s">
        <v>6</v>
      </c>
    </row>
    <row r="5595">
      <c r="A5595" s="3">
        <v>5070.0</v>
      </c>
      <c r="B5595" s="4">
        <v>45373.89134259259</v>
      </c>
      <c r="C5595" s="3" t="s">
        <v>3</v>
      </c>
    </row>
    <row r="5596">
      <c r="A5596" s="3">
        <v>2946.0</v>
      </c>
      <c r="B5596" s="4">
        <v>45373.91814814815</v>
      </c>
      <c r="C5596" s="3" t="s">
        <v>3</v>
      </c>
    </row>
    <row r="5597">
      <c r="A5597" s="3">
        <v>5628.0</v>
      </c>
      <c r="B5597" s="4">
        <v>45373.925462962965</v>
      </c>
      <c r="C5597" s="3" t="s">
        <v>3</v>
      </c>
    </row>
    <row r="5598">
      <c r="A5598" s="3">
        <v>610.0</v>
      </c>
      <c r="B5598" s="4">
        <v>45373.93618055555</v>
      </c>
      <c r="C5598" s="3" t="s">
        <v>3</v>
      </c>
    </row>
    <row r="5599">
      <c r="A5599" s="3">
        <v>1987.0</v>
      </c>
      <c r="B5599" s="4">
        <v>45373.96711805555</v>
      </c>
      <c r="C5599" s="3" t="s">
        <v>3</v>
      </c>
    </row>
    <row r="5600">
      <c r="A5600" s="3">
        <v>1700.0</v>
      </c>
      <c r="B5600" s="4">
        <v>45373.99070601852</v>
      </c>
      <c r="C5600" s="3" t="s">
        <v>3</v>
      </c>
    </row>
    <row r="5601">
      <c r="A5601" s="3">
        <v>7828.0</v>
      </c>
      <c r="B5601" s="4">
        <v>45373.99784722222</v>
      </c>
      <c r="C5601" s="3" t="s">
        <v>6</v>
      </c>
    </row>
    <row r="5602">
      <c r="A5602" s="3">
        <v>4025.0</v>
      </c>
      <c r="B5602" s="4">
        <v>45374.04246527778</v>
      </c>
      <c r="C5602" s="3" t="s">
        <v>4</v>
      </c>
    </row>
    <row r="5603">
      <c r="A5603" s="3">
        <v>1026.0</v>
      </c>
      <c r="B5603" s="4">
        <v>45374.06761574074</v>
      </c>
      <c r="C5603" s="3" t="s">
        <v>6</v>
      </c>
    </row>
    <row r="5604">
      <c r="A5604" s="3">
        <v>7825.0</v>
      </c>
      <c r="B5604" s="4">
        <v>45374.09434027778</v>
      </c>
      <c r="C5604" s="3" t="s">
        <v>6</v>
      </c>
    </row>
    <row r="5605">
      <c r="A5605" s="3">
        <v>6836.0</v>
      </c>
      <c r="B5605" s="4">
        <v>45374.132152777776</v>
      </c>
      <c r="C5605" s="3" t="s">
        <v>6</v>
      </c>
    </row>
    <row r="5606">
      <c r="A5606" s="3">
        <v>5717.0</v>
      </c>
      <c r="B5606" s="4">
        <v>45374.137453703705</v>
      </c>
      <c r="C5606" s="3" t="s">
        <v>6</v>
      </c>
    </row>
    <row r="5607">
      <c r="A5607" s="3">
        <v>1299.0</v>
      </c>
      <c r="B5607" s="4">
        <v>45374.14084490741</v>
      </c>
      <c r="C5607" s="3" t="s">
        <v>6</v>
      </c>
    </row>
    <row r="5608">
      <c r="A5608" s="3">
        <v>6907.0</v>
      </c>
      <c r="B5608" s="4">
        <v>45374.15537037037</v>
      </c>
      <c r="C5608" s="3" t="s">
        <v>5</v>
      </c>
    </row>
    <row r="5609">
      <c r="A5609" s="3">
        <v>1118.0</v>
      </c>
      <c r="B5609" s="4">
        <v>45374.185219907406</v>
      </c>
      <c r="C5609" s="3" t="s">
        <v>4</v>
      </c>
    </row>
    <row r="5610">
      <c r="A5610" s="3">
        <v>5675.0</v>
      </c>
      <c r="B5610" s="4">
        <v>45374.22045138889</v>
      </c>
      <c r="C5610" s="3" t="s">
        <v>6</v>
      </c>
    </row>
    <row r="5611">
      <c r="A5611" s="3">
        <v>3967.0</v>
      </c>
      <c r="B5611" s="4">
        <v>45374.22949074074</v>
      </c>
      <c r="C5611" s="3" t="s">
        <v>4</v>
      </c>
    </row>
    <row r="5612">
      <c r="A5612" s="3">
        <v>7066.0</v>
      </c>
      <c r="B5612" s="4">
        <v>45374.232407407406</v>
      </c>
      <c r="C5612" s="3" t="s">
        <v>4</v>
      </c>
    </row>
    <row r="5613">
      <c r="A5613" s="3">
        <v>4150.0</v>
      </c>
      <c r="B5613" s="4">
        <v>45374.23887731481</v>
      </c>
      <c r="C5613" s="3" t="s">
        <v>3</v>
      </c>
    </row>
    <row r="5614">
      <c r="A5614" s="3">
        <v>535.0</v>
      </c>
      <c r="B5614" s="4">
        <v>45374.23945601852</v>
      </c>
      <c r="C5614" s="3" t="s">
        <v>3</v>
      </c>
    </row>
    <row r="5615">
      <c r="A5615" s="3">
        <v>3186.0</v>
      </c>
      <c r="B5615" s="4">
        <v>45374.24424768519</v>
      </c>
      <c r="C5615" s="3" t="s">
        <v>6</v>
      </c>
    </row>
    <row r="5616">
      <c r="A5616" s="3">
        <v>4501.0</v>
      </c>
      <c r="B5616" s="4">
        <v>45374.2484837963</v>
      </c>
      <c r="C5616" s="3" t="s">
        <v>6</v>
      </c>
    </row>
    <row r="5617">
      <c r="A5617" s="3">
        <v>1920.0</v>
      </c>
      <c r="B5617" s="4">
        <v>45374.27207175926</v>
      </c>
      <c r="C5617" s="3" t="s">
        <v>5</v>
      </c>
    </row>
    <row r="5618">
      <c r="A5618" s="3">
        <v>20.0</v>
      </c>
      <c r="B5618" s="4">
        <v>45374.27375</v>
      </c>
      <c r="C5618" s="3" t="s">
        <v>3</v>
      </c>
    </row>
    <row r="5619">
      <c r="A5619" s="3">
        <v>2649.0</v>
      </c>
      <c r="B5619" s="4">
        <v>45374.2921875</v>
      </c>
      <c r="C5619" s="3" t="s">
        <v>6</v>
      </c>
    </row>
    <row r="5620">
      <c r="A5620" s="3">
        <v>1700.0</v>
      </c>
      <c r="B5620" s="4">
        <v>45374.29997685185</v>
      </c>
      <c r="C5620" s="3" t="s">
        <v>7</v>
      </c>
    </row>
    <row r="5621">
      <c r="A5621" s="3">
        <v>6497.0</v>
      </c>
      <c r="B5621" s="4">
        <v>45374.31636574074</v>
      </c>
      <c r="C5621" s="3" t="s">
        <v>6</v>
      </c>
    </row>
    <row r="5622">
      <c r="A5622" s="3">
        <v>535.0</v>
      </c>
      <c r="B5622" s="4">
        <v>45374.34032407407</v>
      </c>
      <c r="C5622" s="3" t="s">
        <v>5</v>
      </c>
    </row>
    <row r="5623">
      <c r="A5623" s="3">
        <v>2551.0</v>
      </c>
      <c r="B5623" s="4">
        <v>45374.34070601852</v>
      </c>
      <c r="C5623" s="3" t="s">
        <v>6</v>
      </c>
    </row>
    <row r="5624">
      <c r="A5624" s="3">
        <v>4533.0</v>
      </c>
      <c r="B5624" s="4">
        <v>45374.3471412037</v>
      </c>
      <c r="C5624" s="3" t="s">
        <v>7</v>
      </c>
    </row>
    <row r="5625">
      <c r="A5625" s="3">
        <v>4533.0</v>
      </c>
      <c r="B5625" s="4">
        <v>45374.361655092594</v>
      </c>
      <c r="C5625" s="3" t="s">
        <v>4</v>
      </c>
    </row>
    <row r="5626">
      <c r="A5626" s="3">
        <v>834.0</v>
      </c>
      <c r="B5626" s="4">
        <v>45374.39148148148</v>
      </c>
      <c r="C5626" s="3" t="s">
        <v>6</v>
      </c>
    </row>
    <row r="5627">
      <c r="A5627" s="3">
        <v>5643.0</v>
      </c>
      <c r="B5627" s="4">
        <v>45374.446493055555</v>
      </c>
      <c r="C5627" s="3" t="s">
        <v>4</v>
      </c>
    </row>
    <row r="5628">
      <c r="A5628" s="3">
        <v>2113.0</v>
      </c>
      <c r="B5628" s="4">
        <v>45374.452939814815</v>
      </c>
      <c r="C5628" s="3" t="s">
        <v>3</v>
      </c>
    </row>
    <row r="5629">
      <c r="A5629" s="3">
        <v>123.0</v>
      </c>
      <c r="B5629" s="4">
        <v>45374.46900462963</v>
      </c>
      <c r="C5629" s="3" t="s">
        <v>3</v>
      </c>
    </row>
    <row r="5630">
      <c r="A5630" s="3">
        <v>6578.0</v>
      </c>
      <c r="B5630" s="4">
        <v>45374.47509259259</v>
      </c>
      <c r="C5630" s="3" t="s">
        <v>7</v>
      </c>
    </row>
    <row r="5631">
      <c r="A5631" s="3">
        <v>5687.0</v>
      </c>
      <c r="B5631" s="4">
        <v>45374.48274305555</v>
      </c>
      <c r="C5631" s="3" t="s">
        <v>3</v>
      </c>
    </row>
    <row r="5632">
      <c r="A5632" s="3">
        <v>1832.0</v>
      </c>
      <c r="B5632" s="4">
        <v>45374.50188657407</v>
      </c>
      <c r="C5632" s="3" t="s">
        <v>4</v>
      </c>
    </row>
    <row r="5633">
      <c r="A5633" s="3">
        <v>3206.0</v>
      </c>
      <c r="B5633" s="4">
        <v>45374.53766203704</v>
      </c>
      <c r="C5633" s="3" t="s">
        <v>3</v>
      </c>
    </row>
    <row r="5634">
      <c r="A5634" s="3">
        <v>711.0</v>
      </c>
      <c r="B5634" s="4">
        <v>45374.54056712963</v>
      </c>
      <c r="C5634" s="3" t="s">
        <v>3</v>
      </c>
    </row>
    <row r="5635">
      <c r="A5635" s="3">
        <v>4229.0</v>
      </c>
      <c r="B5635" s="4">
        <v>45374.54280092593</v>
      </c>
      <c r="C5635" s="3" t="s">
        <v>4</v>
      </c>
    </row>
    <row r="5636">
      <c r="A5636" s="3">
        <v>5003.0</v>
      </c>
      <c r="B5636" s="4">
        <v>45374.56873842593</v>
      </c>
      <c r="C5636" s="3" t="s">
        <v>6</v>
      </c>
    </row>
    <row r="5637">
      <c r="A5637" s="3">
        <v>1253.0</v>
      </c>
      <c r="B5637" s="4">
        <v>45374.57271990741</v>
      </c>
      <c r="C5637" s="3" t="s">
        <v>4</v>
      </c>
    </row>
    <row r="5638">
      <c r="A5638" s="3">
        <v>3754.0</v>
      </c>
      <c r="B5638" s="4">
        <v>45374.583819444444</v>
      </c>
      <c r="C5638" s="3" t="s">
        <v>3</v>
      </c>
    </row>
    <row r="5639">
      <c r="A5639" s="3">
        <v>3827.0</v>
      </c>
      <c r="B5639" s="4">
        <v>45374.59137731481</v>
      </c>
      <c r="C5639" s="3" t="s">
        <v>3</v>
      </c>
    </row>
    <row r="5640">
      <c r="A5640" s="3">
        <v>4025.0</v>
      </c>
      <c r="B5640" s="4">
        <v>45374.59164351852</v>
      </c>
      <c r="C5640" s="3" t="s">
        <v>6</v>
      </c>
    </row>
    <row r="5641">
      <c r="A5641" s="3">
        <v>2522.0</v>
      </c>
      <c r="B5641" s="4">
        <v>45374.59587962963</v>
      </c>
      <c r="C5641" s="3" t="s">
        <v>7</v>
      </c>
    </row>
    <row r="5642">
      <c r="A5642" s="3">
        <v>477.0</v>
      </c>
      <c r="B5642" s="4">
        <v>45374.632743055554</v>
      </c>
      <c r="C5642" s="3" t="s">
        <v>3</v>
      </c>
    </row>
    <row r="5643">
      <c r="A5643" s="3">
        <v>1082.0</v>
      </c>
      <c r="B5643" s="4">
        <v>45374.64232638889</v>
      </c>
      <c r="C5643" s="3" t="s">
        <v>3</v>
      </c>
    </row>
    <row r="5644">
      <c r="A5644" s="3">
        <v>1773.0</v>
      </c>
      <c r="B5644" s="4">
        <v>45374.654178240744</v>
      </c>
      <c r="C5644" s="3" t="s">
        <v>4</v>
      </c>
    </row>
    <row r="5645">
      <c r="A5645" s="3">
        <v>6469.0</v>
      </c>
      <c r="B5645" s="4">
        <v>45374.65803240741</v>
      </c>
      <c r="C5645" s="3" t="s">
        <v>6</v>
      </c>
    </row>
    <row r="5646">
      <c r="A5646" s="3">
        <v>6812.0</v>
      </c>
      <c r="B5646" s="4">
        <v>45374.66203703704</v>
      </c>
      <c r="C5646" s="3" t="s">
        <v>3</v>
      </c>
    </row>
    <row r="5647">
      <c r="A5647" s="3">
        <v>3033.0</v>
      </c>
      <c r="B5647" s="4">
        <v>45374.66950231481</v>
      </c>
      <c r="C5647" s="3" t="s">
        <v>5</v>
      </c>
    </row>
    <row r="5648">
      <c r="A5648" s="3">
        <v>3827.0</v>
      </c>
      <c r="B5648" s="4">
        <v>45374.67912037037</v>
      </c>
      <c r="C5648" s="3" t="s">
        <v>5</v>
      </c>
    </row>
    <row r="5649">
      <c r="A5649" s="3">
        <v>6124.0</v>
      </c>
      <c r="B5649" s="4">
        <v>45374.68241898148</v>
      </c>
      <c r="C5649" s="3" t="s">
        <v>5</v>
      </c>
    </row>
    <row r="5650">
      <c r="A5650" s="3">
        <v>2522.0</v>
      </c>
      <c r="B5650" s="4">
        <v>45374.702881944446</v>
      </c>
      <c r="C5650" s="3" t="s">
        <v>6</v>
      </c>
    </row>
    <row r="5651">
      <c r="A5651" s="3">
        <v>3571.0</v>
      </c>
      <c r="B5651" s="4">
        <v>45374.70837962963</v>
      </c>
      <c r="C5651" s="3" t="s">
        <v>6</v>
      </c>
    </row>
    <row r="5652">
      <c r="A5652" s="3">
        <v>1328.0</v>
      </c>
      <c r="B5652" s="4">
        <v>45374.71642361111</v>
      </c>
      <c r="C5652" s="3" t="s">
        <v>3</v>
      </c>
    </row>
    <row r="5653">
      <c r="A5653" s="3">
        <v>5697.0</v>
      </c>
      <c r="B5653" s="4">
        <v>45374.71842592592</v>
      </c>
      <c r="C5653" s="3" t="s">
        <v>4</v>
      </c>
    </row>
    <row r="5654">
      <c r="A5654" s="3">
        <v>2088.0</v>
      </c>
      <c r="B5654" s="4">
        <v>45374.7203125</v>
      </c>
      <c r="C5654" s="3" t="s">
        <v>6</v>
      </c>
    </row>
    <row r="5655">
      <c r="A5655" s="3">
        <v>1062.0</v>
      </c>
      <c r="B5655" s="4">
        <v>45374.72577546296</v>
      </c>
      <c r="C5655" s="3" t="s">
        <v>6</v>
      </c>
    </row>
    <row r="5656">
      <c r="A5656" s="3">
        <v>4670.0</v>
      </c>
      <c r="B5656" s="4">
        <v>45374.732986111114</v>
      </c>
      <c r="C5656" s="3" t="s">
        <v>7</v>
      </c>
    </row>
    <row r="5657">
      <c r="A5657" s="3">
        <v>6487.0</v>
      </c>
      <c r="B5657" s="4">
        <v>45374.733402777776</v>
      </c>
      <c r="C5657" s="3" t="s">
        <v>6</v>
      </c>
    </row>
    <row r="5658">
      <c r="A5658" s="3">
        <v>3287.0</v>
      </c>
      <c r="B5658" s="4">
        <v>45374.74296296296</v>
      </c>
      <c r="C5658" s="3" t="s">
        <v>6</v>
      </c>
    </row>
    <row r="5659">
      <c r="A5659" s="3">
        <v>7146.0</v>
      </c>
      <c r="B5659" s="4">
        <v>45374.75824074074</v>
      </c>
      <c r="C5659" s="3" t="s">
        <v>7</v>
      </c>
    </row>
    <row r="5660">
      <c r="A5660" s="3">
        <v>1883.0</v>
      </c>
      <c r="B5660" s="4">
        <v>45374.77548611111</v>
      </c>
      <c r="C5660" s="3" t="s">
        <v>6</v>
      </c>
    </row>
    <row r="5661">
      <c r="A5661" s="3">
        <v>6907.0</v>
      </c>
      <c r="B5661" s="4">
        <v>45374.79211805556</v>
      </c>
      <c r="C5661" s="3" t="s">
        <v>3</v>
      </c>
    </row>
    <row r="5662">
      <c r="A5662" s="3">
        <v>6292.0</v>
      </c>
      <c r="B5662" s="4">
        <v>45374.7980787037</v>
      </c>
      <c r="C5662" s="3" t="s">
        <v>3</v>
      </c>
    </row>
    <row r="5663">
      <c r="A5663" s="3">
        <v>5602.0</v>
      </c>
      <c r="B5663" s="4">
        <v>45374.80306712963</v>
      </c>
      <c r="C5663" s="3" t="s">
        <v>3</v>
      </c>
    </row>
    <row r="5664">
      <c r="A5664" s="3">
        <v>4175.0</v>
      </c>
      <c r="B5664" s="4">
        <v>45374.82771990741</v>
      </c>
      <c r="C5664" s="3" t="s">
        <v>7</v>
      </c>
    </row>
    <row r="5665">
      <c r="A5665" s="3">
        <v>5104.0</v>
      </c>
      <c r="B5665" s="4">
        <v>45374.85655092593</v>
      </c>
      <c r="C5665" s="3" t="s">
        <v>6</v>
      </c>
    </row>
    <row r="5666">
      <c r="A5666" s="3">
        <v>5772.0</v>
      </c>
      <c r="B5666" s="4">
        <v>45374.858298611114</v>
      </c>
      <c r="C5666" s="3" t="s">
        <v>3</v>
      </c>
    </row>
    <row r="5667">
      <c r="A5667" s="3">
        <v>4229.0</v>
      </c>
      <c r="B5667" s="4">
        <v>45374.86072916666</v>
      </c>
      <c r="C5667" s="3" t="s">
        <v>5</v>
      </c>
    </row>
    <row r="5668">
      <c r="A5668" s="3">
        <v>5550.0</v>
      </c>
      <c r="B5668" s="4">
        <v>45374.86185185185</v>
      </c>
      <c r="C5668" s="3" t="s">
        <v>3</v>
      </c>
    </row>
    <row r="5669">
      <c r="A5669" s="3">
        <v>2697.0</v>
      </c>
      <c r="B5669" s="4">
        <v>45374.86702546296</v>
      </c>
      <c r="C5669" s="3" t="s">
        <v>3</v>
      </c>
    </row>
    <row r="5670">
      <c r="A5670" s="3">
        <v>7596.0</v>
      </c>
      <c r="B5670" s="4">
        <v>45374.89630787037</v>
      </c>
      <c r="C5670" s="3" t="s">
        <v>3</v>
      </c>
    </row>
    <row r="5671">
      <c r="A5671" s="3">
        <v>4150.0</v>
      </c>
      <c r="B5671" s="4">
        <v>45374.90357638889</v>
      </c>
      <c r="C5671" s="3" t="s">
        <v>5</v>
      </c>
    </row>
    <row r="5672">
      <c r="A5672" s="3">
        <v>7066.0</v>
      </c>
      <c r="B5672" s="4">
        <v>45374.91017361111</v>
      </c>
      <c r="C5672" s="3" t="s">
        <v>5</v>
      </c>
    </row>
    <row r="5673">
      <c r="A5673" s="3">
        <v>6124.0</v>
      </c>
      <c r="B5673" s="4">
        <v>45374.91664351852</v>
      </c>
      <c r="C5673" s="3" t="s">
        <v>4</v>
      </c>
    </row>
    <row r="5674">
      <c r="A5674" s="3">
        <v>5518.0</v>
      </c>
      <c r="B5674" s="4">
        <v>45374.91844907407</v>
      </c>
      <c r="C5674" s="3" t="s">
        <v>3</v>
      </c>
    </row>
    <row r="5675">
      <c r="A5675" s="3">
        <v>6265.0</v>
      </c>
      <c r="B5675" s="4">
        <v>45374.92108796296</v>
      </c>
      <c r="C5675" s="3" t="s">
        <v>7</v>
      </c>
    </row>
    <row r="5676">
      <c r="A5676" s="3">
        <v>6263.0</v>
      </c>
      <c r="B5676" s="4">
        <v>45374.92888888889</v>
      </c>
      <c r="C5676" s="3" t="s">
        <v>7</v>
      </c>
    </row>
    <row r="5677">
      <c r="A5677" s="3">
        <v>535.0</v>
      </c>
      <c r="B5677" s="4">
        <v>45374.93479166667</v>
      </c>
      <c r="C5677" s="3" t="s">
        <v>4</v>
      </c>
    </row>
    <row r="5678">
      <c r="A5678" s="3">
        <v>2113.0</v>
      </c>
      <c r="B5678" s="4">
        <v>45374.979375</v>
      </c>
      <c r="C5678" s="3" t="s">
        <v>4</v>
      </c>
    </row>
    <row r="5679">
      <c r="A5679" s="3">
        <v>477.0</v>
      </c>
      <c r="B5679" s="4">
        <v>45374.98415509259</v>
      </c>
      <c r="C5679" s="3" t="s">
        <v>4</v>
      </c>
    </row>
    <row r="5680">
      <c r="A5680" s="3">
        <v>1253.0</v>
      </c>
      <c r="B5680" s="4">
        <v>45374.99550925926</v>
      </c>
      <c r="C5680" s="3" t="s">
        <v>3</v>
      </c>
    </row>
    <row r="5681">
      <c r="A5681" s="3">
        <v>5104.0</v>
      </c>
      <c r="B5681" s="4">
        <v>45374.999398148146</v>
      </c>
      <c r="C5681" s="3" t="s">
        <v>7</v>
      </c>
    </row>
    <row r="5682">
      <c r="A5682" s="3">
        <v>6989.0</v>
      </c>
      <c r="B5682" s="4">
        <v>45375.00833333333</v>
      </c>
      <c r="C5682" s="3" t="s">
        <v>3</v>
      </c>
    </row>
    <row r="5683">
      <c r="A5683" s="3">
        <v>1700.0</v>
      </c>
      <c r="B5683" s="4">
        <v>45375.02553240741</v>
      </c>
      <c r="C5683" s="3" t="s">
        <v>5</v>
      </c>
    </row>
    <row r="5684">
      <c r="A5684" s="3">
        <v>1145.0</v>
      </c>
      <c r="B5684" s="4">
        <v>45375.03543981481</v>
      </c>
      <c r="C5684" s="3" t="s">
        <v>3</v>
      </c>
    </row>
    <row r="5685">
      <c r="A5685" s="3">
        <v>1691.0</v>
      </c>
      <c r="B5685" s="4">
        <v>45375.04767361111</v>
      </c>
      <c r="C5685" s="3" t="s">
        <v>4</v>
      </c>
    </row>
    <row r="5686">
      <c r="A5686" s="3">
        <v>7840.0</v>
      </c>
      <c r="B5686" s="4">
        <v>45375.05420138889</v>
      </c>
      <c r="C5686" s="3" t="s">
        <v>6</v>
      </c>
    </row>
    <row r="5687">
      <c r="A5687" s="3">
        <v>7247.0</v>
      </c>
      <c r="B5687" s="4">
        <v>45375.07074074074</v>
      </c>
      <c r="C5687" s="3" t="s">
        <v>3</v>
      </c>
    </row>
    <row r="5688">
      <c r="A5688" s="3">
        <v>3887.0</v>
      </c>
      <c r="B5688" s="4">
        <v>45375.086643518516</v>
      </c>
      <c r="C5688" s="3" t="s">
        <v>3</v>
      </c>
    </row>
    <row r="5689">
      <c r="A5689" s="3">
        <v>1987.0</v>
      </c>
      <c r="B5689" s="4">
        <v>45375.13238425926</v>
      </c>
      <c r="C5689" s="3" t="s">
        <v>4</v>
      </c>
    </row>
    <row r="5690">
      <c r="A5690" s="3">
        <v>1076.0</v>
      </c>
      <c r="B5690" s="4">
        <v>45375.13314814815</v>
      </c>
      <c r="C5690" s="3" t="s">
        <v>5</v>
      </c>
    </row>
    <row r="5691">
      <c r="A5691" s="3">
        <v>3735.0</v>
      </c>
      <c r="B5691" s="4">
        <v>45375.20113425926</v>
      </c>
      <c r="C5691" s="3" t="s">
        <v>6</v>
      </c>
    </row>
    <row r="5692">
      <c r="A5692" s="3">
        <v>7561.0</v>
      </c>
      <c r="B5692" s="4">
        <v>45375.20377314815</v>
      </c>
      <c r="C5692" s="3" t="s">
        <v>4</v>
      </c>
    </row>
    <row r="5693">
      <c r="A5693" s="3">
        <v>2946.0</v>
      </c>
      <c r="B5693" s="4">
        <v>45375.20415509259</v>
      </c>
      <c r="C5693" s="3" t="s">
        <v>6</v>
      </c>
    </row>
    <row r="5694">
      <c r="A5694" s="3">
        <v>2719.0</v>
      </c>
      <c r="B5694" s="4">
        <v>45375.220138888886</v>
      </c>
      <c r="C5694" s="3" t="s">
        <v>4</v>
      </c>
    </row>
    <row r="5695">
      <c r="A5695" s="3">
        <v>4786.0</v>
      </c>
      <c r="B5695" s="4">
        <v>45375.22554398148</v>
      </c>
      <c r="C5695" s="3" t="s">
        <v>3</v>
      </c>
    </row>
    <row r="5696">
      <c r="A5696" s="3">
        <v>5897.0</v>
      </c>
      <c r="B5696" s="4">
        <v>45375.236446759256</v>
      </c>
      <c r="C5696" s="3" t="s">
        <v>3</v>
      </c>
    </row>
    <row r="5697">
      <c r="A5697" s="3">
        <v>7817.0</v>
      </c>
      <c r="B5697" s="4">
        <v>45375.27287037037</v>
      </c>
      <c r="C5697" s="3" t="s">
        <v>3</v>
      </c>
    </row>
    <row r="5698">
      <c r="A5698" s="3">
        <v>7037.0</v>
      </c>
      <c r="B5698" s="4">
        <v>45375.27961805555</v>
      </c>
      <c r="C5698" s="3" t="s">
        <v>3</v>
      </c>
    </row>
    <row r="5699">
      <c r="A5699" s="3">
        <v>888.0</v>
      </c>
      <c r="B5699" s="4">
        <v>45375.283784722225</v>
      </c>
      <c r="C5699" s="3" t="s">
        <v>4</v>
      </c>
    </row>
    <row r="5700">
      <c r="A5700" s="3">
        <v>3128.0</v>
      </c>
      <c r="B5700" s="4">
        <v>45375.28753472222</v>
      </c>
      <c r="C5700" s="3" t="s">
        <v>3</v>
      </c>
    </row>
    <row r="5701">
      <c r="A5701" s="3">
        <v>5628.0</v>
      </c>
      <c r="B5701" s="4">
        <v>45375.326273148145</v>
      </c>
      <c r="C5701" s="3" t="s">
        <v>7</v>
      </c>
    </row>
    <row r="5702">
      <c r="A5702" s="3">
        <v>3730.0</v>
      </c>
      <c r="B5702" s="4">
        <v>45375.34648148148</v>
      </c>
      <c r="C5702" s="3" t="s">
        <v>4</v>
      </c>
    </row>
    <row r="5703">
      <c r="A5703" s="3">
        <v>4863.0</v>
      </c>
      <c r="B5703" s="4">
        <v>45375.366898148146</v>
      </c>
      <c r="C5703" s="3" t="s">
        <v>3</v>
      </c>
    </row>
    <row r="5704">
      <c r="A5704" s="3">
        <v>5472.0</v>
      </c>
      <c r="B5704" s="4">
        <v>45375.38769675926</v>
      </c>
      <c r="C5704" s="3" t="s">
        <v>3</v>
      </c>
    </row>
    <row r="5705">
      <c r="A5705" s="3">
        <v>1973.0</v>
      </c>
      <c r="B5705" s="4">
        <v>45375.39795138889</v>
      </c>
      <c r="C5705" s="3" t="s">
        <v>6</v>
      </c>
    </row>
    <row r="5706">
      <c r="A5706" s="3">
        <v>7535.0</v>
      </c>
      <c r="B5706" s="4">
        <v>45375.40672453704</v>
      </c>
      <c r="C5706" s="3" t="s">
        <v>5</v>
      </c>
    </row>
    <row r="5707">
      <c r="A5707" s="3">
        <v>7790.0</v>
      </c>
      <c r="B5707" s="4">
        <v>45375.408842592595</v>
      </c>
      <c r="C5707" s="3" t="s">
        <v>7</v>
      </c>
    </row>
    <row r="5708">
      <c r="A5708" s="3">
        <v>1016.0</v>
      </c>
      <c r="B5708" s="4">
        <v>45375.40925925926</v>
      </c>
      <c r="C5708" s="3" t="s">
        <v>3</v>
      </c>
    </row>
    <row r="5709">
      <c r="A5709" s="3">
        <v>4422.0</v>
      </c>
      <c r="B5709" s="4">
        <v>45375.450578703705</v>
      </c>
      <c r="C5709" s="3" t="s">
        <v>4</v>
      </c>
    </row>
    <row r="5710">
      <c r="A5710" s="3">
        <v>417.0</v>
      </c>
      <c r="B5710" s="4">
        <v>45375.45601851852</v>
      </c>
      <c r="C5710" s="3" t="s">
        <v>3</v>
      </c>
    </row>
    <row r="5711">
      <c r="A5711" s="3">
        <v>6628.0</v>
      </c>
      <c r="B5711" s="4">
        <v>45375.49613425926</v>
      </c>
      <c r="C5711" s="3" t="s">
        <v>6</v>
      </c>
    </row>
    <row r="5712">
      <c r="A5712" s="3">
        <v>4161.0</v>
      </c>
      <c r="B5712" s="4">
        <v>45375.55150462963</v>
      </c>
      <c r="C5712" s="3" t="s">
        <v>6</v>
      </c>
    </row>
    <row r="5713">
      <c r="A5713" s="3">
        <v>1927.0</v>
      </c>
      <c r="B5713" s="4">
        <v>45375.55611111111</v>
      </c>
      <c r="C5713" s="3" t="s">
        <v>4</v>
      </c>
    </row>
    <row r="5714">
      <c r="A5714" s="3">
        <v>848.0</v>
      </c>
      <c r="B5714" s="4">
        <v>45375.559745370374</v>
      </c>
      <c r="C5714" s="3" t="s">
        <v>6</v>
      </c>
    </row>
    <row r="5715">
      <c r="A5715" s="3">
        <v>1710.0</v>
      </c>
      <c r="B5715" s="4">
        <v>45375.56122685185</v>
      </c>
      <c r="C5715" s="3" t="s">
        <v>4</v>
      </c>
    </row>
    <row r="5716">
      <c r="A5716" s="3">
        <v>1875.0</v>
      </c>
      <c r="B5716" s="4">
        <v>45375.59423611111</v>
      </c>
      <c r="C5716" s="3" t="s">
        <v>4</v>
      </c>
    </row>
    <row r="5717">
      <c r="A5717" s="3">
        <v>720.0</v>
      </c>
      <c r="B5717" s="4">
        <v>45375.60052083333</v>
      </c>
      <c r="C5717" s="3" t="s">
        <v>3</v>
      </c>
    </row>
    <row r="5718">
      <c r="A5718" s="3">
        <v>1194.0</v>
      </c>
      <c r="B5718" s="4">
        <v>45375.610185185185</v>
      </c>
      <c r="C5718" s="3" t="s">
        <v>6</v>
      </c>
    </row>
    <row r="5719">
      <c r="A5719" s="3">
        <v>711.0</v>
      </c>
      <c r="B5719" s="4">
        <v>45375.613530092596</v>
      </c>
      <c r="C5719" s="3" t="s">
        <v>4</v>
      </c>
    </row>
    <row r="5720">
      <c r="A5720" s="3">
        <v>6907.0</v>
      </c>
      <c r="B5720" s="4">
        <v>45375.617800925924</v>
      </c>
      <c r="C5720" s="3" t="s">
        <v>4</v>
      </c>
    </row>
    <row r="5721">
      <c r="A5721" s="3">
        <v>4422.0</v>
      </c>
      <c r="B5721" s="4">
        <v>45375.634201388886</v>
      </c>
      <c r="C5721" s="3" t="s">
        <v>3</v>
      </c>
    </row>
    <row r="5722">
      <c r="A5722" s="3">
        <v>4954.0</v>
      </c>
      <c r="B5722" s="4">
        <v>45375.64177083333</v>
      </c>
      <c r="C5722" s="3" t="s">
        <v>4</v>
      </c>
    </row>
    <row r="5723">
      <c r="A5723" s="3">
        <v>4175.0</v>
      </c>
      <c r="B5723" s="4">
        <v>45375.656377314815</v>
      </c>
      <c r="C5723" s="3" t="s">
        <v>6</v>
      </c>
    </row>
    <row r="5724">
      <c r="A5724" s="3">
        <v>343.0</v>
      </c>
      <c r="B5724" s="4">
        <v>45375.665289351855</v>
      </c>
      <c r="C5724" s="3" t="s">
        <v>3</v>
      </c>
    </row>
    <row r="5725">
      <c r="A5725" s="3">
        <v>1700.0</v>
      </c>
      <c r="B5725" s="4">
        <v>45375.66732638889</v>
      </c>
      <c r="C5725" s="3" t="s">
        <v>4</v>
      </c>
    </row>
    <row r="5726">
      <c r="A5726" s="3">
        <v>2719.0</v>
      </c>
      <c r="B5726" s="4">
        <v>45375.69505787037</v>
      </c>
      <c r="C5726" s="3" t="s">
        <v>3</v>
      </c>
    </row>
    <row r="5727">
      <c r="A5727" s="3">
        <v>3827.0</v>
      </c>
      <c r="B5727" s="4">
        <v>45375.70193287037</v>
      </c>
      <c r="C5727" s="3" t="s">
        <v>4</v>
      </c>
    </row>
    <row r="5728">
      <c r="A5728" s="3">
        <v>4555.0</v>
      </c>
      <c r="B5728" s="4">
        <v>45375.70652777778</v>
      </c>
      <c r="C5728" s="3" t="s">
        <v>3</v>
      </c>
    </row>
    <row r="5729">
      <c r="A5729" s="3">
        <v>1653.0</v>
      </c>
      <c r="B5729" s="4">
        <v>45375.71413194444</v>
      </c>
      <c r="C5729" s="3" t="s">
        <v>6</v>
      </c>
    </row>
    <row r="5730">
      <c r="A5730" s="3">
        <v>4438.0</v>
      </c>
      <c r="B5730" s="4">
        <v>45375.71954861111</v>
      </c>
      <c r="C5730" s="3" t="s">
        <v>4</v>
      </c>
    </row>
    <row r="5731">
      <c r="A5731" s="3">
        <v>1927.0</v>
      </c>
      <c r="B5731" s="4">
        <v>45375.739375</v>
      </c>
      <c r="C5731" s="3" t="s">
        <v>3</v>
      </c>
    </row>
    <row r="5732">
      <c r="A5732" s="3">
        <v>5158.0</v>
      </c>
      <c r="B5732" s="4">
        <v>45375.748506944445</v>
      </c>
      <c r="C5732" s="3" t="s">
        <v>6</v>
      </c>
    </row>
    <row r="5733">
      <c r="A5733" s="3">
        <v>3730.0</v>
      </c>
      <c r="B5733" s="4">
        <v>45375.75475694444</v>
      </c>
      <c r="C5733" s="3" t="s">
        <v>3</v>
      </c>
    </row>
    <row r="5734">
      <c r="A5734" s="3">
        <v>4954.0</v>
      </c>
      <c r="B5734" s="4">
        <v>45375.827523148146</v>
      </c>
      <c r="C5734" s="3" t="s">
        <v>3</v>
      </c>
    </row>
    <row r="5735">
      <c r="A5735" s="3">
        <v>6290.0</v>
      </c>
      <c r="B5735" s="4">
        <v>45375.83920138889</v>
      </c>
      <c r="C5735" s="3" t="s">
        <v>3</v>
      </c>
    </row>
    <row r="5736">
      <c r="A5736" s="3">
        <v>6578.0</v>
      </c>
      <c r="B5736" s="4">
        <v>45375.85344907407</v>
      </c>
      <c r="C5736" s="3" t="s">
        <v>5</v>
      </c>
    </row>
    <row r="5737">
      <c r="A5737" s="3">
        <v>5567.0</v>
      </c>
      <c r="B5737" s="4">
        <v>45375.880381944444</v>
      </c>
      <c r="C5737" s="3" t="s">
        <v>4</v>
      </c>
    </row>
    <row r="5738">
      <c r="A5738" s="3">
        <v>7561.0</v>
      </c>
      <c r="B5738" s="4">
        <v>45375.8900462963</v>
      </c>
      <c r="C5738" s="3" t="s">
        <v>3</v>
      </c>
    </row>
    <row r="5739">
      <c r="A5739" s="3">
        <v>7300.0</v>
      </c>
      <c r="B5739" s="4">
        <v>45375.89638888889</v>
      </c>
      <c r="C5739" s="3" t="s">
        <v>6</v>
      </c>
    </row>
    <row r="5740">
      <c r="A5740" s="3">
        <v>2113.0</v>
      </c>
      <c r="B5740" s="4">
        <v>45375.918854166666</v>
      </c>
      <c r="C5740" s="3" t="s">
        <v>7</v>
      </c>
    </row>
    <row r="5741">
      <c r="A5741" s="3">
        <v>417.0</v>
      </c>
      <c r="B5741" s="4">
        <v>45375.92285879629</v>
      </c>
      <c r="C5741" s="3" t="s">
        <v>4</v>
      </c>
    </row>
    <row r="5742">
      <c r="A5742" s="3">
        <v>1476.0</v>
      </c>
      <c r="B5742" s="4">
        <v>45375.956921296296</v>
      </c>
      <c r="C5742" s="3" t="s">
        <v>3</v>
      </c>
    </row>
    <row r="5743">
      <c r="A5743" s="3">
        <v>4914.0</v>
      </c>
      <c r="B5743" s="4">
        <v>45375.97583333333</v>
      </c>
      <c r="C5743" s="3" t="s">
        <v>5</v>
      </c>
    </row>
    <row r="5744">
      <c r="A5744" s="3">
        <v>1527.0</v>
      </c>
      <c r="B5744" s="4">
        <v>45375.977638888886</v>
      </c>
      <c r="C5744" s="3" t="s">
        <v>3</v>
      </c>
    </row>
    <row r="5745">
      <c r="A5745" s="3">
        <v>5170.0</v>
      </c>
      <c r="B5745" s="4">
        <v>45376.01652777778</v>
      </c>
      <c r="C5745" s="3" t="s">
        <v>6</v>
      </c>
    </row>
    <row r="5746">
      <c r="A5746" s="3">
        <v>7863.0</v>
      </c>
      <c r="B5746" s="4">
        <v>45376.04074074074</v>
      </c>
      <c r="C5746" s="3" t="s">
        <v>3</v>
      </c>
    </row>
    <row r="5747">
      <c r="A5747" s="3">
        <v>477.0</v>
      </c>
      <c r="B5747" s="4">
        <v>45376.07467592593</v>
      </c>
      <c r="C5747" s="3" t="s">
        <v>7</v>
      </c>
    </row>
    <row r="5748">
      <c r="A5748" s="3">
        <v>2117.0</v>
      </c>
      <c r="B5748" s="4">
        <v>45376.07885416667</v>
      </c>
      <c r="C5748" s="3" t="s">
        <v>3</v>
      </c>
    </row>
    <row r="5749">
      <c r="A5749" s="3">
        <v>4533.0</v>
      </c>
      <c r="B5749" s="4">
        <v>45376.09130787037</v>
      </c>
      <c r="C5749" s="3" t="s">
        <v>5</v>
      </c>
    </row>
    <row r="5750">
      <c r="A5750" s="3">
        <v>1516.0</v>
      </c>
      <c r="B5750" s="4">
        <v>45376.09583333333</v>
      </c>
      <c r="C5750" s="3" t="s">
        <v>4</v>
      </c>
    </row>
    <row r="5751">
      <c r="A5751" s="3">
        <v>909.0</v>
      </c>
      <c r="B5751" s="4">
        <v>45376.1040162037</v>
      </c>
      <c r="C5751" s="3" t="s">
        <v>7</v>
      </c>
    </row>
    <row r="5752">
      <c r="A5752" s="3">
        <v>4361.0</v>
      </c>
      <c r="B5752" s="4">
        <v>45376.19125</v>
      </c>
      <c r="C5752" s="3" t="s">
        <v>3</v>
      </c>
    </row>
    <row r="5753">
      <c r="A5753" s="3">
        <v>5518.0</v>
      </c>
      <c r="B5753" s="4">
        <v>45376.19814814815</v>
      </c>
      <c r="C5753" s="3" t="s">
        <v>4</v>
      </c>
    </row>
    <row r="5754">
      <c r="A5754" s="3">
        <v>7066.0</v>
      </c>
      <c r="B5754" s="4">
        <v>45376.199016203704</v>
      </c>
      <c r="C5754" s="3" t="s">
        <v>7</v>
      </c>
    </row>
    <row r="5755">
      <c r="A5755" s="3">
        <v>2719.0</v>
      </c>
      <c r="B5755" s="4">
        <v>45376.199375</v>
      </c>
      <c r="C5755" s="3" t="s">
        <v>6</v>
      </c>
    </row>
    <row r="5756">
      <c r="A5756" s="3">
        <v>7355.0</v>
      </c>
      <c r="B5756" s="4">
        <v>45376.23805555556</v>
      </c>
      <c r="C5756" s="3" t="s">
        <v>3</v>
      </c>
    </row>
    <row r="5757">
      <c r="A5757" s="3">
        <v>3684.0</v>
      </c>
      <c r="B5757" s="4">
        <v>45376.258877314816</v>
      </c>
      <c r="C5757" s="3" t="s">
        <v>3</v>
      </c>
    </row>
    <row r="5758">
      <c r="A5758" s="3">
        <v>5687.0</v>
      </c>
      <c r="B5758" s="4">
        <v>45376.29517361111</v>
      </c>
      <c r="C5758" s="3" t="s">
        <v>4</v>
      </c>
    </row>
    <row r="5759">
      <c r="A5759" s="3">
        <v>6725.0</v>
      </c>
      <c r="B5759" s="4">
        <v>45376.305185185185</v>
      </c>
      <c r="C5759" s="3" t="s">
        <v>3</v>
      </c>
    </row>
    <row r="5760">
      <c r="A5760" s="3">
        <v>5675.0</v>
      </c>
      <c r="B5760" s="4">
        <v>45376.33043981482</v>
      </c>
      <c r="C5760" s="3" t="s">
        <v>7</v>
      </c>
    </row>
    <row r="5761">
      <c r="A5761" s="3">
        <v>7828.0</v>
      </c>
      <c r="B5761" s="4">
        <v>45376.34240740741</v>
      </c>
      <c r="C5761" s="3" t="s">
        <v>7</v>
      </c>
    </row>
    <row r="5762">
      <c r="A5762" s="3">
        <v>3754.0</v>
      </c>
      <c r="B5762" s="4">
        <v>45376.349340277775</v>
      </c>
      <c r="C5762" s="3" t="s">
        <v>4</v>
      </c>
    </row>
    <row r="5763">
      <c r="A5763" s="3">
        <v>5822.0</v>
      </c>
      <c r="B5763" s="4">
        <v>45376.35225694445</v>
      </c>
      <c r="C5763" s="3" t="s">
        <v>3</v>
      </c>
    </row>
    <row r="5764">
      <c r="A5764" s="3">
        <v>4211.0</v>
      </c>
      <c r="B5764" s="4">
        <v>45376.355150462965</v>
      </c>
      <c r="C5764" s="3" t="s">
        <v>4</v>
      </c>
    </row>
    <row r="5765">
      <c r="A5765" s="3">
        <v>2643.0</v>
      </c>
      <c r="B5765" s="4">
        <v>45376.36633101852</v>
      </c>
      <c r="C5765" s="3" t="s">
        <v>3</v>
      </c>
    </row>
    <row r="5766">
      <c r="A5766" s="3">
        <v>4232.0</v>
      </c>
      <c r="B5766" s="4">
        <v>45376.409212962964</v>
      </c>
      <c r="C5766" s="3" t="s">
        <v>3</v>
      </c>
    </row>
    <row r="5767">
      <c r="A5767" s="3">
        <v>3450.0</v>
      </c>
      <c r="B5767" s="4">
        <v>45376.42349537037</v>
      </c>
      <c r="C5767" s="3" t="s">
        <v>4</v>
      </c>
    </row>
    <row r="5768">
      <c r="A5768" s="3">
        <v>7355.0</v>
      </c>
      <c r="B5768" s="4">
        <v>45376.472453703704</v>
      </c>
      <c r="C5768" s="3" t="s">
        <v>4</v>
      </c>
    </row>
    <row r="5769">
      <c r="A5769" s="3">
        <v>1745.0</v>
      </c>
      <c r="B5769" s="4">
        <v>45376.476064814815</v>
      </c>
      <c r="C5769" s="3" t="s">
        <v>4</v>
      </c>
    </row>
    <row r="5770">
      <c r="A5770" s="3">
        <v>5609.0</v>
      </c>
      <c r="B5770" s="4">
        <v>45376.48732638889</v>
      </c>
      <c r="C5770" s="3" t="s">
        <v>4</v>
      </c>
    </row>
    <row r="5771">
      <c r="A5771" s="3">
        <v>1421.0</v>
      </c>
      <c r="B5771" s="4">
        <v>45376.488969907405</v>
      </c>
      <c r="C5771" s="3" t="s">
        <v>6</v>
      </c>
    </row>
    <row r="5772">
      <c r="A5772" s="3">
        <v>20.0</v>
      </c>
      <c r="B5772" s="4">
        <v>45376.50121527778</v>
      </c>
      <c r="C5772" s="3" t="s">
        <v>4</v>
      </c>
    </row>
    <row r="5773">
      <c r="A5773" s="3">
        <v>595.0</v>
      </c>
      <c r="B5773" s="4">
        <v>45376.507210648146</v>
      </c>
      <c r="C5773" s="3" t="s">
        <v>3</v>
      </c>
    </row>
    <row r="5774">
      <c r="A5774" s="3">
        <v>4422.0</v>
      </c>
      <c r="B5774" s="4">
        <v>45376.509791666664</v>
      </c>
      <c r="C5774" s="3" t="s">
        <v>6</v>
      </c>
    </row>
    <row r="5775">
      <c r="A5775" s="3">
        <v>7037.0</v>
      </c>
      <c r="B5775" s="4">
        <v>45376.52684027778</v>
      </c>
      <c r="C5775" s="3" t="s">
        <v>7</v>
      </c>
    </row>
    <row r="5776">
      <c r="A5776" s="3">
        <v>7645.0</v>
      </c>
      <c r="B5776" s="4">
        <v>45376.57809027778</v>
      </c>
      <c r="C5776" s="3" t="s">
        <v>3</v>
      </c>
    </row>
    <row r="5777">
      <c r="A5777" s="3">
        <v>1745.0</v>
      </c>
      <c r="B5777" s="4">
        <v>45376.596608796295</v>
      </c>
      <c r="C5777" s="3" t="s">
        <v>3</v>
      </c>
    </row>
    <row r="5778">
      <c r="A5778" s="3">
        <v>5170.0</v>
      </c>
      <c r="B5778" s="4">
        <v>45376.59863425926</v>
      </c>
      <c r="C5778" s="3" t="s">
        <v>7</v>
      </c>
    </row>
    <row r="5779">
      <c r="A5779" s="3">
        <v>3636.0</v>
      </c>
      <c r="B5779" s="4">
        <v>45376.62296296296</v>
      </c>
      <c r="C5779" s="3" t="s">
        <v>3</v>
      </c>
    </row>
    <row r="5780">
      <c r="A5780" s="3">
        <v>6146.0</v>
      </c>
      <c r="B5780" s="4">
        <v>45376.63322916667</v>
      </c>
      <c r="C5780" s="3" t="s">
        <v>3</v>
      </c>
    </row>
    <row r="5781">
      <c r="A5781" s="3">
        <v>52.0</v>
      </c>
      <c r="B5781" s="4">
        <v>45376.64013888889</v>
      </c>
      <c r="C5781" s="3" t="s">
        <v>3</v>
      </c>
    </row>
    <row r="5782">
      <c r="A5782" s="3">
        <v>2658.0</v>
      </c>
      <c r="B5782" s="4">
        <v>45376.641122685185</v>
      </c>
      <c r="C5782" s="3" t="s">
        <v>4</v>
      </c>
    </row>
    <row r="5783">
      <c r="A5783" s="3">
        <v>7817.0</v>
      </c>
      <c r="B5783" s="4">
        <v>45376.64523148148</v>
      </c>
      <c r="C5783" s="3" t="s">
        <v>6</v>
      </c>
    </row>
    <row r="5784">
      <c r="A5784" s="3">
        <v>4714.0</v>
      </c>
      <c r="B5784" s="4">
        <v>45376.653761574074</v>
      </c>
      <c r="C5784" s="3" t="s">
        <v>3</v>
      </c>
    </row>
    <row r="5785">
      <c r="A5785" s="3">
        <v>7483.0</v>
      </c>
      <c r="B5785" s="4">
        <v>45376.66724537037</v>
      </c>
      <c r="C5785" s="3" t="s">
        <v>3</v>
      </c>
    </row>
    <row r="5786">
      <c r="A5786" s="3">
        <v>4025.0</v>
      </c>
      <c r="B5786" s="4">
        <v>45376.678622685184</v>
      </c>
      <c r="C5786" s="3" t="s">
        <v>7</v>
      </c>
    </row>
    <row r="5787">
      <c r="A5787" s="3">
        <v>7992.0</v>
      </c>
      <c r="B5787" s="4">
        <v>45376.686689814815</v>
      </c>
      <c r="C5787" s="3" t="s">
        <v>3</v>
      </c>
    </row>
    <row r="5788">
      <c r="A5788" s="3">
        <v>6989.0</v>
      </c>
      <c r="B5788" s="4">
        <v>45376.689722222225</v>
      </c>
      <c r="C5788" s="3" t="s">
        <v>7</v>
      </c>
    </row>
    <row r="5789">
      <c r="A5789" s="3">
        <v>5776.0</v>
      </c>
      <c r="B5789" s="4">
        <v>45376.69836805556</v>
      </c>
      <c r="C5789" s="3" t="s">
        <v>3</v>
      </c>
    </row>
    <row r="5790">
      <c r="A5790" s="3">
        <v>2583.0</v>
      </c>
      <c r="B5790" s="4">
        <v>45376.69866898148</v>
      </c>
      <c r="C5790" s="3" t="s">
        <v>3</v>
      </c>
    </row>
    <row r="5791">
      <c r="A5791" s="3">
        <v>1145.0</v>
      </c>
      <c r="B5791" s="4">
        <v>45376.7046875</v>
      </c>
      <c r="C5791" s="3" t="s">
        <v>4</v>
      </c>
    </row>
    <row r="5792">
      <c r="A5792" s="3">
        <v>857.0</v>
      </c>
      <c r="B5792" s="4">
        <v>45376.71042824074</v>
      </c>
      <c r="C5792" s="3" t="s">
        <v>6</v>
      </c>
    </row>
    <row r="5793">
      <c r="A5793" s="3">
        <v>6038.0</v>
      </c>
      <c r="B5793" s="4">
        <v>45376.72597222222</v>
      </c>
      <c r="C5793" s="3" t="s">
        <v>7</v>
      </c>
    </row>
    <row r="5794">
      <c r="A5794" s="3">
        <v>39.0</v>
      </c>
      <c r="B5794" s="4">
        <v>45376.73375</v>
      </c>
      <c r="C5794" s="3" t="s">
        <v>4</v>
      </c>
    </row>
    <row r="5795">
      <c r="A5795" s="3">
        <v>1659.0</v>
      </c>
      <c r="B5795" s="4">
        <v>45376.76634259259</v>
      </c>
      <c r="C5795" s="3" t="s">
        <v>4</v>
      </c>
    </row>
    <row r="5796">
      <c r="A5796" s="3">
        <v>7907.0</v>
      </c>
      <c r="B5796" s="4">
        <v>45376.78533564815</v>
      </c>
      <c r="C5796" s="3" t="s">
        <v>6</v>
      </c>
    </row>
    <row r="5797">
      <c r="A5797" s="3">
        <v>2856.0</v>
      </c>
      <c r="B5797" s="4">
        <v>45376.789375</v>
      </c>
      <c r="C5797" s="3" t="s">
        <v>3</v>
      </c>
    </row>
    <row r="5798">
      <c r="A5798" s="3">
        <v>6826.0</v>
      </c>
      <c r="B5798" s="4">
        <v>45376.789456018516</v>
      </c>
      <c r="C5798" s="3" t="s">
        <v>3</v>
      </c>
    </row>
    <row r="5799">
      <c r="A5799" s="3">
        <v>6706.0</v>
      </c>
      <c r="B5799" s="4">
        <v>45376.79189814815</v>
      </c>
      <c r="C5799" s="3" t="s">
        <v>3</v>
      </c>
    </row>
    <row r="5800">
      <c r="A5800" s="3">
        <v>4230.0</v>
      </c>
      <c r="B5800" s="4">
        <v>45376.79398148148</v>
      </c>
      <c r="C5800" s="3" t="s">
        <v>6</v>
      </c>
    </row>
    <row r="5801">
      <c r="A5801" s="3">
        <v>1194.0</v>
      </c>
      <c r="B5801" s="4">
        <v>45376.86445601852</v>
      </c>
      <c r="C5801" s="3" t="s">
        <v>5</v>
      </c>
    </row>
    <row r="5802">
      <c r="A5802" s="3">
        <v>6124.0</v>
      </c>
      <c r="B5802" s="4">
        <v>45376.873877314814</v>
      </c>
      <c r="C5802" s="3" t="s">
        <v>7</v>
      </c>
    </row>
    <row r="5803">
      <c r="A5803" s="3">
        <v>2771.0</v>
      </c>
      <c r="B5803" s="4">
        <v>45376.897997685184</v>
      </c>
      <c r="C5803" s="3" t="s">
        <v>3</v>
      </c>
    </row>
    <row r="5804">
      <c r="A5804" s="3">
        <v>2695.0</v>
      </c>
      <c r="B5804" s="4">
        <v>45376.89958333333</v>
      </c>
      <c r="C5804" s="3" t="s">
        <v>3</v>
      </c>
    </row>
    <row r="5805">
      <c r="A5805" s="3">
        <v>3256.0</v>
      </c>
      <c r="B5805" s="4">
        <v>45376.9009375</v>
      </c>
      <c r="C5805" s="3" t="s">
        <v>3</v>
      </c>
    </row>
    <row r="5806">
      <c r="A5806" s="3">
        <v>1516.0</v>
      </c>
      <c r="B5806" s="4">
        <v>45376.91032407407</v>
      </c>
      <c r="C5806" s="3" t="s">
        <v>3</v>
      </c>
    </row>
    <row r="5807">
      <c r="A5807" s="3">
        <v>5897.0</v>
      </c>
      <c r="B5807" s="4">
        <v>45376.920578703706</v>
      </c>
      <c r="C5807" s="3" t="s">
        <v>4</v>
      </c>
    </row>
    <row r="5808">
      <c r="A5808" s="3">
        <v>7615.0</v>
      </c>
      <c r="B5808" s="4">
        <v>45376.92832175926</v>
      </c>
      <c r="C5808" s="3" t="s">
        <v>4</v>
      </c>
    </row>
    <row r="5809">
      <c r="A5809" s="3">
        <v>5609.0</v>
      </c>
      <c r="B5809" s="4">
        <v>45376.931122685186</v>
      </c>
      <c r="C5809" s="3" t="s">
        <v>3</v>
      </c>
    </row>
    <row r="5810">
      <c r="A5810" s="3">
        <v>5822.0</v>
      </c>
      <c r="B5810" s="4">
        <v>45376.95422453704</v>
      </c>
      <c r="C5810" s="3" t="s">
        <v>5</v>
      </c>
    </row>
    <row r="5811">
      <c r="A5811" s="3">
        <v>1920.0</v>
      </c>
      <c r="B5811" s="4">
        <v>45376.972974537035</v>
      </c>
      <c r="C5811" s="3" t="s">
        <v>7</v>
      </c>
    </row>
    <row r="5812">
      <c r="A5812" s="3">
        <v>6038.0</v>
      </c>
      <c r="B5812" s="4">
        <v>45376.987395833334</v>
      </c>
      <c r="C5812" s="3" t="s">
        <v>6</v>
      </c>
    </row>
    <row r="5813">
      <c r="A5813" s="3">
        <v>5786.0</v>
      </c>
      <c r="B5813" s="4">
        <v>45377.00377314815</v>
      </c>
      <c r="C5813" s="3" t="s">
        <v>3</v>
      </c>
    </row>
    <row r="5814">
      <c r="A5814" s="3">
        <v>439.0</v>
      </c>
      <c r="B5814" s="4">
        <v>45377.02107638889</v>
      </c>
      <c r="C5814" s="3" t="s">
        <v>3</v>
      </c>
    </row>
    <row r="5815">
      <c r="A5815" s="3">
        <v>4450.0</v>
      </c>
      <c r="B5815" s="4">
        <v>45377.02358796296</v>
      </c>
      <c r="C5815" s="3" t="s">
        <v>4</v>
      </c>
    </row>
    <row r="5816">
      <c r="A5816" s="3">
        <v>2771.0</v>
      </c>
      <c r="B5816" s="4">
        <v>45377.02788194444</v>
      </c>
      <c r="C5816" s="3" t="s">
        <v>7</v>
      </c>
    </row>
    <row r="5817">
      <c r="A5817" s="3">
        <v>1055.0</v>
      </c>
      <c r="B5817" s="4">
        <v>45377.03047453704</v>
      </c>
      <c r="C5817" s="3" t="s">
        <v>3</v>
      </c>
    </row>
    <row r="5818">
      <c r="A5818" s="3">
        <v>2578.0</v>
      </c>
      <c r="B5818" s="4">
        <v>45377.03579861111</v>
      </c>
      <c r="C5818" s="3" t="s">
        <v>6</v>
      </c>
    </row>
    <row r="5819">
      <c r="A5819" s="3">
        <v>6826.0</v>
      </c>
      <c r="B5819" s="4">
        <v>45377.04068287037</v>
      </c>
      <c r="C5819" s="3" t="s">
        <v>4</v>
      </c>
    </row>
    <row r="5820">
      <c r="A5820" s="3">
        <v>6084.0</v>
      </c>
      <c r="B5820" s="4">
        <v>45377.04708333333</v>
      </c>
      <c r="C5820" s="3" t="s">
        <v>3</v>
      </c>
    </row>
    <row r="5821">
      <c r="A5821" s="3">
        <v>5019.0</v>
      </c>
      <c r="B5821" s="4">
        <v>45377.05416666667</v>
      </c>
      <c r="C5821" s="3" t="s">
        <v>6</v>
      </c>
    </row>
    <row r="5822">
      <c r="A5822" s="3">
        <v>1437.0</v>
      </c>
      <c r="B5822" s="4">
        <v>45377.099583333336</v>
      </c>
      <c r="C5822" s="3" t="s">
        <v>3</v>
      </c>
    </row>
    <row r="5823">
      <c r="A5823" s="3">
        <v>6576.0</v>
      </c>
      <c r="B5823" s="4">
        <v>45377.1037037037</v>
      </c>
      <c r="C5823" s="3" t="s">
        <v>3</v>
      </c>
    </row>
    <row r="5824">
      <c r="A5824" s="3">
        <v>550.0</v>
      </c>
      <c r="B5824" s="4">
        <v>45377.10936342592</v>
      </c>
      <c r="C5824" s="3" t="s">
        <v>7</v>
      </c>
    </row>
    <row r="5825">
      <c r="A5825" s="3">
        <v>2847.0</v>
      </c>
      <c r="B5825" s="4">
        <v>45377.14953703704</v>
      </c>
      <c r="C5825" s="3" t="s">
        <v>3</v>
      </c>
    </row>
    <row r="5826">
      <c r="A5826" s="3">
        <v>5093.0</v>
      </c>
      <c r="B5826" s="4">
        <v>45377.15568287037</v>
      </c>
      <c r="C5826" s="3" t="s">
        <v>3</v>
      </c>
    </row>
    <row r="5827">
      <c r="A5827" s="3">
        <v>4558.0</v>
      </c>
      <c r="B5827" s="4">
        <v>45377.167233796295</v>
      </c>
      <c r="C5827" s="3" t="s">
        <v>3</v>
      </c>
    </row>
    <row r="5828">
      <c r="A5828" s="3">
        <v>606.0</v>
      </c>
      <c r="B5828" s="4">
        <v>45377.16875</v>
      </c>
      <c r="C5828" s="3" t="s">
        <v>3</v>
      </c>
    </row>
    <row r="5829">
      <c r="A5829" s="3">
        <v>1795.0</v>
      </c>
      <c r="B5829" s="4">
        <v>45377.17236111111</v>
      </c>
      <c r="C5829" s="3" t="s">
        <v>3</v>
      </c>
    </row>
    <row r="5830">
      <c r="A5830" s="3">
        <v>1560.0</v>
      </c>
      <c r="B5830" s="4">
        <v>45377.183391203704</v>
      </c>
      <c r="C5830" s="3" t="s">
        <v>3</v>
      </c>
    </row>
    <row r="5831">
      <c r="A5831" s="3">
        <v>6147.0</v>
      </c>
      <c r="B5831" s="4">
        <v>45377.18763888889</v>
      </c>
      <c r="C5831" s="3" t="s">
        <v>3</v>
      </c>
    </row>
    <row r="5832">
      <c r="A5832" s="3">
        <v>7146.0</v>
      </c>
      <c r="B5832" s="4">
        <v>45377.210381944446</v>
      </c>
      <c r="C5832" s="3" t="s">
        <v>6</v>
      </c>
    </row>
    <row r="5833">
      <c r="A5833" s="3">
        <v>1235.0</v>
      </c>
      <c r="B5833" s="4">
        <v>45377.22800925926</v>
      </c>
      <c r="C5833" s="3" t="s">
        <v>3</v>
      </c>
    </row>
    <row r="5834">
      <c r="A5834" s="3">
        <v>5472.0</v>
      </c>
      <c r="B5834" s="4">
        <v>45377.23025462963</v>
      </c>
      <c r="C5834" s="3" t="s">
        <v>6</v>
      </c>
    </row>
    <row r="5835">
      <c r="A5835" s="3">
        <v>2771.0</v>
      </c>
      <c r="B5835" s="4">
        <v>45377.230474537035</v>
      </c>
      <c r="C5835" s="3" t="s">
        <v>4</v>
      </c>
    </row>
    <row r="5836">
      <c r="A5836" s="3">
        <v>1053.0</v>
      </c>
      <c r="B5836" s="4">
        <v>45377.25016203704</v>
      </c>
      <c r="C5836" s="3" t="s">
        <v>3</v>
      </c>
    </row>
    <row r="5837">
      <c r="A5837" s="3">
        <v>934.0</v>
      </c>
      <c r="B5837" s="4">
        <v>45377.25880787037</v>
      </c>
      <c r="C5837" s="3" t="s">
        <v>3</v>
      </c>
    </row>
    <row r="5838">
      <c r="A5838" s="3">
        <v>3308.0</v>
      </c>
      <c r="B5838" s="4">
        <v>45377.29530092593</v>
      </c>
      <c r="C5838" s="3" t="s">
        <v>6</v>
      </c>
    </row>
    <row r="5839">
      <c r="A5839" s="3">
        <v>4968.0</v>
      </c>
      <c r="B5839" s="4">
        <v>45377.34274305555</v>
      </c>
      <c r="C5839" s="3" t="s">
        <v>3</v>
      </c>
    </row>
    <row r="5840">
      <c r="A5840" s="3">
        <v>5149.0</v>
      </c>
      <c r="B5840" s="4">
        <v>45377.34340277778</v>
      </c>
      <c r="C5840" s="3" t="s">
        <v>3</v>
      </c>
    </row>
    <row r="5841">
      <c r="A5841" s="3">
        <v>2580.0</v>
      </c>
      <c r="B5841" s="4">
        <v>45377.34756944444</v>
      </c>
      <c r="C5841" s="3" t="s">
        <v>3</v>
      </c>
    </row>
    <row r="5842">
      <c r="A5842" s="3">
        <v>266.0</v>
      </c>
      <c r="B5842" s="4">
        <v>45377.355474537035</v>
      </c>
      <c r="C5842" s="3" t="s">
        <v>3</v>
      </c>
    </row>
    <row r="5843">
      <c r="A5843" s="3">
        <v>5628.0</v>
      </c>
      <c r="B5843" s="4">
        <v>45377.40841435185</v>
      </c>
      <c r="C5843" s="3" t="s">
        <v>6</v>
      </c>
    </row>
    <row r="5844">
      <c r="A5844" s="3">
        <v>223.0</v>
      </c>
      <c r="B5844" s="4">
        <v>45377.42508101852</v>
      </c>
      <c r="C5844" s="3" t="s">
        <v>3</v>
      </c>
    </row>
    <row r="5845">
      <c r="A5845" s="3">
        <v>2783.0</v>
      </c>
      <c r="B5845" s="4">
        <v>45377.442557870374</v>
      </c>
      <c r="C5845" s="3" t="s">
        <v>3</v>
      </c>
    </row>
    <row r="5846">
      <c r="A5846" s="3">
        <v>2784.0</v>
      </c>
      <c r="B5846" s="4">
        <v>45377.44689814815</v>
      </c>
      <c r="C5846" s="3" t="s">
        <v>3</v>
      </c>
    </row>
    <row r="5847">
      <c r="A5847" s="3">
        <v>7535.0</v>
      </c>
      <c r="B5847" s="4">
        <v>45377.45364583333</v>
      </c>
      <c r="C5847" s="3" t="s">
        <v>7</v>
      </c>
    </row>
    <row r="5848">
      <c r="A5848" s="3">
        <v>1745.0</v>
      </c>
      <c r="B5848" s="4">
        <v>45377.45417824074</v>
      </c>
      <c r="C5848" s="3" t="s">
        <v>7</v>
      </c>
    </row>
    <row r="5849">
      <c r="A5849" s="3">
        <v>223.0</v>
      </c>
      <c r="B5849" s="4">
        <v>45377.461018518516</v>
      </c>
      <c r="C5849" s="3" t="s">
        <v>4</v>
      </c>
    </row>
    <row r="5850">
      <c r="A5850" s="3">
        <v>4422.0</v>
      </c>
      <c r="B5850" s="4">
        <v>45377.468252314815</v>
      </c>
      <c r="C5850" s="3" t="s">
        <v>5</v>
      </c>
    </row>
    <row r="5851">
      <c r="A5851" s="3">
        <v>1745.0</v>
      </c>
      <c r="B5851" s="4">
        <v>45377.469363425924</v>
      </c>
      <c r="C5851" s="3" t="s">
        <v>6</v>
      </c>
    </row>
    <row r="5852">
      <c r="A5852" s="3">
        <v>1633.0</v>
      </c>
      <c r="B5852" s="4">
        <v>45377.472025462965</v>
      </c>
      <c r="C5852" s="3" t="s">
        <v>3</v>
      </c>
    </row>
    <row r="5853">
      <c r="A5853" s="3">
        <v>3961.0</v>
      </c>
      <c r="B5853" s="4">
        <v>45377.48653935185</v>
      </c>
      <c r="C5853" s="3" t="s">
        <v>6</v>
      </c>
    </row>
    <row r="5854">
      <c r="A5854" s="3">
        <v>335.0</v>
      </c>
      <c r="B5854" s="4">
        <v>45377.495891203704</v>
      </c>
      <c r="C5854" s="3" t="s">
        <v>3</v>
      </c>
    </row>
    <row r="5855">
      <c r="A5855" s="3">
        <v>5687.0</v>
      </c>
      <c r="B5855" s="4">
        <v>45377.51430555555</v>
      </c>
      <c r="C5855" s="3" t="s">
        <v>7</v>
      </c>
    </row>
    <row r="5856">
      <c r="A5856" s="3">
        <v>857.0</v>
      </c>
      <c r="B5856" s="4">
        <v>45377.52784722222</v>
      </c>
      <c r="C5856" s="3" t="s">
        <v>7</v>
      </c>
    </row>
    <row r="5857">
      <c r="A5857" s="3">
        <v>6290.0</v>
      </c>
      <c r="B5857" s="4">
        <v>45377.53734953704</v>
      </c>
      <c r="C5857" s="3" t="s">
        <v>6</v>
      </c>
    </row>
    <row r="5858">
      <c r="A5858" s="3">
        <v>7410.0</v>
      </c>
      <c r="B5858" s="4">
        <v>45377.53768518518</v>
      </c>
      <c r="C5858" s="3" t="s">
        <v>3</v>
      </c>
    </row>
    <row r="5859">
      <c r="A5859" s="3">
        <v>1053.0</v>
      </c>
      <c r="B5859" s="4">
        <v>45377.53870370371</v>
      </c>
      <c r="C5859" s="3" t="s">
        <v>4</v>
      </c>
    </row>
    <row r="5860">
      <c r="A5860" s="3">
        <v>1785.0</v>
      </c>
      <c r="B5860" s="4">
        <v>45377.55836805556</v>
      </c>
      <c r="C5860" s="3" t="s">
        <v>3</v>
      </c>
    </row>
    <row r="5861">
      <c r="A5861" s="3">
        <v>1927.0</v>
      </c>
      <c r="B5861" s="4">
        <v>45377.559328703705</v>
      </c>
      <c r="C5861" s="3" t="s">
        <v>5</v>
      </c>
    </row>
    <row r="5862">
      <c r="A5862" s="3">
        <v>4914.0</v>
      </c>
      <c r="B5862" s="4">
        <v>45377.58064814815</v>
      </c>
      <c r="C5862" s="3" t="s">
        <v>7</v>
      </c>
    </row>
    <row r="5863">
      <c r="A5863" s="3">
        <v>5170.0</v>
      </c>
      <c r="B5863" s="4">
        <v>45377.6231712963</v>
      </c>
      <c r="C5863" s="3" t="s">
        <v>5</v>
      </c>
    </row>
    <row r="5864">
      <c r="A5864" s="3">
        <v>6147.0</v>
      </c>
      <c r="B5864" s="4">
        <v>45377.64469907407</v>
      </c>
      <c r="C5864" s="3" t="s">
        <v>4</v>
      </c>
    </row>
    <row r="5865">
      <c r="A5865" s="3">
        <v>4450.0</v>
      </c>
      <c r="B5865" s="4">
        <v>45377.65149305556</v>
      </c>
      <c r="C5865" s="3" t="s">
        <v>3</v>
      </c>
    </row>
    <row r="5866">
      <c r="A5866" s="3">
        <v>5671.0</v>
      </c>
      <c r="B5866" s="4">
        <v>45377.655069444445</v>
      </c>
      <c r="C5866" s="3" t="s">
        <v>3</v>
      </c>
    </row>
    <row r="5867">
      <c r="A5867" s="3">
        <v>3986.0</v>
      </c>
      <c r="B5867" s="4">
        <v>45377.65855324074</v>
      </c>
      <c r="C5867" s="3" t="s">
        <v>6</v>
      </c>
    </row>
    <row r="5868">
      <c r="A5868" s="3">
        <v>5001.0</v>
      </c>
      <c r="B5868" s="4">
        <v>45377.66373842592</v>
      </c>
      <c r="C5868" s="3" t="s">
        <v>3</v>
      </c>
    </row>
    <row r="5869">
      <c r="A5869" s="3">
        <v>6989.0</v>
      </c>
      <c r="B5869" s="4">
        <v>45377.68576388889</v>
      </c>
      <c r="C5869" s="3" t="s">
        <v>4</v>
      </c>
    </row>
    <row r="5870">
      <c r="A5870" s="3">
        <v>1076.0</v>
      </c>
      <c r="B5870" s="4">
        <v>45377.688263888886</v>
      </c>
      <c r="C5870" s="3" t="s">
        <v>7</v>
      </c>
    </row>
    <row r="5871">
      <c r="A5871" s="3">
        <v>7483.0</v>
      </c>
      <c r="B5871" s="4">
        <v>45377.69320601852</v>
      </c>
      <c r="C5871" s="3" t="s">
        <v>4</v>
      </c>
    </row>
    <row r="5872">
      <c r="A5872" s="3">
        <v>4661.0</v>
      </c>
      <c r="B5872" s="4">
        <v>45377.69974537037</v>
      </c>
      <c r="C5872" s="3" t="s">
        <v>7</v>
      </c>
    </row>
    <row r="5873">
      <c r="A5873" s="3">
        <v>711.0</v>
      </c>
      <c r="B5873" s="4">
        <v>45377.729421296295</v>
      </c>
      <c r="C5873" s="3" t="s">
        <v>5</v>
      </c>
    </row>
    <row r="5874">
      <c r="A5874" s="3">
        <v>7066.0</v>
      </c>
      <c r="B5874" s="4">
        <v>45377.74673611111</v>
      </c>
      <c r="C5874" s="3" t="s">
        <v>6</v>
      </c>
    </row>
    <row r="5875">
      <c r="A5875" s="3">
        <v>6686.0</v>
      </c>
      <c r="B5875" s="4">
        <v>45377.74796296296</v>
      </c>
      <c r="C5875" s="3" t="s">
        <v>3</v>
      </c>
    </row>
    <row r="5876">
      <c r="A5876" s="3">
        <v>5517.0</v>
      </c>
      <c r="B5876" s="4">
        <v>45377.769895833335</v>
      </c>
      <c r="C5876" s="3" t="s">
        <v>5</v>
      </c>
    </row>
    <row r="5877">
      <c r="A5877" s="3">
        <v>4968.0</v>
      </c>
      <c r="B5877" s="4">
        <v>45377.78707175926</v>
      </c>
      <c r="C5877" s="3" t="s">
        <v>4</v>
      </c>
    </row>
    <row r="5878">
      <c r="A5878" s="3">
        <v>5776.0</v>
      </c>
      <c r="B5878" s="4">
        <v>45377.791041666664</v>
      </c>
      <c r="C5878" s="3" t="s">
        <v>6</v>
      </c>
    </row>
    <row r="5879">
      <c r="A5879" s="3">
        <v>6290.0</v>
      </c>
      <c r="B5879" s="4">
        <v>45377.80980324074</v>
      </c>
      <c r="C5879" s="3" t="s">
        <v>4</v>
      </c>
    </row>
    <row r="5880">
      <c r="A5880" s="3">
        <v>5689.0</v>
      </c>
      <c r="B5880" s="4">
        <v>45377.81601851852</v>
      </c>
      <c r="C5880" s="3" t="s">
        <v>6</v>
      </c>
    </row>
    <row r="5881">
      <c r="A5881" s="3">
        <v>3640.0</v>
      </c>
      <c r="B5881" s="4">
        <v>45377.82098379629</v>
      </c>
      <c r="C5881" s="3" t="s">
        <v>3</v>
      </c>
    </row>
    <row r="5882">
      <c r="A5882" s="3">
        <v>7037.0</v>
      </c>
      <c r="B5882" s="4">
        <v>45377.821967592594</v>
      </c>
      <c r="C5882" s="3" t="s">
        <v>4</v>
      </c>
    </row>
    <row r="5883">
      <c r="A5883" s="3">
        <v>3992.0</v>
      </c>
      <c r="B5883" s="4">
        <v>45377.84438657408</v>
      </c>
      <c r="C5883" s="3" t="s">
        <v>4</v>
      </c>
    </row>
    <row r="5884">
      <c r="A5884" s="3">
        <v>4283.0</v>
      </c>
      <c r="B5884" s="4">
        <v>45377.844826388886</v>
      </c>
      <c r="C5884" s="3" t="s">
        <v>3</v>
      </c>
    </row>
    <row r="5885">
      <c r="A5885" s="3">
        <v>4558.0</v>
      </c>
      <c r="B5885" s="4">
        <v>45377.84940972222</v>
      </c>
      <c r="C5885" s="3" t="s">
        <v>4</v>
      </c>
    </row>
    <row r="5886">
      <c r="A5886" s="3">
        <v>726.0</v>
      </c>
      <c r="B5886" s="4">
        <v>45377.85047453704</v>
      </c>
      <c r="C5886" s="3" t="s">
        <v>3</v>
      </c>
    </row>
    <row r="5887">
      <c r="A5887" s="3">
        <v>3271.0</v>
      </c>
      <c r="B5887" s="4">
        <v>45377.852638888886</v>
      </c>
      <c r="C5887" s="3" t="s">
        <v>3</v>
      </c>
    </row>
    <row r="5888">
      <c r="A5888" s="3">
        <v>6124.0</v>
      </c>
      <c r="B5888" s="4">
        <v>45377.85556712963</v>
      </c>
      <c r="C5888" s="3" t="s">
        <v>6</v>
      </c>
    </row>
    <row r="5889">
      <c r="A5889" s="3">
        <v>4914.0</v>
      </c>
      <c r="B5889" s="4">
        <v>45377.8875</v>
      </c>
      <c r="C5889" s="3" t="s">
        <v>6</v>
      </c>
    </row>
    <row r="5890">
      <c r="A5890" s="3">
        <v>7377.0</v>
      </c>
      <c r="B5890" s="4">
        <v>45377.8937037037</v>
      </c>
      <c r="C5890" s="3" t="s">
        <v>7</v>
      </c>
    </row>
    <row r="5891">
      <c r="A5891" s="3">
        <v>6045.0</v>
      </c>
      <c r="B5891" s="4">
        <v>45377.89449074074</v>
      </c>
      <c r="C5891" s="3" t="s">
        <v>3</v>
      </c>
    </row>
    <row r="5892">
      <c r="A5892" s="3">
        <v>7863.0</v>
      </c>
      <c r="B5892" s="4">
        <v>45377.91353009259</v>
      </c>
      <c r="C5892" s="3" t="s">
        <v>7</v>
      </c>
    </row>
    <row r="5893">
      <c r="A5893" s="3">
        <v>6826.0</v>
      </c>
      <c r="B5893" s="4">
        <v>45377.92076388889</v>
      </c>
      <c r="C5893" s="3" t="s">
        <v>5</v>
      </c>
    </row>
    <row r="5894">
      <c r="A5894" s="3">
        <v>870.0</v>
      </c>
      <c r="B5894" s="4">
        <v>45377.97733796296</v>
      </c>
      <c r="C5894" s="3" t="s">
        <v>3</v>
      </c>
    </row>
    <row r="5895">
      <c r="A5895" s="3">
        <v>1471.0</v>
      </c>
      <c r="B5895" s="4">
        <v>45378.06756944444</v>
      </c>
      <c r="C5895" s="3" t="s">
        <v>4</v>
      </c>
    </row>
    <row r="5896">
      <c r="A5896" s="3">
        <v>2420.0</v>
      </c>
      <c r="B5896" s="4">
        <v>45378.08238425926</v>
      </c>
      <c r="C5896" s="3" t="s">
        <v>3</v>
      </c>
    </row>
    <row r="5897">
      <c r="A5897" s="3">
        <v>6559.0</v>
      </c>
      <c r="B5897" s="4">
        <v>45378.10738425926</v>
      </c>
      <c r="C5897" s="3" t="s">
        <v>3</v>
      </c>
    </row>
    <row r="5898">
      <c r="A5898" s="3">
        <v>7651.0</v>
      </c>
      <c r="B5898" s="4">
        <v>45378.120405092595</v>
      </c>
      <c r="C5898" s="3" t="s">
        <v>3</v>
      </c>
    </row>
    <row r="5899">
      <c r="A5899" s="3">
        <v>335.0</v>
      </c>
      <c r="B5899" s="4">
        <v>45378.172743055555</v>
      </c>
      <c r="C5899" s="3" t="s">
        <v>4</v>
      </c>
    </row>
    <row r="5900">
      <c r="A5900" s="3">
        <v>2930.0</v>
      </c>
      <c r="B5900" s="4">
        <v>45378.176712962966</v>
      </c>
      <c r="C5900" s="3" t="s">
        <v>4</v>
      </c>
    </row>
    <row r="5901">
      <c r="A5901" s="3">
        <v>3159.0</v>
      </c>
      <c r="B5901" s="4">
        <v>45378.19766203704</v>
      </c>
      <c r="C5901" s="3" t="s">
        <v>3</v>
      </c>
    </row>
    <row r="5902">
      <c r="A5902" s="3">
        <v>52.0</v>
      </c>
      <c r="B5902" s="4">
        <v>45378.20631944444</v>
      </c>
      <c r="C5902" s="3" t="s">
        <v>4</v>
      </c>
    </row>
    <row r="5903">
      <c r="A5903" s="3">
        <v>477.0</v>
      </c>
      <c r="B5903" s="4">
        <v>45378.22907407407</v>
      </c>
      <c r="C5903" s="3" t="s">
        <v>6</v>
      </c>
    </row>
    <row r="5904">
      <c r="A5904" s="3">
        <v>7741.0</v>
      </c>
      <c r="B5904" s="4">
        <v>45378.23542824074</v>
      </c>
      <c r="C5904" s="3" t="s">
        <v>6</v>
      </c>
    </row>
    <row r="5905">
      <c r="A5905" s="3">
        <v>7342.0</v>
      </c>
      <c r="B5905" s="4">
        <v>45378.256516203706</v>
      </c>
      <c r="C5905" s="3" t="s">
        <v>6</v>
      </c>
    </row>
    <row r="5906">
      <c r="A5906" s="3">
        <v>4301.0</v>
      </c>
      <c r="B5906" s="4">
        <v>45378.28886574074</v>
      </c>
      <c r="C5906" s="3" t="s">
        <v>3</v>
      </c>
    </row>
    <row r="5907">
      <c r="A5907" s="3">
        <v>2230.0</v>
      </c>
      <c r="B5907" s="4">
        <v>45378.29408564815</v>
      </c>
      <c r="C5907" s="3" t="s">
        <v>3</v>
      </c>
    </row>
    <row r="5908">
      <c r="A5908" s="3">
        <v>4612.0</v>
      </c>
      <c r="B5908" s="4">
        <v>45378.29510416667</v>
      </c>
      <c r="C5908" s="3" t="s">
        <v>3</v>
      </c>
    </row>
    <row r="5909">
      <c r="A5909" s="3">
        <v>7863.0</v>
      </c>
      <c r="B5909" s="4">
        <v>45378.33015046296</v>
      </c>
      <c r="C5909" s="3" t="s">
        <v>6</v>
      </c>
    </row>
    <row r="5910">
      <c r="A5910" s="3">
        <v>5671.0</v>
      </c>
      <c r="B5910" s="4">
        <v>45378.331967592596</v>
      </c>
      <c r="C5910" s="3" t="s">
        <v>7</v>
      </c>
    </row>
    <row r="5911">
      <c r="A5911" s="3">
        <v>5897.0</v>
      </c>
      <c r="B5911" s="4">
        <v>45378.35178240741</v>
      </c>
      <c r="C5911" s="3" t="s">
        <v>5</v>
      </c>
    </row>
    <row r="5912">
      <c r="A5912" s="3">
        <v>2719.0</v>
      </c>
      <c r="B5912" s="4">
        <v>45378.38675925926</v>
      </c>
      <c r="C5912" s="3" t="s">
        <v>7</v>
      </c>
    </row>
    <row r="5913">
      <c r="A5913" s="3">
        <v>2716.0</v>
      </c>
      <c r="B5913" s="4">
        <v>45378.40074074074</v>
      </c>
      <c r="C5913" s="3" t="s">
        <v>3</v>
      </c>
    </row>
    <row r="5914">
      <c r="A5914" s="3">
        <v>1324.0</v>
      </c>
      <c r="B5914" s="4">
        <v>45378.45217592592</v>
      </c>
      <c r="C5914" s="3" t="s">
        <v>3</v>
      </c>
    </row>
    <row r="5915">
      <c r="A5915" s="3">
        <v>6228.0</v>
      </c>
      <c r="B5915" s="4">
        <v>45378.45538194444</v>
      </c>
      <c r="C5915" s="3" t="s">
        <v>3</v>
      </c>
    </row>
    <row r="5916">
      <c r="A5916" s="3">
        <v>1785.0</v>
      </c>
      <c r="B5916" s="4">
        <v>45378.46456018519</v>
      </c>
      <c r="C5916" s="3" t="s">
        <v>4</v>
      </c>
    </row>
    <row r="5917">
      <c r="A5917" s="3">
        <v>6537.0</v>
      </c>
      <c r="B5917" s="4">
        <v>45378.48091435185</v>
      </c>
      <c r="C5917" s="3" t="s">
        <v>6</v>
      </c>
    </row>
    <row r="5918">
      <c r="A5918" s="3">
        <v>1633.0</v>
      </c>
      <c r="B5918" s="4">
        <v>45378.48333333333</v>
      </c>
      <c r="C5918" s="3" t="s">
        <v>7</v>
      </c>
    </row>
    <row r="5919">
      <c r="A5919" s="3">
        <v>1480.0</v>
      </c>
      <c r="B5919" s="4">
        <v>45378.50556712963</v>
      </c>
      <c r="C5919" s="3" t="s">
        <v>3</v>
      </c>
    </row>
    <row r="5920">
      <c r="A5920" s="3">
        <v>5822.0</v>
      </c>
      <c r="B5920" s="4">
        <v>45378.51314814815</v>
      </c>
      <c r="C5920" s="3" t="s">
        <v>4</v>
      </c>
    </row>
    <row r="5921">
      <c r="A5921" s="3">
        <v>5585.0</v>
      </c>
      <c r="B5921" s="4">
        <v>45378.526354166665</v>
      </c>
      <c r="C5921" s="3" t="s">
        <v>3</v>
      </c>
    </row>
    <row r="5922">
      <c r="A5922" s="3">
        <v>7355.0</v>
      </c>
      <c r="B5922" s="4">
        <v>45378.53435185185</v>
      </c>
      <c r="C5922" s="3" t="s">
        <v>5</v>
      </c>
    </row>
    <row r="5923">
      <c r="A5923" s="3">
        <v>7168.0</v>
      </c>
      <c r="B5923" s="4">
        <v>45378.53915509259</v>
      </c>
      <c r="C5923" s="3" t="s">
        <v>3</v>
      </c>
    </row>
    <row r="5924">
      <c r="A5924" s="3">
        <v>1194.0</v>
      </c>
      <c r="B5924" s="4">
        <v>45378.545011574075</v>
      </c>
      <c r="C5924" s="3" t="s">
        <v>7</v>
      </c>
    </row>
    <row r="5925">
      <c r="A5925" s="3">
        <v>7410.0</v>
      </c>
      <c r="B5925" s="4">
        <v>45378.54715277778</v>
      </c>
      <c r="C5925" s="3" t="s">
        <v>4</v>
      </c>
    </row>
    <row r="5926">
      <c r="A5926" s="3">
        <v>20.0</v>
      </c>
      <c r="B5926" s="4">
        <v>45378.547326388885</v>
      </c>
      <c r="C5926" s="3" t="s">
        <v>5</v>
      </c>
    </row>
    <row r="5927">
      <c r="A5927" s="3">
        <v>711.0</v>
      </c>
      <c r="B5927" s="4">
        <v>45378.55554398148</v>
      </c>
      <c r="C5927" s="3" t="s">
        <v>6</v>
      </c>
    </row>
    <row r="5928">
      <c r="A5928" s="3">
        <v>20.0</v>
      </c>
      <c r="B5928" s="4">
        <v>45378.558854166666</v>
      </c>
      <c r="C5928" s="3" t="s">
        <v>7</v>
      </c>
    </row>
    <row r="5929">
      <c r="A5929" s="3">
        <v>3875.0</v>
      </c>
      <c r="B5929" s="4">
        <v>45378.56861111111</v>
      </c>
      <c r="C5929" s="3" t="s">
        <v>3</v>
      </c>
    </row>
    <row r="5930">
      <c r="A5930" s="3">
        <v>3224.0</v>
      </c>
      <c r="B5930" s="4">
        <v>45378.576585648145</v>
      </c>
      <c r="C5930" s="3" t="s">
        <v>3</v>
      </c>
    </row>
    <row r="5931">
      <c r="A5931" s="3">
        <v>909.0</v>
      </c>
      <c r="B5931" s="4">
        <v>45378.59322916667</v>
      </c>
      <c r="C5931" s="3" t="s">
        <v>6</v>
      </c>
    </row>
    <row r="5932">
      <c r="A5932" s="3">
        <v>7924.0</v>
      </c>
      <c r="B5932" s="4">
        <v>45378.61920138889</v>
      </c>
      <c r="C5932" s="3" t="s">
        <v>3</v>
      </c>
    </row>
    <row r="5933">
      <c r="A5933" s="3">
        <v>4271.0</v>
      </c>
      <c r="B5933" s="4">
        <v>45378.66662037037</v>
      </c>
      <c r="C5933" s="3" t="s">
        <v>3</v>
      </c>
    </row>
    <row r="5934">
      <c r="A5934" s="3">
        <v>6989.0</v>
      </c>
      <c r="B5934" s="4">
        <v>45378.6987037037</v>
      </c>
      <c r="C5934" s="3" t="s">
        <v>6</v>
      </c>
    </row>
    <row r="5935">
      <c r="A5935" s="3">
        <v>6292.0</v>
      </c>
      <c r="B5935" s="4">
        <v>45378.71283564815</v>
      </c>
      <c r="C5935" s="3" t="s">
        <v>4</v>
      </c>
    </row>
    <row r="5936">
      <c r="A5936" s="3">
        <v>2930.0</v>
      </c>
      <c r="B5936" s="4">
        <v>45378.75780092592</v>
      </c>
      <c r="C5936" s="3" t="s">
        <v>3</v>
      </c>
    </row>
    <row r="5937">
      <c r="A5937" s="3">
        <v>5430.0</v>
      </c>
      <c r="B5937" s="4">
        <v>45378.75813657408</v>
      </c>
      <c r="C5937" s="3" t="s">
        <v>3</v>
      </c>
    </row>
    <row r="5938">
      <c r="A5938" s="3">
        <v>3371.0</v>
      </c>
      <c r="B5938" s="4">
        <v>45378.76082175926</v>
      </c>
      <c r="C5938" s="3" t="s">
        <v>3</v>
      </c>
    </row>
    <row r="5939">
      <c r="A5939" s="3">
        <v>7070.0</v>
      </c>
      <c r="B5939" s="4">
        <v>45378.77076388889</v>
      </c>
      <c r="C5939" s="3" t="s">
        <v>3</v>
      </c>
    </row>
    <row r="5940">
      <c r="A5940" s="3">
        <v>2334.0</v>
      </c>
      <c r="B5940" s="4">
        <v>45378.772835648146</v>
      </c>
      <c r="C5940" s="3" t="s">
        <v>6</v>
      </c>
    </row>
    <row r="5941">
      <c r="A5941" s="3">
        <v>2783.0</v>
      </c>
      <c r="B5941" s="4">
        <v>45378.79509259259</v>
      </c>
      <c r="C5941" s="3" t="s">
        <v>4</v>
      </c>
    </row>
    <row r="5942">
      <c r="A5942" s="3">
        <v>3034.0</v>
      </c>
      <c r="B5942" s="4">
        <v>45378.86042824074</v>
      </c>
      <c r="C5942" s="3" t="s">
        <v>3</v>
      </c>
    </row>
    <row r="5943">
      <c r="A5943" s="3">
        <v>6410.0</v>
      </c>
      <c r="B5943" s="4">
        <v>45378.86084490741</v>
      </c>
      <c r="C5943" s="3" t="s">
        <v>6</v>
      </c>
    </row>
    <row r="5944">
      <c r="A5944" s="3">
        <v>2039.0</v>
      </c>
      <c r="B5944" s="4">
        <v>45378.87574074074</v>
      </c>
      <c r="C5944" s="3" t="s">
        <v>3</v>
      </c>
    </row>
    <row r="5945">
      <c r="A5945" s="3">
        <v>5093.0</v>
      </c>
      <c r="B5945" s="4">
        <v>45378.88810185185</v>
      </c>
      <c r="C5945" s="3" t="s">
        <v>4</v>
      </c>
    </row>
    <row r="5946">
      <c r="A5946" s="3">
        <v>477.0</v>
      </c>
      <c r="B5946" s="4">
        <v>45378.899305555555</v>
      </c>
      <c r="C5946" s="3" t="s">
        <v>5</v>
      </c>
    </row>
    <row r="5947">
      <c r="A5947" s="3">
        <v>4232.0</v>
      </c>
      <c r="B5947" s="4">
        <v>45378.89942129629</v>
      </c>
      <c r="C5947" s="3" t="s">
        <v>4</v>
      </c>
    </row>
    <row r="5948">
      <c r="A5948" s="3">
        <v>5001.0</v>
      </c>
      <c r="B5948" s="4">
        <v>45378.94846064815</v>
      </c>
      <c r="C5948" s="3" t="s">
        <v>4</v>
      </c>
    </row>
    <row r="5949">
      <c r="A5949" s="3">
        <v>1471.0</v>
      </c>
      <c r="B5949" s="4">
        <v>45378.95496527778</v>
      </c>
      <c r="C5949" s="3" t="s">
        <v>3</v>
      </c>
    </row>
    <row r="5950">
      <c r="A5950" s="3">
        <v>6525.0</v>
      </c>
      <c r="B5950" s="4">
        <v>45379.00346064815</v>
      </c>
      <c r="C5950" s="3" t="s">
        <v>3</v>
      </c>
    </row>
    <row r="5951">
      <c r="A5951" s="3">
        <v>5671.0</v>
      </c>
      <c r="B5951" s="4">
        <v>45379.01388888889</v>
      </c>
      <c r="C5951" s="3" t="s">
        <v>4</v>
      </c>
    </row>
    <row r="5952">
      <c r="A5952" s="3">
        <v>735.0</v>
      </c>
      <c r="B5952" s="4">
        <v>45379.02087962963</v>
      </c>
      <c r="C5952" s="3" t="s">
        <v>6</v>
      </c>
    </row>
    <row r="5953">
      <c r="A5953" s="3">
        <v>6907.0</v>
      </c>
      <c r="B5953" s="4">
        <v>45379.02229166667</v>
      </c>
      <c r="C5953" s="3" t="s">
        <v>7</v>
      </c>
    </row>
    <row r="5954">
      <c r="A5954" s="3">
        <v>6108.0</v>
      </c>
      <c r="B5954" s="4">
        <v>45379.04883101852</v>
      </c>
      <c r="C5954" s="3" t="s">
        <v>3</v>
      </c>
    </row>
    <row r="5955">
      <c r="A5955" s="3">
        <v>484.0</v>
      </c>
      <c r="B5955" s="4">
        <v>45379.07467592593</v>
      </c>
      <c r="C5955" s="3" t="s">
        <v>3</v>
      </c>
    </row>
    <row r="5956">
      <c r="A5956" s="3">
        <v>6530.0</v>
      </c>
      <c r="B5956" s="4">
        <v>45379.09239583334</v>
      </c>
      <c r="C5956" s="3" t="s">
        <v>3</v>
      </c>
    </row>
    <row r="5957">
      <c r="A5957" s="3">
        <v>5822.0</v>
      </c>
      <c r="B5957" s="4">
        <v>45379.09422453704</v>
      </c>
      <c r="C5957" s="3" t="s">
        <v>6</v>
      </c>
    </row>
    <row r="5958">
      <c r="A5958" s="3">
        <v>6073.0</v>
      </c>
      <c r="B5958" s="4">
        <v>45379.09501157407</v>
      </c>
      <c r="C5958" s="3" t="s">
        <v>7</v>
      </c>
    </row>
    <row r="5959">
      <c r="A5959" s="3">
        <v>7817.0</v>
      </c>
      <c r="B5959" s="4">
        <v>45379.09694444444</v>
      </c>
      <c r="C5959" s="3" t="s">
        <v>7</v>
      </c>
    </row>
    <row r="5960">
      <c r="A5960" s="3">
        <v>1785.0</v>
      </c>
      <c r="B5960" s="4">
        <v>45379.102847222224</v>
      </c>
      <c r="C5960" s="3" t="s">
        <v>7</v>
      </c>
    </row>
    <row r="5961">
      <c r="A5961" s="3">
        <v>4661.0</v>
      </c>
      <c r="B5961" s="4">
        <v>45379.10407407407</v>
      </c>
      <c r="C5961" s="3" t="s">
        <v>6</v>
      </c>
    </row>
    <row r="5962">
      <c r="A5962" s="3">
        <v>2946.0</v>
      </c>
      <c r="B5962" s="4">
        <v>45379.10996527778</v>
      </c>
      <c r="C5962" s="3" t="s">
        <v>7</v>
      </c>
    </row>
    <row r="5963">
      <c r="A5963" s="3">
        <v>3768.0</v>
      </c>
      <c r="B5963" s="4">
        <v>45379.11885416666</v>
      </c>
      <c r="C5963" s="3" t="s">
        <v>3</v>
      </c>
    </row>
    <row r="5964">
      <c r="A5964" s="3">
        <v>4271.0</v>
      </c>
      <c r="B5964" s="4">
        <v>45379.11938657407</v>
      </c>
      <c r="C5964" s="3" t="s">
        <v>4</v>
      </c>
    </row>
    <row r="5965">
      <c r="A5965" s="3">
        <v>484.0</v>
      </c>
      <c r="B5965" s="4">
        <v>45379.122662037036</v>
      </c>
      <c r="C5965" s="3" t="s">
        <v>4</v>
      </c>
    </row>
    <row r="5966">
      <c r="A5966" s="3">
        <v>3034.0</v>
      </c>
      <c r="B5966" s="4">
        <v>45379.12716435185</v>
      </c>
      <c r="C5966" s="3" t="s">
        <v>5</v>
      </c>
    </row>
    <row r="5967">
      <c r="A5967" s="3">
        <v>5635.0</v>
      </c>
      <c r="B5967" s="4">
        <v>45379.132523148146</v>
      </c>
      <c r="C5967" s="3" t="s">
        <v>6</v>
      </c>
    </row>
    <row r="5968">
      <c r="A5968" s="3">
        <v>6290.0</v>
      </c>
      <c r="B5968" s="4">
        <v>45379.15143518519</v>
      </c>
      <c r="C5968" s="3" t="s">
        <v>7</v>
      </c>
    </row>
    <row r="5969">
      <c r="A5969" s="3">
        <v>6399.0</v>
      </c>
      <c r="B5969" s="4">
        <v>45379.226585648146</v>
      </c>
      <c r="C5969" s="3" t="s">
        <v>3</v>
      </c>
    </row>
    <row r="5970">
      <c r="A5970" s="3">
        <v>7561.0</v>
      </c>
      <c r="B5970" s="4">
        <v>45379.23003472222</v>
      </c>
      <c r="C5970" s="3" t="s">
        <v>7</v>
      </c>
    </row>
    <row r="5971">
      <c r="A5971" s="3">
        <v>2580.0</v>
      </c>
      <c r="B5971" s="4">
        <v>45379.24667824074</v>
      </c>
      <c r="C5971" s="3" t="s">
        <v>4</v>
      </c>
    </row>
    <row r="5972">
      <c r="A5972" s="3">
        <v>6228.0</v>
      </c>
      <c r="B5972" s="4">
        <v>45379.25059027778</v>
      </c>
      <c r="C5972" s="3" t="s">
        <v>4</v>
      </c>
    </row>
    <row r="5973">
      <c r="A5973" s="3">
        <v>1029.0</v>
      </c>
      <c r="B5973" s="4">
        <v>45379.28623842593</v>
      </c>
      <c r="C5973" s="3" t="s">
        <v>3</v>
      </c>
    </row>
    <row r="5974">
      <c r="A5974" s="3">
        <v>1745.0</v>
      </c>
      <c r="B5974" s="4">
        <v>45379.292337962965</v>
      </c>
      <c r="C5974" s="3" t="s">
        <v>5</v>
      </c>
    </row>
    <row r="5975">
      <c r="A5975" s="3">
        <v>591.0</v>
      </c>
      <c r="B5975" s="4">
        <v>45379.2953587963</v>
      </c>
      <c r="C5975" s="3" t="s">
        <v>3</v>
      </c>
    </row>
    <row r="5976">
      <c r="A5976" s="3">
        <v>1920.0</v>
      </c>
      <c r="B5976" s="4">
        <v>45379.30755787037</v>
      </c>
      <c r="C5976" s="3" t="s">
        <v>6</v>
      </c>
    </row>
    <row r="5977">
      <c r="A5977" s="3">
        <v>5688.0</v>
      </c>
      <c r="B5977" s="4">
        <v>45379.30861111111</v>
      </c>
      <c r="C5977" s="3" t="s">
        <v>3</v>
      </c>
    </row>
    <row r="5978">
      <c r="A5978" s="3">
        <v>413.0</v>
      </c>
      <c r="B5978" s="4">
        <v>45379.319027777776</v>
      </c>
      <c r="C5978" s="3" t="s">
        <v>3</v>
      </c>
    </row>
    <row r="5979">
      <c r="A5979" s="3">
        <v>7410.0</v>
      </c>
      <c r="B5979" s="4">
        <v>45379.323530092595</v>
      </c>
      <c r="C5979" s="3" t="s">
        <v>7</v>
      </c>
    </row>
    <row r="5980">
      <c r="A5980" s="3">
        <v>4984.0</v>
      </c>
      <c r="B5980" s="4">
        <v>45379.32931712963</v>
      </c>
      <c r="C5980" s="3" t="s">
        <v>4</v>
      </c>
    </row>
    <row r="5981">
      <c r="A5981" s="3">
        <v>2853.0</v>
      </c>
      <c r="B5981" s="4">
        <v>45379.33424768518</v>
      </c>
      <c r="C5981" s="3" t="s">
        <v>3</v>
      </c>
    </row>
    <row r="5982">
      <c r="A5982" s="3">
        <v>512.0</v>
      </c>
      <c r="B5982" s="4">
        <v>45379.33537037037</v>
      </c>
      <c r="C5982" s="3" t="s">
        <v>4</v>
      </c>
    </row>
    <row r="5983">
      <c r="A5983" s="3">
        <v>6828.0</v>
      </c>
      <c r="B5983" s="4">
        <v>45379.366747685184</v>
      </c>
      <c r="C5983" s="3" t="s">
        <v>3</v>
      </c>
    </row>
    <row r="5984">
      <c r="A5984" s="3">
        <v>4450.0</v>
      </c>
      <c r="B5984" s="4">
        <v>45379.370891203704</v>
      </c>
      <c r="C5984" s="3" t="s">
        <v>5</v>
      </c>
    </row>
    <row r="5985">
      <c r="A5985" s="3">
        <v>484.0</v>
      </c>
      <c r="B5985" s="4">
        <v>45379.38898148148</v>
      </c>
      <c r="C5985" s="3" t="s">
        <v>5</v>
      </c>
    </row>
    <row r="5986">
      <c r="A5986" s="3">
        <v>6147.0</v>
      </c>
      <c r="B5986" s="4">
        <v>45379.3908912037</v>
      </c>
      <c r="C5986" s="3" t="s">
        <v>7</v>
      </c>
    </row>
    <row r="5987">
      <c r="A5987" s="3">
        <v>4697.0</v>
      </c>
      <c r="B5987" s="4">
        <v>45379.40125</v>
      </c>
      <c r="C5987" s="3" t="s">
        <v>3</v>
      </c>
    </row>
    <row r="5988">
      <c r="A5988" s="3">
        <v>1633.0</v>
      </c>
      <c r="B5988" s="4">
        <v>45379.41105324074</v>
      </c>
      <c r="C5988" s="3" t="s">
        <v>4</v>
      </c>
    </row>
    <row r="5989">
      <c r="A5989" s="3">
        <v>5818.0</v>
      </c>
      <c r="B5989" s="4">
        <v>45379.42822916667</v>
      </c>
      <c r="C5989" s="3" t="s">
        <v>3</v>
      </c>
    </row>
    <row r="5990">
      <c r="A5990" s="3">
        <v>4301.0</v>
      </c>
      <c r="B5990" s="4">
        <v>45379.4374537037</v>
      </c>
      <c r="C5990" s="3" t="s">
        <v>4</v>
      </c>
    </row>
    <row r="5991">
      <c r="A5991" s="3">
        <v>4533.0</v>
      </c>
      <c r="B5991" s="4">
        <v>45379.4403125</v>
      </c>
      <c r="C5991" s="3" t="s">
        <v>6</v>
      </c>
    </row>
    <row r="5992">
      <c r="A5992" s="3">
        <v>2930.0</v>
      </c>
      <c r="B5992" s="4">
        <v>45379.45924768518</v>
      </c>
      <c r="C5992" s="3" t="s">
        <v>5</v>
      </c>
    </row>
    <row r="5993">
      <c r="A5993" s="3">
        <v>6578.0</v>
      </c>
      <c r="B5993" s="4">
        <v>45379.47634259259</v>
      </c>
      <c r="C5993" s="3" t="s">
        <v>6</v>
      </c>
    </row>
    <row r="5994">
      <c r="A5994" s="3">
        <v>5671.0</v>
      </c>
      <c r="B5994" s="4">
        <v>45379.503958333335</v>
      </c>
      <c r="C5994" s="3" t="s">
        <v>5</v>
      </c>
    </row>
    <row r="5995">
      <c r="A5995" s="3">
        <v>265.0</v>
      </c>
      <c r="B5995" s="4">
        <v>45379.529027777775</v>
      </c>
      <c r="C5995" s="3" t="s">
        <v>3</v>
      </c>
    </row>
    <row r="5996">
      <c r="A5996" s="3">
        <v>1152.0</v>
      </c>
      <c r="B5996" s="4">
        <v>45379.52905092593</v>
      </c>
      <c r="C5996" s="3" t="s">
        <v>3</v>
      </c>
    </row>
    <row r="5997">
      <c r="A5997" s="3">
        <v>266.0</v>
      </c>
      <c r="B5997" s="4">
        <v>45379.54085648148</v>
      </c>
      <c r="C5997" s="3" t="s">
        <v>5</v>
      </c>
    </row>
    <row r="5998">
      <c r="A5998" s="3">
        <v>4150.0</v>
      </c>
      <c r="B5998" s="4">
        <v>45379.554768518516</v>
      </c>
      <c r="C5998" s="3" t="s">
        <v>6</v>
      </c>
    </row>
    <row r="5999">
      <c r="A5999" s="3">
        <v>5278.0</v>
      </c>
      <c r="B5999" s="4">
        <v>45379.5591087963</v>
      </c>
      <c r="C5999" s="3" t="s">
        <v>3</v>
      </c>
    </row>
    <row r="6000">
      <c r="A6000" s="3">
        <v>512.0</v>
      </c>
      <c r="B6000" s="4">
        <v>45379.56092592593</v>
      </c>
      <c r="C6000" s="3" t="s">
        <v>3</v>
      </c>
    </row>
    <row r="6001">
      <c r="A6001" s="3">
        <v>6045.0</v>
      </c>
      <c r="B6001" s="4">
        <v>45379.563055555554</v>
      </c>
      <c r="C6001" s="3" t="s">
        <v>7</v>
      </c>
    </row>
    <row r="6002">
      <c r="A6002" s="3">
        <v>3708.0</v>
      </c>
      <c r="B6002" s="4">
        <v>45379.56898148148</v>
      </c>
      <c r="C6002" s="3" t="s">
        <v>3</v>
      </c>
    </row>
    <row r="6003">
      <c r="A6003" s="3">
        <v>2966.0</v>
      </c>
      <c r="B6003" s="4">
        <v>45379.57546296297</v>
      </c>
      <c r="C6003" s="3" t="s">
        <v>3</v>
      </c>
    </row>
    <row r="6004">
      <c r="A6004" s="3">
        <v>1324.0</v>
      </c>
      <c r="B6004" s="4">
        <v>45379.60019675926</v>
      </c>
      <c r="C6004" s="3" t="s">
        <v>7</v>
      </c>
    </row>
    <row r="6005">
      <c r="A6005" s="3">
        <v>4223.0</v>
      </c>
      <c r="B6005" s="4">
        <v>45379.60313657407</v>
      </c>
      <c r="C6005" s="3" t="s">
        <v>3</v>
      </c>
    </row>
    <row r="6006">
      <c r="A6006" s="3">
        <v>52.0</v>
      </c>
      <c r="B6006" s="4">
        <v>45379.60940972222</v>
      </c>
      <c r="C6006" s="3" t="s">
        <v>5</v>
      </c>
    </row>
    <row r="6007">
      <c r="A6007" s="3">
        <v>5847.0</v>
      </c>
      <c r="B6007" s="4">
        <v>45379.61787037037</v>
      </c>
      <c r="C6007" s="3" t="s">
        <v>3</v>
      </c>
    </row>
    <row r="6008">
      <c r="A6008" s="3">
        <v>4150.0</v>
      </c>
      <c r="B6008" s="4">
        <v>45379.625185185185</v>
      </c>
      <c r="C6008" s="3" t="s">
        <v>7</v>
      </c>
    </row>
    <row r="6009">
      <c r="A6009" s="3">
        <v>6684.0</v>
      </c>
      <c r="B6009" s="4">
        <v>45379.6306712963</v>
      </c>
      <c r="C6009" s="3" t="s">
        <v>6</v>
      </c>
    </row>
    <row r="6010">
      <c r="A6010" s="3">
        <v>5897.0</v>
      </c>
      <c r="B6010" s="4">
        <v>45379.64082175926</v>
      </c>
      <c r="C6010" s="3" t="s">
        <v>7</v>
      </c>
    </row>
    <row r="6011">
      <c r="A6011" s="3">
        <v>1785.0</v>
      </c>
      <c r="B6011" s="4">
        <v>45379.65898148148</v>
      </c>
      <c r="C6011" s="3" t="s">
        <v>6</v>
      </c>
    </row>
    <row r="6012">
      <c r="A6012" s="3">
        <v>323.0</v>
      </c>
      <c r="B6012" s="4">
        <v>45379.6631712963</v>
      </c>
      <c r="C6012" s="3" t="s">
        <v>3</v>
      </c>
    </row>
    <row r="6013">
      <c r="A6013" s="3">
        <v>5656.0</v>
      </c>
      <c r="B6013" s="4">
        <v>45379.6659375</v>
      </c>
      <c r="C6013" s="3" t="s">
        <v>3</v>
      </c>
    </row>
    <row r="6014">
      <c r="A6014" s="3">
        <v>2719.0</v>
      </c>
      <c r="B6014" s="4">
        <v>45379.68115740741</v>
      </c>
      <c r="C6014" s="3" t="s">
        <v>5</v>
      </c>
    </row>
    <row r="6015">
      <c r="A6015" s="3">
        <v>323.0</v>
      </c>
      <c r="B6015" s="4">
        <v>45379.68173611111</v>
      </c>
      <c r="C6015" s="3" t="s">
        <v>5</v>
      </c>
    </row>
    <row r="6016">
      <c r="A6016" s="3">
        <v>266.0</v>
      </c>
      <c r="B6016" s="4">
        <v>45379.685532407406</v>
      </c>
      <c r="C6016" s="3" t="s">
        <v>4</v>
      </c>
    </row>
    <row r="6017">
      <c r="A6017" s="3">
        <v>1437.0</v>
      </c>
      <c r="B6017" s="4">
        <v>45379.68612268518</v>
      </c>
      <c r="C6017" s="3" t="s">
        <v>6</v>
      </c>
    </row>
    <row r="6018">
      <c r="A6018" s="3">
        <v>1560.0</v>
      </c>
      <c r="B6018" s="4">
        <v>45379.70731481481</v>
      </c>
      <c r="C6018" s="3" t="s">
        <v>4</v>
      </c>
    </row>
    <row r="6019">
      <c r="A6019" s="3">
        <v>1785.0</v>
      </c>
      <c r="B6019" s="4">
        <v>45379.72898148148</v>
      </c>
      <c r="C6019" s="3" t="s">
        <v>5</v>
      </c>
    </row>
    <row r="6020">
      <c r="A6020" s="3">
        <v>6399.0</v>
      </c>
      <c r="B6020" s="4">
        <v>45379.73832175926</v>
      </c>
      <c r="C6020" s="3" t="s">
        <v>5</v>
      </c>
    </row>
    <row r="6021">
      <c r="A6021" s="3">
        <v>4973.0</v>
      </c>
      <c r="B6021" s="4">
        <v>45379.75115740741</v>
      </c>
      <c r="C6021" s="3" t="s">
        <v>3</v>
      </c>
    </row>
    <row r="6022">
      <c r="A6022" s="3">
        <v>1700.0</v>
      </c>
      <c r="B6022" s="4">
        <v>45379.76731481482</v>
      </c>
      <c r="C6022" s="3" t="s">
        <v>6</v>
      </c>
    </row>
    <row r="6023">
      <c r="A6023" s="3">
        <v>5954.0</v>
      </c>
      <c r="B6023" s="4">
        <v>45379.82703703704</v>
      </c>
      <c r="C6023" s="3" t="s">
        <v>3</v>
      </c>
    </row>
    <row r="6024">
      <c r="A6024" s="3">
        <v>335.0</v>
      </c>
      <c r="B6024" s="4">
        <v>45379.827372685184</v>
      </c>
      <c r="C6024" s="3" t="s">
        <v>7</v>
      </c>
    </row>
    <row r="6025">
      <c r="A6025" s="3">
        <v>1304.0</v>
      </c>
      <c r="B6025" s="4">
        <v>45379.841365740744</v>
      </c>
      <c r="C6025" s="3" t="s">
        <v>3</v>
      </c>
    </row>
    <row r="6026">
      <c r="A6026" s="3">
        <v>720.0</v>
      </c>
      <c r="B6026" s="4">
        <v>45379.85202546296</v>
      </c>
      <c r="C6026" s="3" t="s">
        <v>4</v>
      </c>
    </row>
    <row r="6027">
      <c r="A6027" s="3">
        <v>343.0</v>
      </c>
      <c r="B6027" s="4">
        <v>45379.871770833335</v>
      </c>
      <c r="C6027" s="3" t="s">
        <v>4</v>
      </c>
    </row>
    <row r="6028">
      <c r="A6028" s="3">
        <v>4271.0</v>
      </c>
      <c r="B6028" s="4">
        <v>45379.87550925926</v>
      </c>
      <c r="C6028" s="3" t="s">
        <v>7</v>
      </c>
    </row>
    <row r="6029">
      <c r="A6029" s="3">
        <v>4954.0</v>
      </c>
      <c r="B6029" s="4">
        <v>45379.89271990741</v>
      </c>
      <c r="C6029" s="3" t="s">
        <v>7</v>
      </c>
    </row>
    <row r="6030">
      <c r="A6030" s="3">
        <v>7459.0</v>
      </c>
      <c r="B6030" s="4">
        <v>45379.894594907404</v>
      </c>
      <c r="C6030" s="3" t="s">
        <v>6</v>
      </c>
    </row>
    <row r="6031">
      <c r="A6031" s="3">
        <v>6290.0</v>
      </c>
      <c r="B6031" s="4">
        <v>45379.92016203704</v>
      </c>
      <c r="C6031" s="3" t="s">
        <v>5</v>
      </c>
    </row>
    <row r="6032">
      <c r="A6032" s="3">
        <v>439.0</v>
      </c>
      <c r="B6032" s="4">
        <v>45379.93225694444</v>
      </c>
      <c r="C6032" s="3" t="s">
        <v>4</v>
      </c>
    </row>
    <row r="6033">
      <c r="A6033" s="3">
        <v>6559.0</v>
      </c>
      <c r="B6033" s="4">
        <v>45379.938206018516</v>
      </c>
      <c r="C6033" s="3" t="s">
        <v>5</v>
      </c>
    </row>
    <row r="6034">
      <c r="A6034" s="3">
        <v>534.0</v>
      </c>
      <c r="B6034" s="4">
        <v>45379.94756944444</v>
      </c>
      <c r="C6034" s="3" t="s">
        <v>6</v>
      </c>
    </row>
    <row r="6035">
      <c r="A6035" s="3">
        <v>1611.0</v>
      </c>
      <c r="B6035" s="4">
        <v>45379.95431712963</v>
      </c>
      <c r="C6035" s="3" t="s">
        <v>3</v>
      </c>
    </row>
    <row r="6036">
      <c r="A6036" s="3">
        <v>5517.0</v>
      </c>
      <c r="B6036" s="4">
        <v>45379.957025462965</v>
      </c>
      <c r="C6036" s="3" t="s">
        <v>7</v>
      </c>
    </row>
    <row r="6037">
      <c r="A6037" s="3">
        <v>3827.0</v>
      </c>
      <c r="B6037" s="4">
        <v>45379.97844907407</v>
      </c>
      <c r="C6037" s="3" t="s">
        <v>6</v>
      </c>
    </row>
    <row r="6038">
      <c r="A6038" s="3">
        <v>7790.0</v>
      </c>
      <c r="B6038" s="4">
        <v>45379.98327546296</v>
      </c>
      <c r="C6038" s="3" t="s">
        <v>6</v>
      </c>
    </row>
    <row r="6039">
      <c r="A6039" s="3">
        <v>178.0</v>
      </c>
      <c r="B6039" s="4">
        <v>45379.98427083333</v>
      </c>
      <c r="C6039" s="3" t="s">
        <v>6</v>
      </c>
    </row>
    <row r="6040">
      <c r="A6040" s="3">
        <v>4984.0</v>
      </c>
      <c r="B6040" s="4">
        <v>45379.99502314815</v>
      </c>
      <c r="C6040" s="3" t="s">
        <v>3</v>
      </c>
    </row>
    <row r="6041">
      <c r="A6041" s="3">
        <v>6828.0</v>
      </c>
      <c r="B6041" s="4">
        <v>45380.01935185185</v>
      </c>
      <c r="C6041" s="3" t="s">
        <v>5</v>
      </c>
    </row>
    <row r="6042">
      <c r="A6042" s="3">
        <v>3768.0</v>
      </c>
      <c r="B6042" s="4">
        <v>45380.03590277778</v>
      </c>
      <c r="C6042" s="3" t="s">
        <v>4</v>
      </c>
    </row>
    <row r="6043">
      <c r="A6043" s="3">
        <v>8.0</v>
      </c>
      <c r="B6043" s="4">
        <v>45380.05030092593</v>
      </c>
      <c r="C6043" s="3" t="s">
        <v>3</v>
      </c>
    </row>
    <row r="6044">
      <c r="A6044" s="3">
        <v>6399.0</v>
      </c>
      <c r="B6044" s="4">
        <v>45380.06928240741</v>
      </c>
      <c r="C6044" s="3" t="s">
        <v>4</v>
      </c>
    </row>
    <row r="6045">
      <c r="A6045" s="3">
        <v>323.0</v>
      </c>
      <c r="B6045" s="4">
        <v>45380.075694444444</v>
      </c>
      <c r="C6045" s="3" t="s">
        <v>4</v>
      </c>
    </row>
    <row r="6046">
      <c r="A6046" s="3">
        <v>6287.0</v>
      </c>
      <c r="B6046" s="4">
        <v>45380.10753472222</v>
      </c>
      <c r="C6046" s="3" t="s">
        <v>5</v>
      </c>
    </row>
    <row r="6047">
      <c r="A6047" s="3">
        <v>7561.0</v>
      </c>
      <c r="B6047" s="4">
        <v>45380.116898148146</v>
      </c>
      <c r="C6047" s="3" t="s">
        <v>6</v>
      </c>
    </row>
    <row r="6048">
      <c r="A6048" s="3">
        <v>323.0</v>
      </c>
      <c r="B6048" s="4">
        <v>45380.11724537037</v>
      </c>
      <c r="C6048" s="3" t="s">
        <v>6</v>
      </c>
    </row>
    <row r="6049">
      <c r="A6049" s="3">
        <v>1882.0</v>
      </c>
      <c r="B6049" s="4">
        <v>45380.13763888889</v>
      </c>
      <c r="C6049" s="3" t="s">
        <v>3</v>
      </c>
    </row>
    <row r="6050">
      <c r="A6050" s="3">
        <v>1585.0</v>
      </c>
      <c r="B6050" s="4">
        <v>45380.176400462966</v>
      </c>
      <c r="C6050" s="3" t="s">
        <v>3</v>
      </c>
    </row>
    <row r="6051">
      <c r="A6051" s="3">
        <v>2920.0</v>
      </c>
      <c r="B6051" s="4">
        <v>45380.18497685185</v>
      </c>
      <c r="C6051" s="3" t="s">
        <v>3</v>
      </c>
    </row>
    <row r="6052">
      <c r="A6052" s="3">
        <v>1626.0</v>
      </c>
      <c r="B6052" s="4">
        <v>45380.18518518518</v>
      </c>
      <c r="C6052" s="3" t="s">
        <v>3</v>
      </c>
    </row>
    <row r="6053">
      <c r="A6053" s="3">
        <v>3034.0</v>
      </c>
      <c r="B6053" s="4">
        <v>45380.1896875</v>
      </c>
      <c r="C6053" s="3" t="s">
        <v>4</v>
      </c>
    </row>
    <row r="6054">
      <c r="A6054" s="3">
        <v>7863.0</v>
      </c>
      <c r="B6054" s="4">
        <v>45380.203125</v>
      </c>
      <c r="C6054" s="3" t="s">
        <v>5</v>
      </c>
    </row>
    <row r="6055">
      <c r="A6055" s="3">
        <v>52.0</v>
      </c>
      <c r="B6055" s="4">
        <v>45380.21263888889</v>
      </c>
      <c r="C6055" s="3" t="s">
        <v>6</v>
      </c>
    </row>
    <row r="6056">
      <c r="A6056" s="3">
        <v>2154.0</v>
      </c>
      <c r="B6056" s="4">
        <v>45380.215578703705</v>
      </c>
      <c r="C6056" s="3" t="s">
        <v>3</v>
      </c>
    </row>
    <row r="6057">
      <c r="A6057" s="3">
        <v>4147.0</v>
      </c>
      <c r="B6057" s="4">
        <v>45380.223020833335</v>
      </c>
      <c r="C6057" s="3" t="s">
        <v>3</v>
      </c>
    </row>
    <row r="6058">
      <c r="A6058" s="3">
        <v>1048.0</v>
      </c>
      <c r="B6058" s="4">
        <v>45380.223599537036</v>
      </c>
      <c r="C6058" s="3" t="s">
        <v>4</v>
      </c>
    </row>
    <row r="6059">
      <c r="A6059" s="3">
        <v>6073.0</v>
      </c>
      <c r="B6059" s="4">
        <v>45380.227164351854</v>
      </c>
      <c r="C6059" s="3" t="s">
        <v>6</v>
      </c>
    </row>
    <row r="6060">
      <c r="A6060" s="3">
        <v>7413.0</v>
      </c>
      <c r="B6060" s="4">
        <v>45380.23721064815</v>
      </c>
      <c r="C6060" s="3" t="s">
        <v>3</v>
      </c>
    </row>
    <row r="6061">
      <c r="A6061" s="3">
        <v>5609.0</v>
      </c>
      <c r="B6061" s="4">
        <v>45380.260787037034</v>
      </c>
      <c r="C6061" s="3" t="s">
        <v>6</v>
      </c>
    </row>
    <row r="6062">
      <c r="A6062" s="3">
        <v>3172.0</v>
      </c>
      <c r="B6062" s="4">
        <v>45380.263657407406</v>
      </c>
      <c r="C6062" s="3" t="s">
        <v>3</v>
      </c>
    </row>
    <row r="6063">
      <c r="A6063" s="3">
        <v>5945.0</v>
      </c>
      <c r="B6063" s="4">
        <v>45380.27148148148</v>
      </c>
      <c r="C6063" s="3" t="s">
        <v>3</v>
      </c>
    </row>
    <row r="6064">
      <c r="A6064" s="3">
        <v>7915.0</v>
      </c>
      <c r="B6064" s="4">
        <v>45380.272152777776</v>
      </c>
      <c r="C6064" s="3" t="s">
        <v>5</v>
      </c>
    </row>
    <row r="6065">
      <c r="A6065" s="3">
        <v>7689.0</v>
      </c>
      <c r="B6065" s="4">
        <v>45380.31569444444</v>
      </c>
      <c r="C6065" s="3" t="s">
        <v>3</v>
      </c>
    </row>
    <row r="6066">
      <c r="A6066" s="3">
        <v>7029.0</v>
      </c>
      <c r="B6066" s="4">
        <v>45380.32064814815</v>
      </c>
      <c r="C6066" s="3" t="s">
        <v>3</v>
      </c>
    </row>
    <row r="6067">
      <c r="A6067" s="3">
        <v>2445.0</v>
      </c>
      <c r="B6067" s="4">
        <v>45380.32907407408</v>
      </c>
      <c r="C6067" s="3" t="s">
        <v>3</v>
      </c>
    </row>
    <row r="6068">
      <c r="A6068" s="3">
        <v>3754.0</v>
      </c>
      <c r="B6068" s="4">
        <v>45380.33168981481</v>
      </c>
      <c r="C6068" s="3" t="s">
        <v>6</v>
      </c>
    </row>
    <row r="6069">
      <c r="A6069" s="3">
        <v>1516.0</v>
      </c>
      <c r="B6069" s="4">
        <v>45380.348657407405</v>
      </c>
      <c r="C6069" s="3" t="s">
        <v>6</v>
      </c>
    </row>
    <row r="6070">
      <c r="A6070" s="3">
        <v>3741.0</v>
      </c>
      <c r="B6070" s="4">
        <v>45380.35042824074</v>
      </c>
      <c r="C6070" s="3" t="s">
        <v>3</v>
      </c>
    </row>
    <row r="6071">
      <c r="A6071" s="3">
        <v>6828.0</v>
      </c>
      <c r="B6071" s="4">
        <v>45380.36914351852</v>
      </c>
      <c r="C6071" s="3" t="s">
        <v>7</v>
      </c>
    </row>
    <row r="6072">
      <c r="A6072" s="3">
        <v>1437.0</v>
      </c>
      <c r="B6072" s="4">
        <v>45380.376597222225</v>
      </c>
      <c r="C6072" s="3" t="s">
        <v>7</v>
      </c>
    </row>
    <row r="6073">
      <c r="A6073" s="3">
        <v>1048.0</v>
      </c>
      <c r="B6073" s="4">
        <v>45380.388344907406</v>
      </c>
      <c r="C6073" s="3" t="s">
        <v>3</v>
      </c>
    </row>
    <row r="6074">
      <c r="A6074" s="3">
        <v>6287.0</v>
      </c>
      <c r="B6074" s="4">
        <v>45380.39807870371</v>
      </c>
      <c r="C6074" s="3" t="s">
        <v>3</v>
      </c>
    </row>
    <row r="6075">
      <c r="A6075" s="3">
        <v>5859.0</v>
      </c>
      <c r="B6075" s="4">
        <v>45380.40462962963</v>
      </c>
      <c r="C6075" s="3" t="s">
        <v>3</v>
      </c>
    </row>
    <row r="6076">
      <c r="A6076" s="3">
        <v>2779.0</v>
      </c>
      <c r="B6076" s="4">
        <v>45380.431863425925</v>
      </c>
      <c r="C6076" s="3" t="s">
        <v>4</v>
      </c>
    </row>
    <row r="6077">
      <c r="A6077" s="3">
        <v>7926.0</v>
      </c>
      <c r="B6077" s="4">
        <v>45380.442349537036</v>
      </c>
      <c r="C6077" s="3" t="s">
        <v>6</v>
      </c>
    </row>
    <row r="6078">
      <c r="A6078" s="3">
        <v>1051.0</v>
      </c>
      <c r="B6078" s="4">
        <v>45380.44525462963</v>
      </c>
      <c r="C6078" s="3" t="s">
        <v>3</v>
      </c>
    </row>
    <row r="6079">
      <c r="A6079" s="3">
        <v>4229.0</v>
      </c>
      <c r="B6079" s="4">
        <v>45380.44875</v>
      </c>
      <c r="C6079" s="3" t="s">
        <v>6</v>
      </c>
    </row>
    <row r="6080">
      <c r="A6080" s="3">
        <v>3076.0</v>
      </c>
      <c r="B6080" s="4">
        <v>45380.4790162037</v>
      </c>
      <c r="C6080" s="3" t="s">
        <v>3</v>
      </c>
    </row>
    <row r="6081">
      <c r="A6081" s="3">
        <v>4648.0</v>
      </c>
      <c r="B6081" s="4">
        <v>45380.52421296296</v>
      </c>
      <c r="C6081" s="3" t="s">
        <v>6</v>
      </c>
    </row>
    <row r="6082">
      <c r="A6082" s="3">
        <v>5563.0</v>
      </c>
      <c r="B6082" s="4">
        <v>45380.55152777778</v>
      </c>
      <c r="C6082" s="3" t="s">
        <v>3</v>
      </c>
    </row>
    <row r="6083">
      <c r="A6083" s="3">
        <v>5945.0</v>
      </c>
      <c r="B6083" s="4">
        <v>45380.553877314815</v>
      </c>
      <c r="C6083" s="3" t="s">
        <v>4</v>
      </c>
    </row>
    <row r="6084">
      <c r="A6084" s="3">
        <v>1727.0</v>
      </c>
      <c r="B6084" s="4">
        <v>45380.55684027778</v>
      </c>
      <c r="C6084" s="3" t="s">
        <v>3</v>
      </c>
    </row>
    <row r="6085">
      <c r="A6085" s="3">
        <v>7915.0</v>
      </c>
      <c r="B6085" s="4">
        <v>45380.56921296296</v>
      </c>
      <c r="C6085" s="3" t="s">
        <v>3</v>
      </c>
    </row>
    <row r="6086">
      <c r="A6086" s="3">
        <v>7410.0</v>
      </c>
      <c r="B6086" s="4">
        <v>45380.56978009259</v>
      </c>
      <c r="C6086" s="3" t="s">
        <v>5</v>
      </c>
    </row>
    <row r="6087">
      <c r="A6087" s="3">
        <v>6084.0</v>
      </c>
      <c r="B6087" s="4">
        <v>45380.57474537037</v>
      </c>
      <c r="C6087" s="3" t="s">
        <v>7</v>
      </c>
    </row>
    <row r="6088">
      <c r="A6088" s="3">
        <v>5278.0</v>
      </c>
      <c r="B6088" s="4">
        <v>45380.62708333333</v>
      </c>
      <c r="C6088" s="3" t="s">
        <v>4</v>
      </c>
    </row>
    <row r="6089">
      <c r="A6089" s="3">
        <v>4283.0</v>
      </c>
      <c r="B6089" s="4">
        <v>45380.63585648148</v>
      </c>
      <c r="C6089" s="3" t="s">
        <v>4</v>
      </c>
    </row>
    <row r="6090">
      <c r="A6090" s="3">
        <v>1145.0</v>
      </c>
      <c r="B6090" s="4">
        <v>45380.68152777778</v>
      </c>
      <c r="C6090" s="3" t="s">
        <v>6</v>
      </c>
    </row>
    <row r="6091">
      <c r="A6091" s="3">
        <v>3270.0</v>
      </c>
      <c r="B6091" s="4">
        <v>45380.68649305555</v>
      </c>
      <c r="C6091" s="3" t="s">
        <v>3</v>
      </c>
    </row>
    <row r="6092">
      <c r="A6092" s="3">
        <v>5518.0</v>
      </c>
      <c r="B6092" s="4">
        <v>45380.69616898148</v>
      </c>
      <c r="C6092" s="3" t="s">
        <v>7</v>
      </c>
    </row>
    <row r="6093">
      <c r="A6093" s="3">
        <v>5205.0</v>
      </c>
      <c r="B6093" s="4">
        <v>45380.712002314816</v>
      </c>
      <c r="C6093" s="3" t="s">
        <v>3</v>
      </c>
    </row>
    <row r="6094">
      <c r="A6094" s="3">
        <v>3252.0</v>
      </c>
      <c r="B6094" s="4">
        <v>45380.72215277778</v>
      </c>
      <c r="C6094" s="3" t="s">
        <v>3</v>
      </c>
    </row>
    <row r="6095">
      <c r="A6095" s="3">
        <v>2230.0</v>
      </c>
      <c r="B6095" s="4">
        <v>45380.74476851852</v>
      </c>
      <c r="C6095" s="3" t="s">
        <v>4</v>
      </c>
    </row>
    <row r="6096">
      <c r="A6096" s="3">
        <v>7218.0</v>
      </c>
      <c r="B6096" s="4">
        <v>45380.74484953703</v>
      </c>
      <c r="C6096" s="3" t="s">
        <v>3</v>
      </c>
    </row>
    <row r="6097">
      <c r="A6097" s="3">
        <v>5786.0</v>
      </c>
      <c r="B6097" s="4">
        <v>45380.74560185185</v>
      </c>
      <c r="C6097" s="3" t="s">
        <v>4</v>
      </c>
    </row>
    <row r="6098">
      <c r="A6098" s="3">
        <v>3636.0</v>
      </c>
      <c r="B6098" s="4">
        <v>45380.755578703705</v>
      </c>
      <c r="C6098" s="3" t="s">
        <v>4</v>
      </c>
    </row>
    <row r="6099">
      <c r="A6099" s="3">
        <v>6775.0</v>
      </c>
      <c r="B6099" s="4">
        <v>45380.80333333334</v>
      </c>
      <c r="C6099" s="3" t="s">
        <v>3</v>
      </c>
    </row>
    <row r="6100">
      <c r="A6100" s="3">
        <v>2558.0</v>
      </c>
      <c r="B6100" s="4">
        <v>45380.88263888889</v>
      </c>
      <c r="C6100" s="3" t="s">
        <v>3</v>
      </c>
    </row>
    <row r="6101">
      <c r="A6101" s="3">
        <v>1857.0</v>
      </c>
      <c r="B6101" s="4">
        <v>45380.89225694445</v>
      </c>
      <c r="C6101" s="3" t="s">
        <v>3</v>
      </c>
    </row>
    <row r="6102">
      <c r="A6102" s="3">
        <v>2779.0</v>
      </c>
      <c r="B6102" s="4">
        <v>45380.91226851852</v>
      </c>
      <c r="C6102" s="3" t="s">
        <v>3</v>
      </c>
    </row>
    <row r="6103">
      <c r="A6103" s="3">
        <v>6084.0</v>
      </c>
      <c r="B6103" s="4">
        <v>45380.916446759256</v>
      </c>
      <c r="C6103" s="3" t="s">
        <v>5</v>
      </c>
    </row>
    <row r="6104">
      <c r="A6104" s="3">
        <v>4271.0</v>
      </c>
      <c r="B6104" s="4">
        <v>45380.923171296294</v>
      </c>
      <c r="C6104" s="3" t="s">
        <v>6</v>
      </c>
    </row>
    <row r="6105">
      <c r="A6105" s="3">
        <v>5818.0</v>
      </c>
      <c r="B6105" s="4">
        <v>45380.94011574074</v>
      </c>
      <c r="C6105" s="3" t="s">
        <v>4</v>
      </c>
    </row>
    <row r="6106">
      <c r="A6106" s="3">
        <v>512.0</v>
      </c>
      <c r="B6106" s="4">
        <v>45380.952314814815</v>
      </c>
      <c r="C6106" s="3" t="s">
        <v>6</v>
      </c>
    </row>
    <row r="6107">
      <c r="A6107" s="3">
        <v>2853.0</v>
      </c>
      <c r="B6107" s="4">
        <v>45380.953738425924</v>
      </c>
      <c r="C6107" s="3" t="s">
        <v>4</v>
      </c>
    </row>
    <row r="6108">
      <c r="A6108" s="3">
        <v>7609.0</v>
      </c>
      <c r="B6108" s="4">
        <v>45380.99383101852</v>
      </c>
      <c r="C6108" s="3" t="s">
        <v>6</v>
      </c>
    </row>
    <row r="6109">
      <c r="A6109" s="3">
        <v>2399.0</v>
      </c>
      <c r="B6109" s="4">
        <v>45381.00414351852</v>
      </c>
      <c r="C6109" s="3" t="s">
        <v>3</v>
      </c>
    </row>
    <row r="6110">
      <c r="A6110" s="3">
        <v>1029.0</v>
      </c>
      <c r="B6110" s="4">
        <v>45381.03361111111</v>
      </c>
      <c r="C6110" s="3" t="s">
        <v>4</v>
      </c>
    </row>
    <row r="6111">
      <c r="A6111" s="3">
        <v>4223.0</v>
      </c>
      <c r="B6111" s="4">
        <v>45381.04430555556</v>
      </c>
      <c r="C6111" s="3" t="s">
        <v>4</v>
      </c>
    </row>
    <row r="6112">
      <c r="A6112" s="3">
        <v>6045.0</v>
      </c>
      <c r="B6112" s="4">
        <v>45381.07053240741</v>
      </c>
      <c r="C6112" s="3" t="s">
        <v>6</v>
      </c>
    </row>
    <row r="6113">
      <c r="A6113" s="3">
        <v>1611.0</v>
      </c>
      <c r="B6113" s="4">
        <v>45381.072592592594</v>
      </c>
      <c r="C6113" s="3" t="s">
        <v>4</v>
      </c>
    </row>
    <row r="6114">
      <c r="A6114" s="3">
        <v>4674.0</v>
      </c>
      <c r="B6114" s="4">
        <v>45381.08452546296</v>
      </c>
      <c r="C6114" s="3" t="s">
        <v>3</v>
      </c>
    </row>
    <row r="6115">
      <c r="A6115" s="3">
        <v>4887.0</v>
      </c>
      <c r="B6115" s="4">
        <v>45381.09601851852</v>
      </c>
      <c r="C6115" s="3" t="s">
        <v>3</v>
      </c>
    </row>
    <row r="6116">
      <c r="A6116" s="3">
        <v>3708.0</v>
      </c>
      <c r="B6116" s="4">
        <v>45381.105717592596</v>
      </c>
      <c r="C6116" s="3" t="s">
        <v>5</v>
      </c>
    </row>
    <row r="6117">
      <c r="A6117" s="3">
        <v>7880.0</v>
      </c>
      <c r="B6117" s="4">
        <v>45381.10603009259</v>
      </c>
      <c r="C6117" s="3" t="s">
        <v>3</v>
      </c>
    </row>
    <row r="6118">
      <c r="A6118" s="3">
        <v>6435.0</v>
      </c>
      <c r="B6118" s="4">
        <v>45381.12975694444</v>
      </c>
      <c r="C6118" s="3" t="s">
        <v>4</v>
      </c>
    </row>
    <row r="6119">
      <c r="A6119" s="3">
        <v>4558.0</v>
      </c>
      <c r="B6119" s="4">
        <v>45381.1405787037</v>
      </c>
      <c r="C6119" s="3" t="s">
        <v>5</v>
      </c>
    </row>
    <row r="6120">
      <c r="A6120" s="3">
        <v>6287.0</v>
      </c>
      <c r="B6120" s="4">
        <v>45381.14212962963</v>
      </c>
      <c r="C6120" s="3" t="s">
        <v>4</v>
      </c>
    </row>
    <row r="6121">
      <c r="A6121" s="3">
        <v>6147.0</v>
      </c>
      <c r="B6121" s="4">
        <v>45381.1483912037</v>
      </c>
      <c r="C6121" s="3" t="s">
        <v>5</v>
      </c>
    </row>
    <row r="6122">
      <c r="A6122" s="3">
        <v>3371.0</v>
      </c>
      <c r="B6122" s="4">
        <v>45381.171805555554</v>
      </c>
      <c r="C6122" s="3" t="s">
        <v>5</v>
      </c>
    </row>
    <row r="6123">
      <c r="A6123" s="3">
        <v>2420.0</v>
      </c>
      <c r="B6123" s="4">
        <v>45381.17271990741</v>
      </c>
      <c r="C6123" s="3" t="s">
        <v>4</v>
      </c>
    </row>
    <row r="6124">
      <c r="A6124" s="3">
        <v>7350.0</v>
      </c>
      <c r="B6124" s="4">
        <v>45381.178506944445</v>
      </c>
      <c r="C6124" s="3" t="s">
        <v>3</v>
      </c>
    </row>
    <row r="6125">
      <c r="A6125" s="3">
        <v>6406.0</v>
      </c>
      <c r="B6125" s="4">
        <v>45381.204780092594</v>
      </c>
      <c r="C6125" s="3" t="s">
        <v>6</v>
      </c>
    </row>
    <row r="6126">
      <c r="A6126" s="3">
        <v>6263.0</v>
      </c>
      <c r="B6126" s="4">
        <v>45381.20784722222</v>
      </c>
      <c r="C6126" s="3" t="s">
        <v>6</v>
      </c>
    </row>
    <row r="6127">
      <c r="A6127" s="3">
        <v>967.0</v>
      </c>
      <c r="B6127" s="4">
        <v>45381.235914351855</v>
      </c>
      <c r="C6127" s="3" t="s">
        <v>3</v>
      </c>
    </row>
    <row r="6128">
      <c r="A6128" s="3">
        <v>265.0</v>
      </c>
      <c r="B6128" s="4">
        <v>45381.252430555556</v>
      </c>
      <c r="C6128" s="3" t="s">
        <v>4</v>
      </c>
    </row>
    <row r="6129">
      <c r="A6129" s="3">
        <v>5517.0</v>
      </c>
      <c r="B6129" s="4">
        <v>45381.25497685185</v>
      </c>
      <c r="C6129" s="3" t="s">
        <v>6</v>
      </c>
    </row>
    <row r="6130">
      <c r="A6130" s="3">
        <v>7424.0</v>
      </c>
      <c r="B6130" s="4">
        <v>45381.25822916667</v>
      </c>
      <c r="C6130" s="3" t="s">
        <v>4</v>
      </c>
    </row>
    <row r="6131">
      <c r="A6131" s="3">
        <v>5592.0</v>
      </c>
      <c r="B6131" s="4">
        <v>45381.297685185185</v>
      </c>
      <c r="C6131" s="3" t="s">
        <v>3</v>
      </c>
    </row>
    <row r="6132">
      <c r="A6132" s="3">
        <v>150.0</v>
      </c>
      <c r="B6132" s="4">
        <v>45381.34211805555</v>
      </c>
      <c r="C6132" s="3" t="s">
        <v>6</v>
      </c>
    </row>
    <row r="6133">
      <c r="A6133" s="3">
        <v>7915.0</v>
      </c>
      <c r="B6133" s="4">
        <v>45381.345300925925</v>
      </c>
      <c r="C6133" s="3" t="s">
        <v>4</v>
      </c>
    </row>
    <row r="6134">
      <c r="A6134" s="3">
        <v>223.0</v>
      </c>
      <c r="B6134" s="4">
        <v>45381.37368055555</v>
      </c>
      <c r="C6134" s="3" t="s">
        <v>5</v>
      </c>
    </row>
    <row r="6135">
      <c r="A6135" s="3">
        <v>5430.0</v>
      </c>
      <c r="B6135" s="4">
        <v>45381.38778935185</v>
      </c>
      <c r="C6135" s="3" t="s">
        <v>4</v>
      </c>
    </row>
    <row r="6136">
      <c r="A6136" s="3">
        <v>1927.0</v>
      </c>
      <c r="B6136" s="4">
        <v>45381.40482638889</v>
      </c>
      <c r="C6136" s="3" t="s">
        <v>6</v>
      </c>
    </row>
    <row r="6137">
      <c r="A6137" s="3">
        <v>1051.0</v>
      </c>
      <c r="B6137" s="4">
        <v>45381.46744212963</v>
      </c>
      <c r="C6137" s="3" t="s">
        <v>4</v>
      </c>
    </row>
    <row r="6138">
      <c r="A6138" s="3">
        <v>7357.0</v>
      </c>
      <c r="B6138" s="4">
        <v>45381.47106481482</v>
      </c>
      <c r="C6138" s="3" t="s">
        <v>3</v>
      </c>
    </row>
    <row r="6139">
      <c r="A6139" s="3">
        <v>6045.0</v>
      </c>
      <c r="B6139" s="4">
        <v>45381.50667824074</v>
      </c>
      <c r="C6139" s="3" t="s">
        <v>5</v>
      </c>
    </row>
    <row r="6140">
      <c r="A6140" s="3">
        <v>2583.0</v>
      </c>
      <c r="B6140" s="4">
        <v>45381.51778935185</v>
      </c>
      <c r="C6140" s="3" t="s">
        <v>6</v>
      </c>
    </row>
    <row r="6141">
      <c r="A6141" s="3">
        <v>1477.0</v>
      </c>
      <c r="B6141" s="4">
        <v>45381.5253125</v>
      </c>
      <c r="C6141" s="3" t="s">
        <v>3</v>
      </c>
    </row>
    <row r="6142">
      <c r="A6142" s="3">
        <v>5278.0</v>
      </c>
      <c r="B6142" s="4">
        <v>45381.569027777776</v>
      </c>
      <c r="C6142" s="3" t="s">
        <v>5</v>
      </c>
    </row>
    <row r="6143">
      <c r="A6143" s="3">
        <v>7535.0</v>
      </c>
      <c r="B6143" s="4">
        <v>45381.592569444445</v>
      </c>
      <c r="C6143" s="3" t="s">
        <v>6</v>
      </c>
    </row>
    <row r="6144">
      <c r="A6144" s="3">
        <v>2230.0</v>
      </c>
      <c r="B6144" s="4">
        <v>45381.59575231482</v>
      </c>
      <c r="C6144" s="3" t="s">
        <v>5</v>
      </c>
    </row>
    <row r="6145">
      <c r="A6145" s="3">
        <v>2966.0</v>
      </c>
      <c r="B6145" s="4">
        <v>45381.59751157407</v>
      </c>
      <c r="C6145" s="3" t="s">
        <v>4</v>
      </c>
    </row>
    <row r="6146">
      <c r="A6146" s="3">
        <v>7424.0</v>
      </c>
      <c r="B6146" s="4">
        <v>45381.600694444445</v>
      </c>
      <c r="C6146" s="3" t="s">
        <v>3</v>
      </c>
    </row>
    <row r="6147">
      <c r="A6147" s="3">
        <v>3034.0</v>
      </c>
      <c r="B6147" s="4">
        <v>45381.61796296296</v>
      </c>
      <c r="C6147" s="3" t="s">
        <v>7</v>
      </c>
    </row>
    <row r="6148">
      <c r="A6148" s="3">
        <v>5251.0</v>
      </c>
      <c r="B6148" s="4">
        <v>45381.62100694444</v>
      </c>
      <c r="C6148" s="3" t="s">
        <v>3</v>
      </c>
    </row>
    <row r="6149">
      <c r="A6149" s="3">
        <v>1560.0</v>
      </c>
      <c r="B6149" s="4">
        <v>45381.62756944444</v>
      </c>
      <c r="C6149" s="3" t="s">
        <v>5</v>
      </c>
    </row>
    <row r="6150">
      <c r="A6150" s="3">
        <v>350.0</v>
      </c>
      <c r="B6150" s="4">
        <v>45381.63501157407</v>
      </c>
      <c r="C6150" s="3" t="s">
        <v>3</v>
      </c>
    </row>
    <row r="6151">
      <c r="A6151" s="3">
        <v>7727.0</v>
      </c>
      <c r="B6151" s="4">
        <v>45381.63659722222</v>
      </c>
      <c r="C6151" s="3" t="s">
        <v>3</v>
      </c>
    </row>
    <row r="6152">
      <c r="A6152" s="3">
        <v>6697.0</v>
      </c>
      <c r="B6152" s="4">
        <v>45381.64209490741</v>
      </c>
      <c r="C6152" s="3" t="s">
        <v>3</v>
      </c>
    </row>
    <row r="6153">
      <c r="A6153" s="3">
        <v>4059.0</v>
      </c>
      <c r="B6153" s="4">
        <v>45381.649618055555</v>
      </c>
      <c r="C6153" s="3" t="s">
        <v>3</v>
      </c>
    </row>
    <row r="6154">
      <c r="A6154" s="3">
        <v>7037.0</v>
      </c>
      <c r="B6154" s="4">
        <v>45381.67832175926</v>
      </c>
      <c r="C6154" s="3" t="s">
        <v>6</v>
      </c>
    </row>
    <row r="6155">
      <c r="A6155" s="3">
        <v>1951.0</v>
      </c>
      <c r="B6155" s="4">
        <v>45381.69228009259</v>
      </c>
      <c r="C6155" s="3" t="s">
        <v>3</v>
      </c>
    </row>
    <row r="6156">
      <c r="A6156" s="3">
        <v>4718.0</v>
      </c>
      <c r="B6156" s="4">
        <v>45381.703784722224</v>
      </c>
      <c r="C6156" s="3" t="s">
        <v>3</v>
      </c>
    </row>
    <row r="6157">
      <c r="A6157" s="3">
        <v>6801.0</v>
      </c>
      <c r="B6157" s="4">
        <v>45381.71738425926</v>
      </c>
      <c r="C6157" s="3" t="s">
        <v>6</v>
      </c>
    </row>
    <row r="6158">
      <c r="A6158" s="3">
        <v>388.0</v>
      </c>
      <c r="B6158" s="4">
        <v>45381.73835648148</v>
      </c>
      <c r="C6158" s="3" t="s">
        <v>3</v>
      </c>
    </row>
    <row r="6159">
      <c r="A6159" s="3">
        <v>5896.0</v>
      </c>
      <c r="B6159" s="4">
        <v>45381.7471875</v>
      </c>
      <c r="C6159" s="3" t="s">
        <v>3</v>
      </c>
    </row>
    <row r="6160">
      <c r="A6160" s="3">
        <v>1727.0</v>
      </c>
      <c r="B6160" s="4">
        <v>45381.76856481482</v>
      </c>
      <c r="C6160" s="3" t="s">
        <v>5</v>
      </c>
    </row>
    <row r="6161">
      <c r="A6161" s="3">
        <v>4718.0</v>
      </c>
      <c r="B6161" s="4">
        <v>45381.77280092592</v>
      </c>
      <c r="C6161" s="3" t="s">
        <v>4</v>
      </c>
    </row>
    <row r="6162">
      <c r="A6162" s="3">
        <v>2078.0</v>
      </c>
      <c r="B6162" s="4">
        <v>45381.797476851854</v>
      </c>
      <c r="C6162" s="3" t="s">
        <v>3</v>
      </c>
    </row>
    <row r="6163">
      <c r="A6163" s="3">
        <v>6435.0</v>
      </c>
      <c r="B6163" s="4">
        <v>45381.83346064815</v>
      </c>
      <c r="C6163" s="3" t="s">
        <v>3</v>
      </c>
    </row>
    <row r="6164">
      <c r="A6164" s="3">
        <v>3708.0</v>
      </c>
      <c r="B6164" s="4">
        <v>45381.8390162037</v>
      </c>
      <c r="C6164" s="3" t="s">
        <v>4</v>
      </c>
    </row>
    <row r="6165">
      <c r="A6165" s="3">
        <v>5563.0</v>
      </c>
      <c r="B6165" s="4">
        <v>45381.8491087963</v>
      </c>
      <c r="C6165" s="3" t="s">
        <v>4</v>
      </c>
    </row>
    <row r="6166">
      <c r="A6166" s="3">
        <v>7880.0</v>
      </c>
      <c r="B6166" s="4">
        <v>45381.89024305555</v>
      </c>
      <c r="C6166" s="3" t="s">
        <v>4</v>
      </c>
    </row>
    <row r="6167">
      <c r="A6167" s="3">
        <v>7980.0</v>
      </c>
      <c r="B6167" s="4">
        <v>45381.92445601852</v>
      </c>
      <c r="C6167" s="3" t="s">
        <v>3</v>
      </c>
    </row>
    <row r="6168">
      <c r="A6168" s="3">
        <v>4422.0</v>
      </c>
      <c r="B6168" s="4">
        <v>45381.926030092596</v>
      </c>
      <c r="C6168" s="3" t="s">
        <v>7</v>
      </c>
    </row>
    <row r="6169">
      <c r="A6169" s="3">
        <v>4926.0</v>
      </c>
      <c r="B6169" s="4">
        <v>45381.955671296295</v>
      </c>
      <c r="C6169" s="3" t="s">
        <v>3</v>
      </c>
    </row>
    <row r="6170">
      <c r="A6170" s="3">
        <v>3667.0</v>
      </c>
      <c r="B6170" s="4">
        <v>45381.96665509259</v>
      </c>
      <c r="C6170" s="3" t="s">
        <v>3</v>
      </c>
    </row>
    <row r="6171">
      <c r="A6171" s="3">
        <v>1808.0</v>
      </c>
      <c r="B6171" s="4">
        <v>45381.97996527778</v>
      </c>
      <c r="C6171" s="3" t="s">
        <v>3</v>
      </c>
    </row>
    <row r="6172">
      <c r="A6172" s="3">
        <v>4926.0</v>
      </c>
      <c r="B6172" s="4">
        <v>45381.994675925926</v>
      </c>
      <c r="C6172" s="3" t="s">
        <v>5</v>
      </c>
    </row>
    <row r="6173">
      <c r="A6173" s="3">
        <v>6874.0</v>
      </c>
      <c r="B6173" s="4">
        <v>45382.003275462965</v>
      </c>
      <c r="C6173" s="3" t="s">
        <v>3</v>
      </c>
    </row>
    <row r="6174">
      <c r="A6174" s="3">
        <v>5818.0</v>
      </c>
      <c r="B6174" s="4">
        <v>45382.05228009259</v>
      </c>
      <c r="C6174" s="3" t="s">
        <v>6</v>
      </c>
    </row>
    <row r="6175">
      <c r="A6175" s="3">
        <v>350.0</v>
      </c>
      <c r="B6175" s="4">
        <v>45382.05982638889</v>
      </c>
      <c r="C6175" s="3" t="s">
        <v>5</v>
      </c>
    </row>
    <row r="6176">
      <c r="A6176" s="3">
        <v>3013.0</v>
      </c>
      <c r="B6176" s="4">
        <v>45382.11452546297</v>
      </c>
      <c r="C6176" s="3" t="s">
        <v>3</v>
      </c>
    </row>
    <row r="6177">
      <c r="A6177" s="3">
        <v>4697.0</v>
      </c>
      <c r="B6177" s="4">
        <v>45382.12211805556</v>
      </c>
      <c r="C6177" s="3" t="s">
        <v>4</v>
      </c>
    </row>
    <row r="6178">
      <c r="A6178" s="3">
        <v>1760.0</v>
      </c>
      <c r="B6178" s="4">
        <v>45382.12982638889</v>
      </c>
      <c r="C6178" s="3" t="s">
        <v>3</v>
      </c>
    </row>
    <row r="6179">
      <c r="A6179" s="3">
        <v>223.0</v>
      </c>
      <c r="B6179" s="4">
        <v>45382.17811342593</v>
      </c>
      <c r="C6179" s="3" t="s">
        <v>6</v>
      </c>
    </row>
    <row r="6180">
      <c r="A6180" s="3">
        <v>5278.0</v>
      </c>
      <c r="B6180" s="4">
        <v>45382.192974537036</v>
      </c>
      <c r="C6180" s="3" t="s">
        <v>7</v>
      </c>
    </row>
    <row r="6181">
      <c r="A6181" s="3">
        <v>484.0</v>
      </c>
      <c r="B6181" s="4">
        <v>45382.19510416667</v>
      </c>
      <c r="C6181" s="3" t="s">
        <v>7</v>
      </c>
    </row>
    <row r="6182">
      <c r="A6182" s="3">
        <v>1453.0</v>
      </c>
      <c r="B6182" s="4">
        <v>45382.196493055555</v>
      </c>
      <c r="C6182" s="3" t="s">
        <v>3</v>
      </c>
    </row>
    <row r="6183">
      <c r="A6183" s="3">
        <v>4159.0</v>
      </c>
      <c r="B6183" s="4">
        <v>45382.222708333335</v>
      </c>
      <c r="C6183" s="3" t="s">
        <v>3</v>
      </c>
    </row>
    <row r="6184">
      <c r="A6184" s="3">
        <v>5609.0</v>
      </c>
      <c r="B6184" s="4">
        <v>45382.23820601852</v>
      </c>
      <c r="C6184" s="3" t="s">
        <v>7</v>
      </c>
    </row>
    <row r="6185">
      <c r="A6185" s="3">
        <v>4954.0</v>
      </c>
      <c r="B6185" s="4">
        <v>45382.24916666667</v>
      </c>
      <c r="C6185" s="3" t="s">
        <v>6</v>
      </c>
    </row>
    <row r="6186">
      <c r="A6186" s="3">
        <v>169.0</v>
      </c>
      <c r="B6186" s="4">
        <v>45382.27060185185</v>
      </c>
      <c r="C6186" s="3" t="s">
        <v>3</v>
      </c>
    </row>
    <row r="6187">
      <c r="A6187" s="3">
        <v>7410.0</v>
      </c>
      <c r="B6187" s="4">
        <v>45382.29336805556</v>
      </c>
      <c r="C6187" s="3" t="s">
        <v>6</v>
      </c>
    </row>
    <row r="6188">
      <c r="A6188" s="3">
        <v>350.0</v>
      </c>
      <c r="B6188" s="4">
        <v>45382.3106712963</v>
      </c>
      <c r="C6188" s="3" t="s">
        <v>7</v>
      </c>
    </row>
    <row r="6189">
      <c r="A6189" s="3">
        <v>3013.0</v>
      </c>
      <c r="B6189" s="4">
        <v>45382.32457175926</v>
      </c>
      <c r="C6189" s="3" t="s">
        <v>4</v>
      </c>
    </row>
    <row r="6190">
      <c r="A6190" s="3">
        <v>3791.0</v>
      </c>
      <c r="B6190" s="4">
        <v>45382.33107638889</v>
      </c>
      <c r="C6190" s="3" t="s">
        <v>3</v>
      </c>
    </row>
    <row r="6191">
      <c r="A6191" s="3">
        <v>5897.0</v>
      </c>
      <c r="B6191" s="4">
        <v>45382.335868055554</v>
      </c>
      <c r="C6191" s="3" t="s">
        <v>6</v>
      </c>
    </row>
    <row r="6192">
      <c r="A6192" s="3">
        <v>658.0</v>
      </c>
      <c r="B6192" s="4">
        <v>45382.39581018518</v>
      </c>
      <c r="C6192" s="3" t="s">
        <v>3</v>
      </c>
    </row>
    <row r="6193">
      <c r="A6193" s="3">
        <v>3224.0</v>
      </c>
      <c r="B6193" s="4">
        <v>45382.433171296296</v>
      </c>
      <c r="C6193" s="3" t="s">
        <v>4</v>
      </c>
    </row>
    <row r="6194">
      <c r="A6194" s="3">
        <v>5987.0</v>
      </c>
      <c r="B6194" s="4">
        <v>45382.44107638889</v>
      </c>
      <c r="C6194" s="3" t="s">
        <v>3</v>
      </c>
    </row>
    <row r="6195">
      <c r="A6195" s="3">
        <v>4450.0</v>
      </c>
      <c r="B6195" s="4">
        <v>45382.45804398148</v>
      </c>
      <c r="C6195" s="3" t="s">
        <v>6</v>
      </c>
    </row>
    <row r="6196">
      <c r="A6196" s="3">
        <v>2956.0</v>
      </c>
      <c r="B6196" s="4">
        <v>45382.46287037037</v>
      </c>
      <c r="C6196" s="3" t="s">
        <v>3</v>
      </c>
    </row>
    <row r="6197">
      <c r="A6197" s="3">
        <v>1219.0</v>
      </c>
      <c r="B6197" s="4">
        <v>45382.47244212963</v>
      </c>
      <c r="C6197" s="3" t="s">
        <v>3</v>
      </c>
    </row>
    <row r="6198">
      <c r="A6198" s="3">
        <v>535.0</v>
      </c>
      <c r="B6198" s="4">
        <v>45382.487280092595</v>
      </c>
      <c r="C6198" s="3" t="s">
        <v>6</v>
      </c>
    </row>
    <row r="6199">
      <c r="A6199" s="3">
        <v>764.0</v>
      </c>
      <c r="B6199" s="4">
        <v>45382.51096064815</v>
      </c>
      <c r="C6199" s="3" t="s">
        <v>4</v>
      </c>
    </row>
    <row r="6200">
      <c r="A6200" s="3">
        <v>1477.0</v>
      </c>
      <c r="B6200" s="4">
        <v>45382.517175925925</v>
      </c>
      <c r="C6200" s="3" t="s">
        <v>4</v>
      </c>
    </row>
    <row r="6201">
      <c r="A6201" s="3">
        <v>335.0</v>
      </c>
      <c r="B6201" s="4">
        <v>45382.51965277778</v>
      </c>
      <c r="C6201" s="3" t="s">
        <v>6</v>
      </c>
    </row>
    <row r="6202">
      <c r="A6202" s="3">
        <v>2269.0</v>
      </c>
      <c r="B6202" s="4">
        <v>45382.54789351852</v>
      </c>
      <c r="C6202" s="3" t="s">
        <v>3</v>
      </c>
    </row>
    <row r="6203">
      <c r="A6203" s="3">
        <v>6826.0</v>
      </c>
      <c r="B6203" s="4">
        <v>45382.55579861111</v>
      </c>
      <c r="C6203" s="3" t="s">
        <v>7</v>
      </c>
    </row>
    <row r="6204">
      <c r="A6204" s="3">
        <v>4059.0</v>
      </c>
      <c r="B6204" s="4">
        <v>45382.57409722222</v>
      </c>
      <c r="C6204" s="3" t="s">
        <v>4</v>
      </c>
    </row>
    <row r="6205">
      <c r="A6205" s="3">
        <v>323.0</v>
      </c>
      <c r="B6205" s="4">
        <v>45382.580613425926</v>
      </c>
      <c r="C6205" s="3" t="s">
        <v>7</v>
      </c>
    </row>
    <row r="6206">
      <c r="A6206" s="3">
        <v>5205.0</v>
      </c>
      <c r="B6206" s="4">
        <v>45382.63</v>
      </c>
      <c r="C6206" s="3" t="s">
        <v>4</v>
      </c>
    </row>
    <row r="6207">
      <c r="A6207" s="3">
        <v>1953.0</v>
      </c>
      <c r="B6207" s="4">
        <v>45382.636608796296</v>
      </c>
      <c r="C6207" s="3" t="s">
        <v>3</v>
      </c>
    </row>
    <row r="6208">
      <c r="A6208" s="3">
        <v>6530.0</v>
      </c>
      <c r="B6208" s="4">
        <v>45382.64048611111</v>
      </c>
      <c r="C6208" s="3" t="s">
        <v>4</v>
      </c>
    </row>
    <row r="6209">
      <c r="A6209" s="3">
        <v>4887.0</v>
      </c>
      <c r="B6209" s="4">
        <v>45382.664375</v>
      </c>
      <c r="C6209" s="3" t="s">
        <v>5</v>
      </c>
    </row>
    <row r="6210">
      <c r="A6210" s="3">
        <v>388.0</v>
      </c>
      <c r="B6210" s="4">
        <v>45382.66670138889</v>
      </c>
      <c r="C6210" s="3" t="s">
        <v>4</v>
      </c>
    </row>
    <row r="6211">
      <c r="A6211" s="3">
        <v>764.0</v>
      </c>
      <c r="B6211" s="4">
        <v>45382.71611111111</v>
      </c>
      <c r="C6211" s="3" t="s">
        <v>3</v>
      </c>
    </row>
    <row r="6212">
      <c r="A6212" s="3">
        <v>5818.0</v>
      </c>
      <c r="B6212" s="4">
        <v>45382.77444444445</v>
      </c>
      <c r="C6212" s="3" t="s">
        <v>5</v>
      </c>
    </row>
    <row r="6213">
      <c r="A6213" s="3">
        <v>7690.0</v>
      </c>
      <c r="B6213" s="4">
        <v>45382.810694444444</v>
      </c>
      <c r="C6213" s="3" t="s">
        <v>3</v>
      </c>
    </row>
    <row r="6214">
      <c r="A6214" s="3">
        <v>1560.0</v>
      </c>
      <c r="B6214" s="4">
        <v>45382.82417824074</v>
      </c>
      <c r="C6214" s="3" t="s">
        <v>6</v>
      </c>
    </row>
    <row r="6215">
      <c r="A6215" s="3">
        <v>2558.0</v>
      </c>
      <c r="B6215" s="4">
        <v>45382.83677083333</v>
      </c>
      <c r="C6215" s="3" t="s">
        <v>4</v>
      </c>
    </row>
    <row r="6216">
      <c r="A6216" s="3">
        <v>7915.0</v>
      </c>
      <c r="B6216" s="4">
        <v>45382.84144675926</v>
      </c>
      <c r="C6216" s="3" t="s">
        <v>6</v>
      </c>
    </row>
    <row r="6217">
      <c r="A6217" s="3">
        <v>1953.0</v>
      </c>
      <c r="B6217" s="4">
        <v>45382.844560185185</v>
      </c>
      <c r="C6217" s="3" t="s">
        <v>4</v>
      </c>
    </row>
    <row r="6218">
      <c r="A6218" s="3">
        <v>5671.0</v>
      </c>
      <c r="B6218" s="4">
        <v>45382.854317129626</v>
      </c>
      <c r="C6218" s="3" t="s">
        <v>6</v>
      </c>
    </row>
    <row r="6219">
      <c r="A6219" s="3">
        <v>6084.0</v>
      </c>
      <c r="B6219" s="4">
        <v>45382.87165509259</v>
      </c>
      <c r="C6219" s="3" t="s">
        <v>6</v>
      </c>
    </row>
    <row r="6220">
      <c r="A6220" s="3">
        <v>6342.0</v>
      </c>
      <c r="B6220" s="4">
        <v>45382.88568287037</v>
      </c>
      <c r="C6220" s="3" t="s">
        <v>6</v>
      </c>
    </row>
    <row r="6221">
      <c r="A6221" s="3">
        <v>3667.0</v>
      </c>
      <c r="B6221" s="4">
        <v>45382.88574074074</v>
      </c>
      <c r="C6221" s="3" t="s">
        <v>4</v>
      </c>
    </row>
    <row r="6222">
      <c r="A6222" s="3">
        <v>5563.0</v>
      </c>
      <c r="B6222" s="4">
        <v>45382.9015162037</v>
      </c>
      <c r="C6222" s="3" t="s">
        <v>6</v>
      </c>
    </row>
    <row r="6223">
      <c r="A6223" s="3">
        <v>2930.0</v>
      </c>
      <c r="B6223" s="4">
        <v>45382.90945601852</v>
      </c>
      <c r="C6223" s="3" t="s">
        <v>7</v>
      </c>
    </row>
    <row r="6224">
      <c r="A6224" s="3">
        <v>1808.0</v>
      </c>
      <c r="B6224" s="4">
        <v>45382.93597222222</v>
      </c>
      <c r="C6224" s="3" t="s">
        <v>4</v>
      </c>
    </row>
    <row r="6225">
      <c r="A6225" s="3">
        <v>1560.0</v>
      </c>
      <c r="B6225" s="4">
        <v>45382.97646990741</v>
      </c>
      <c r="C6225" s="3" t="s">
        <v>7</v>
      </c>
    </row>
    <row r="6226">
      <c r="A6226" s="3">
        <v>4862.0</v>
      </c>
      <c r="B6226" s="4">
        <v>45382.97793981482</v>
      </c>
      <c r="C6226" s="3" t="s">
        <v>6</v>
      </c>
    </row>
    <row r="6227">
      <c r="A6227" s="3">
        <v>52.0</v>
      </c>
      <c r="B6227" s="4">
        <v>45382.978310185186</v>
      </c>
      <c r="C6227" s="3" t="s">
        <v>7</v>
      </c>
    </row>
    <row r="6228">
      <c r="A6228" s="3">
        <v>350.0</v>
      </c>
      <c r="B6228" s="4">
        <v>45382.990902777776</v>
      </c>
      <c r="C6228" s="3" t="s">
        <v>4</v>
      </c>
    </row>
    <row r="6229">
      <c r="A6229" s="3">
        <v>7713.0</v>
      </c>
      <c r="B6229" s="4">
        <v>45383.00923611111</v>
      </c>
      <c r="C6229" s="3" t="s">
        <v>3</v>
      </c>
    </row>
    <row r="6230">
      <c r="A6230" s="3">
        <v>6907.0</v>
      </c>
      <c r="B6230" s="4">
        <v>45383.010613425926</v>
      </c>
      <c r="C6230" s="3" t="s">
        <v>6</v>
      </c>
    </row>
    <row r="6231">
      <c r="A6231" s="3">
        <v>20.0</v>
      </c>
      <c r="B6231" s="4">
        <v>45383.053449074076</v>
      </c>
      <c r="C6231" s="3" t="s">
        <v>6</v>
      </c>
    </row>
    <row r="6232">
      <c r="A6232" s="3">
        <v>1882.0</v>
      </c>
      <c r="B6232" s="4">
        <v>45383.0672337963</v>
      </c>
      <c r="C6232" s="3" t="s">
        <v>4</v>
      </c>
    </row>
    <row r="6233">
      <c r="A6233" s="3">
        <v>4223.0</v>
      </c>
      <c r="B6233" s="4">
        <v>45383.076898148145</v>
      </c>
      <c r="C6233" s="3" t="s">
        <v>7</v>
      </c>
    </row>
    <row r="6234">
      <c r="A6234" s="3">
        <v>7464.0</v>
      </c>
      <c r="B6234" s="4">
        <v>45383.081041666665</v>
      </c>
      <c r="C6234" s="3" t="s">
        <v>5</v>
      </c>
    </row>
    <row r="6235">
      <c r="A6235" s="3">
        <v>6905.0</v>
      </c>
      <c r="B6235" s="4">
        <v>45383.08466435185</v>
      </c>
      <c r="C6235" s="3" t="s">
        <v>3</v>
      </c>
    </row>
    <row r="6236">
      <c r="A6236" s="3">
        <v>5687.0</v>
      </c>
      <c r="B6236" s="4">
        <v>45383.112337962964</v>
      </c>
      <c r="C6236" s="3" t="s">
        <v>6</v>
      </c>
    </row>
    <row r="6237">
      <c r="A6237" s="3">
        <v>3371.0</v>
      </c>
      <c r="B6237" s="4">
        <v>45383.11583333334</v>
      </c>
      <c r="C6237" s="3" t="s">
        <v>6</v>
      </c>
    </row>
    <row r="6238">
      <c r="A6238" s="3">
        <v>7690.0</v>
      </c>
      <c r="B6238" s="4">
        <v>45383.12731481482</v>
      </c>
      <c r="C6238" s="3" t="s">
        <v>4</v>
      </c>
    </row>
    <row r="6239">
      <c r="A6239" s="3">
        <v>2771.0</v>
      </c>
      <c r="B6239" s="4">
        <v>45383.14871527778</v>
      </c>
      <c r="C6239" s="3" t="s">
        <v>6</v>
      </c>
    </row>
    <row r="6240">
      <c r="A6240" s="3">
        <v>7355.0</v>
      </c>
      <c r="B6240" s="4">
        <v>45383.18665509259</v>
      </c>
      <c r="C6240" s="3" t="s">
        <v>6</v>
      </c>
    </row>
    <row r="6241">
      <c r="A6241" s="3">
        <v>4718.0</v>
      </c>
      <c r="B6241" s="4">
        <v>45383.18736111111</v>
      </c>
      <c r="C6241" s="3" t="s">
        <v>5</v>
      </c>
    </row>
    <row r="6242">
      <c r="A6242" s="3">
        <v>3837.0</v>
      </c>
      <c r="B6242" s="4">
        <v>45383.19069444444</v>
      </c>
      <c r="C6242" s="3" t="s">
        <v>3</v>
      </c>
    </row>
    <row r="6243">
      <c r="A6243" s="3">
        <v>4984.0</v>
      </c>
      <c r="B6243" s="4">
        <v>45383.240439814814</v>
      </c>
      <c r="C6243" s="3" t="s">
        <v>6</v>
      </c>
    </row>
    <row r="6244">
      <c r="A6244" s="3">
        <v>7727.0</v>
      </c>
      <c r="B6244" s="4">
        <v>45383.24469907407</v>
      </c>
      <c r="C6244" s="3" t="s">
        <v>4</v>
      </c>
    </row>
    <row r="6245">
      <c r="A6245" s="3">
        <v>3316.0</v>
      </c>
      <c r="B6245" s="4">
        <v>45383.245671296296</v>
      </c>
      <c r="C6245" s="3" t="s">
        <v>3</v>
      </c>
    </row>
    <row r="6246">
      <c r="A6246" s="3">
        <v>5205.0</v>
      </c>
      <c r="B6246" s="4">
        <v>45383.26167824074</v>
      </c>
      <c r="C6246" s="3" t="s">
        <v>5</v>
      </c>
    </row>
    <row r="6247">
      <c r="A6247" s="3">
        <v>7464.0</v>
      </c>
      <c r="B6247" s="4">
        <v>45383.26417824074</v>
      </c>
      <c r="C6247" s="3" t="s">
        <v>3</v>
      </c>
    </row>
    <row r="6248">
      <c r="A6248" s="3">
        <v>6399.0</v>
      </c>
      <c r="B6248" s="4">
        <v>45383.332708333335</v>
      </c>
      <c r="C6248" s="3" t="s">
        <v>7</v>
      </c>
    </row>
    <row r="6249">
      <c r="A6249" s="3">
        <v>4558.0</v>
      </c>
      <c r="B6249" s="4">
        <v>45383.33479166667</v>
      </c>
      <c r="C6249" s="3" t="s">
        <v>7</v>
      </c>
    </row>
    <row r="6250">
      <c r="A6250" s="3">
        <v>1048.0</v>
      </c>
      <c r="B6250" s="4">
        <v>45383.34149305556</v>
      </c>
      <c r="C6250" s="3" t="s">
        <v>6</v>
      </c>
    </row>
    <row r="6251">
      <c r="A6251" s="3">
        <v>512.0</v>
      </c>
      <c r="B6251" s="4">
        <v>45383.345555555556</v>
      </c>
      <c r="C6251" s="3" t="s">
        <v>5</v>
      </c>
    </row>
    <row r="6252">
      <c r="A6252" s="3">
        <v>7727.0</v>
      </c>
      <c r="B6252" s="4">
        <v>45383.35071759259</v>
      </c>
      <c r="C6252" s="3" t="s">
        <v>6</v>
      </c>
    </row>
    <row r="6253">
      <c r="A6253" s="3">
        <v>2879.0</v>
      </c>
      <c r="B6253" s="4">
        <v>45383.35524305556</v>
      </c>
      <c r="C6253" s="3" t="s">
        <v>3</v>
      </c>
    </row>
    <row r="6254">
      <c r="A6254" s="3">
        <v>5179.0</v>
      </c>
      <c r="B6254" s="4">
        <v>45383.372511574074</v>
      </c>
      <c r="C6254" s="3" t="s">
        <v>3</v>
      </c>
    </row>
    <row r="6255">
      <c r="A6255" s="3">
        <v>7424.0</v>
      </c>
      <c r="B6255" s="4">
        <v>45383.415185185186</v>
      </c>
      <c r="C6255" s="3" t="s">
        <v>5</v>
      </c>
    </row>
    <row r="6256">
      <c r="A6256" s="3">
        <v>3667.0</v>
      </c>
      <c r="B6256" s="4">
        <v>45383.43881944445</v>
      </c>
      <c r="C6256" s="3" t="s">
        <v>5</v>
      </c>
    </row>
    <row r="6257">
      <c r="A6257" s="3">
        <v>4805.0</v>
      </c>
      <c r="B6257" s="4">
        <v>45383.442662037036</v>
      </c>
      <c r="C6257" s="3" t="s">
        <v>3</v>
      </c>
    </row>
    <row r="6258">
      <c r="A6258" s="3">
        <v>7709.0</v>
      </c>
      <c r="B6258" s="4">
        <v>45383.48606481482</v>
      </c>
      <c r="C6258" s="3" t="s">
        <v>3</v>
      </c>
    </row>
    <row r="6259">
      <c r="A6259" s="3">
        <v>4847.0</v>
      </c>
      <c r="B6259" s="4">
        <v>45383.508425925924</v>
      </c>
      <c r="C6259" s="3" t="s">
        <v>3</v>
      </c>
    </row>
    <row r="6260">
      <c r="A6260" s="3">
        <v>1809.0</v>
      </c>
      <c r="B6260" s="4">
        <v>45383.51730324074</v>
      </c>
      <c r="C6260" s="3" t="s">
        <v>3</v>
      </c>
    </row>
    <row r="6261">
      <c r="A6261" s="3">
        <v>2255.0</v>
      </c>
      <c r="B6261" s="4">
        <v>45383.520208333335</v>
      </c>
      <c r="C6261" s="3" t="s">
        <v>3</v>
      </c>
    </row>
    <row r="6262">
      <c r="A6262" s="3">
        <v>5205.0</v>
      </c>
      <c r="B6262" s="4">
        <v>45383.53219907408</v>
      </c>
      <c r="C6262" s="3" t="s">
        <v>7</v>
      </c>
    </row>
    <row r="6263">
      <c r="A6263" s="3">
        <v>5859.0</v>
      </c>
      <c r="B6263" s="4">
        <v>45383.54314814815</v>
      </c>
      <c r="C6263" s="3" t="s">
        <v>4</v>
      </c>
    </row>
    <row r="6264">
      <c r="A6264" s="3">
        <v>4792.0</v>
      </c>
      <c r="B6264" s="4">
        <v>45383.588425925926</v>
      </c>
      <c r="C6264" s="3" t="s">
        <v>3</v>
      </c>
    </row>
    <row r="6265">
      <c r="A6265" s="3">
        <v>1633.0</v>
      </c>
      <c r="B6265" s="4">
        <v>45383.60494212963</v>
      </c>
      <c r="C6265" s="3" t="s">
        <v>6</v>
      </c>
    </row>
    <row r="6266">
      <c r="A6266" s="3">
        <v>758.0</v>
      </c>
      <c r="B6266" s="4">
        <v>45383.60822916667</v>
      </c>
      <c r="C6266" s="3" t="s">
        <v>3</v>
      </c>
    </row>
    <row r="6267">
      <c r="A6267" s="3">
        <v>4223.0</v>
      </c>
      <c r="B6267" s="4">
        <v>45383.62991898148</v>
      </c>
      <c r="C6267" s="3" t="s">
        <v>5</v>
      </c>
    </row>
    <row r="6268">
      <c r="A6268" s="3">
        <v>5402.0</v>
      </c>
      <c r="B6268" s="4">
        <v>45383.6484837963</v>
      </c>
      <c r="C6268" s="3" t="s">
        <v>3</v>
      </c>
    </row>
    <row r="6269">
      <c r="A6269" s="3">
        <v>4887.0</v>
      </c>
      <c r="B6269" s="4">
        <v>45383.675150462965</v>
      </c>
      <c r="C6269" s="3" t="s">
        <v>4</v>
      </c>
    </row>
    <row r="6270">
      <c r="A6270" s="3">
        <v>513.0</v>
      </c>
      <c r="B6270" s="4">
        <v>45383.710023148145</v>
      </c>
      <c r="C6270" s="3" t="s">
        <v>3</v>
      </c>
    </row>
    <row r="6271">
      <c r="A6271" s="3">
        <v>4824.0</v>
      </c>
      <c r="B6271" s="4">
        <v>45383.73972222222</v>
      </c>
      <c r="C6271" s="3" t="s">
        <v>3</v>
      </c>
    </row>
    <row r="6272">
      <c r="A6272" s="3">
        <v>5522.0</v>
      </c>
      <c r="B6272" s="4">
        <v>45383.7515162037</v>
      </c>
      <c r="C6272" s="3" t="s">
        <v>3</v>
      </c>
    </row>
    <row r="6273">
      <c r="A6273" s="3">
        <v>2113.0</v>
      </c>
      <c r="B6273" s="4">
        <v>45383.760300925926</v>
      </c>
      <c r="C6273" s="3" t="s">
        <v>6</v>
      </c>
    </row>
    <row r="6274">
      <c r="A6274" s="3">
        <v>1036.0</v>
      </c>
      <c r="B6274" s="4">
        <v>45383.79857638889</v>
      </c>
      <c r="C6274" s="3" t="s">
        <v>3</v>
      </c>
    </row>
    <row r="6275">
      <c r="A6275" s="3">
        <v>2171.0</v>
      </c>
      <c r="B6275" s="4">
        <v>45383.80431712963</v>
      </c>
      <c r="C6275" s="3" t="s">
        <v>3</v>
      </c>
    </row>
    <row r="6276">
      <c r="A6276" s="3">
        <v>7980.0</v>
      </c>
      <c r="B6276" s="4">
        <v>45383.80432870371</v>
      </c>
      <c r="C6276" s="3" t="s">
        <v>5</v>
      </c>
    </row>
    <row r="6277">
      <c r="A6277" s="3">
        <v>1727.0</v>
      </c>
      <c r="B6277" s="4">
        <v>45383.81494212963</v>
      </c>
      <c r="C6277" s="3" t="s">
        <v>7</v>
      </c>
    </row>
    <row r="6278">
      <c r="A6278" s="3">
        <v>1048.0</v>
      </c>
      <c r="B6278" s="4">
        <v>45383.83422453704</v>
      </c>
      <c r="C6278" s="3" t="s">
        <v>5</v>
      </c>
    </row>
    <row r="6279">
      <c r="A6279" s="3">
        <v>5518.0</v>
      </c>
      <c r="B6279" s="4">
        <v>45383.83542824074</v>
      </c>
      <c r="C6279" s="3" t="s">
        <v>6</v>
      </c>
    </row>
    <row r="6280">
      <c r="A6280" s="3">
        <v>513.0</v>
      </c>
      <c r="B6280" s="4">
        <v>45383.857256944444</v>
      </c>
      <c r="C6280" s="3" t="s">
        <v>4</v>
      </c>
    </row>
    <row r="6281">
      <c r="A6281" s="3">
        <v>2269.0</v>
      </c>
      <c r="B6281" s="4">
        <v>45383.90708333333</v>
      </c>
      <c r="C6281" s="3" t="s">
        <v>4</v>
      </c>
    </row>
    <row r="6282">
      <c r="A6282" s="3">
        <v>4926.0</v>
      </c>
      <c r="B6282" s="4">
        <v>45383.9344212963</v>
      </c>
      <c r="C6282" s="3" t="s">
        <v>6</v>
      </c>
    </row>
    <row r="6283">
      <c r="A6283" s="3">
        <v>4824.0</v>
      </c>
      <c r="B6283" s="4">
        <v>45383.94636574074</v>
      </c>
      <c r="C6283" s="3" t="s">
        <v>4</v>
      </c>
    </row>
    <row r="6284">
      <c r="A6284" s="3">
        <v>2543.0</v>
      </c>
      <c r="B6284" s="4">
        <v>45383.95148148148</v>
      </c>
      <c r="C6284" s="3" t="s">
        <v>3</v>
      </c>
    </row>
    <row r="6285">
      <c r="A6285" s="3">
        <v>2543.0</v>
      </c>
      <c r="B6285" s="4">
        <v>45383.99866898148</v>
      </c>
      <c r="C6285" s="3" t="s">
        <v>4</v>
      </c>
    </row>
    <row r="6286">
      <c r="A6286" s="3">
        <v>4394.0</v>
      </c>
      <c r="B6286" s="4">
        <v>45384.00244212963</v>
      </c>
      <c r="C6286" s="3" t="s">
        <v>3</v>
      </c>
    </row>
    <row r="6287">
      <c r="A6287" s="3">
        <v>3371.0</v>
      </c>
      <c r="B6287" s="4">
        <v>45384.00733796296</v>
      </c>
      <c r="C6287" s="3" t="s">
        <v>7</v>
      </c>
    </row>
    <row r="6288">
      <c r="A6288" s="3">
        <v>3355.0</v>
      </c>
      <c r="B6288" s="4">
        <v>45384.01513888889</v>
      </c>
      <c r="C6288" s="3" t="s">
        <v>3</v>
      </c>
    </row>
    <row r="6289">
      <c r="A6289" s="3">
        <v>266.0</v>
      </c>
      <c r="B6289" s="4">
        <v>45384.02337962963</v>
      </c>
      <c r="C6289" s="3" t="s">
        <v>6</v>
      </c>
    </row>
    <row r="6290">
      <c r="A6290" s="3">
        <v>7880.0</v>
      </c>
      <c r="B6290" s="4">
        <v>45384.04011574074</v>
      </c>
      <c r="C6290" s="3" t="s">
        <v>6</v>
      </c>
    </row>
    <row r="6291">
      <c r="A6291" s="3">
        <v>439.0</v>
      </c>
      <c r="B6291" s="4">
        <v>45384.04164351852</v>
      </c>
      <c r="C6291" s="3" t="s">
        <v>6</v>
      </c>
    </row>
    <row r="6292">
      <c r="A6292" s="3">
        <v>3987.0</v>
      </c>
      <c r="B6292" s="4">
        <v>45384.07436342593</v>
      </c>
      <c r="C6292" s="3" t="s">
        <v>3</v>
      </c>
    </row>
    <row r="6293">
      <c r="A6293" s="3">
        <v>3204.0</v>
      </c>
      <c r="B6293" s="4">
        <v>45384.08275462963</v>
      </c>
      <c r="C6293" s="3" t="s">
        <v>3</v>
      </c>
    </row>
    <row r="6294">
      <c r="A6294" s="3">
        <v>3838.0</v>
      </c>
      <c r="B6294" s="4">
        <v>45384.09105324074</v>
      </c>
      <c r="C6294" s="3" t="s">
        <v>4</v>
      </c>
    </row>
    <row r="6295">
      <c r="A6295" s="3">
        <v>1453.0</v>
      </c>
      <c r="B6295" s="4">
        <v>45384.09122685185</v>
      </c>
      <c r="C6295" s="3" t="s">
        <v>5</v>
      </c>
    </row>
    <row r="6296">
      <c r="A6296" s="3">
        <v>1703.0</v>
      </c>
      <c r="B6296" s="4">
        <v>45384.091886574075</v>
      </c>
      <c r="C6296" s="3" t="s">
        <v>3</v>
      </c>
    </row>
    <row r="6297">
      <c r="A6297" s="3">
        <v>1644.0</v>
      </c>
      <c r="B6297" s="4">
        <v>45384.09328703704</v>
      </c>
      <c r="C6297" s="3" t="s">
        <v>3</v>
      </c>
    </row>
    <row r="6298">
      <c r="A6298" s="3">
        <v>6601.0</v>
      </c>
      <c r="B6298" s="4">
        <v>45384.10215277778</v>
      </c>
      <c r="C6298" s="3" t="s">
        <v>3</v>
      </c>
    </row>
    <row r="6299">
      <c r="A6299" s="3">
        <v>6635.0</v>
      </c>
      <c r="B6299" s="4">
        <v>45384.13743055556</v>
      </c>
      <c r="C6299" s="3" t="s">
        <v>3</v>
      </c>
    </row>
    <row r="6300">
      <c r="A6300" s="3">
        <v>1453.0</v>
      </c>
      <c r="B6300" s="4">
        <v>45384.178761574076</v>
      </c>
      <c r="C6300" s="3" t="s">
        <v>4</v>
      </c>
    </row>
    <row r="6301">
      <c r="A6301" s="3">
        <v>736.0</v>
      </c>
      <c r="B6301" s="4">
        <v>45384.18436342593</v>
      </c>
      <c r="C6301" s="3" t="s">
        <v>3</v>
      </c>
    </row>
    <row r="6302">
      <c r="A6302" s="3">
        <v>6435.0</v>
      </c>
      <c r="B6302" s="4">
        <v>45384.19341435185</v>
      </c>
      <c r="C6302" s="3" t="s">
        <v>5</v>
      </c>
    </row>
    <row r="6303">
      <c r="A6303" s="3">
        <v>2964.0</v>
      </c>
      <c r="B6303" s="4">
        <v>45384.205405092594</v>
      </c>
      <c r="C6303" s="3" t="s">
        <v>3</v>
      </c>
    </row>
    <row r="6304">
      <c r="A6304" s="3">
        <v>4519.0</v>
      </c>
      <c r="B6304" s="4">
        <v>45384.21965277778</v>
      </c>
      <c r="C6304" s="3" t="s">
        <v>4</v>
      </c>
    </row>
    <row r="6305">
      <c r="A6305" s="3">
        <v>2592.0</v>
      </c>
      <c r="B6305" s="4">
        <v>45384.24199074074</v>
      </c>
      <c r="C6305" s="3" t="s">
        <v>3</v>
      </c>
    </row>
    <row r="6306">
      <c r="A6306" s="3">
        <v>5461.0</v>
      </c>
      <c r="B6306" s="4">
        <v>45384.26133101852</v>
      </c>
      <c r="C6306" s="3" t="s">
        <v>4</v>
      </c>
    </row>
    <row r="6307">
      <c r="A6307" s="3">
        <v>4506.0</v>
      </c>
      <c r="B6307" s="4">
        <v>45384.268738425926</v>
      </c>
      <c r="C6307" s="3" t="s">
        <v>3</v>
      </c>
    </row>
    <row r="6308">
      <c r="A6308" s="3">
        <v>264.0</v>
      </c>
      <c r="B6308" s="4">
        <v>45384.27229166667</v>
      </c>
      <c r="C6308" s="3" t="s">
        <v>3</v>
      </c>
    </row>
    <row r="6309">
      <c r="A6309" s="3">
        <v>1219.0</v>
      </c>
      <c r="B6309" s="4">
        <v>45384.28648148148</v>
      </c>
      <c r="C6309" s="3" t="s">
        <v>4</v>
      </c>
    </row>
    <row r="6310">
      <c r="A6310" s="3">
        <v>1413.0</v>
      </c>
      <c r="B6310" s="4">
        <v>45384.300532407404</v>
      </c>
      <c r="C6310" s="3" t="s">
        <v>3</v>
      </c>
    </row>
    <row r="6311">
      <c r="A6311" s="3">
        <v>3667.0</v>
      </c>
      <c r="B6311" s="4">
        <v>45384.30494212963</v>
      </c>
      <c r="C6311" s="3" t="s">
        <v>6</v>
      </c>
    </row>
    <row r="6312">
      <c r="A6312" s="3">
        <v>3034.0</v>
      </c>
      <c r="B6312" s="4">
        <v>45384.30516203704</v>
      </c>
      <c r="C6312" s="3" t="s">
        <v>6</v>
      </c>
    </row>
    <row r="6313">
      <c r="A6313" s="3">
        <v>4452.0</v>
      </c>
      <c r="B6313" s="4">
        <v>45384.34149305556</v>
      </c>
      <c r="C6313" s="3" t="s">
        <v>3</v>
      </c>
    </row>
    <row r="6314">
      <c r="A6314" s="3">
        <v>2269.0</v>
      </c>
      <c r="B6314" s="4">
        <v>45384.35824074074</v>
      </c>
      <c r="C6314" s="3" t="s">
        <v>5</v>
      </c>
    </row>
    <row r="6315">
      <c r="A6315" s="3">
        <v>5224.0</v>
      </c>
      <c r="B6315" s="4">
        <v>45384.386782407404</v>
      </c>
      <c r="C6315" s="3" t="s">
        <v>3</v>
      </c>
    </row>
    <row r="6316">
      <c r="A6316" s="3">
        <v>3838.0</v>
      </c>
      <c r="B6316" s="4">
        <v>45384.38804398148</v>
      </c>
      <c r="C6316" s="3" t="s">
        <v>3</v>
      </c>
    </row>
    <row r="6317">
      <c r="A6317" s="3">
        <v>1324.0</v>
      </c>
      <c r="B6317" s="4">
        <v>45384.406851851854</v>
      </c>
      <c r="C6317" s="3" t="s">
        <v>6</v>
      </c>
    </row>
    <row r="6318">
      <c r="A6318" s="3">
        <v>4519.0</v>
      </c>
      <c r="B6318" s="4">
        <v>45384.410046296296</v>
      </c>
      <c r="C6318" s="3" t="s">
        <v>3</v>
      </c>
    </row>
    <row r="6319">
      <c r="A6319" s="3">
        <v>4143.0</v>
      </c>
      <c r="B6319" s="4">
        <v>45384.458032407405</v>
      </c>
      <c r="C6319" s="3" t="s">
        <v>3</v>
      </c>
    </row>
    <row r="6320">
      <c r="A6320" s="3">
        <v>3921.0</v>
      </c>
      <c r="B6320" s="4">
        <v>45384.509884259256</v>
      </c>
      <c r="C6320" s="3" t="s">
        <v>3</v>
      </c>
    </row>
    <row r="6321">
      <c r="A6321" s="3">
        <v>1644.0</v>
      </c>
      <c r="B6321" s="4">
        <v>45384.510300925926</v>
      </c>
      <c r="C6321" s="3" t="s">
        <v>4</v>
      </c>
    </row>
    <row r="6322">
      <c r="A6322" s="3">
        <v>3204.0</v>
      </c>
      <c r="B6322" s="4">
        <v>45384.53015046296</v>
      </c>
      <c r="C6322" s="3" t="s">
        <v>4</v>
      </c>
    </row>
    <row r="6323">
      <c r="A6323" s="3">
        <v>3919.0</v>
      </c>
      <c r="B6323" s="4">
        <v>45384.53040509259</v>
      </c>
      <c r="C6323" s="3" t="s">
        <v>3</v>
      </c>
    </row>
    <row r="6324">
      <c r="A6324" s="3">
        <v>5224.0</v>
      </c>
      <c r="B6324" s="4">
        <v>45384.536516203705</v>
      </c>
      <c r="C6324" s="3" t="s">
        <v>4</v>
      </c>
    </row>
    <row r="6325">
      <c r="A6325" s="3">
        <v>2445.0</v>
      </c>
      <c r="B6325" s="4">
        <v>45384.56418981482</v>
      </c>
      <c r="C6325" s="3" t="s">
        <v>4</v>
      </c>
    </row>
    <row r="6326">
      <c r="A6326" s="3">
        <v>6635.0</v>
      </c>
      <c r="B6326" s="4">
        <v>45384.593981481485</v>
      </c>
      <c r="C6326" s="3" t="s">
        <v>4</v>
      </c>
    </row>
    <row r="6327">
      <c r="A6327" s="3">
        <v>6559.0</v>
      </c>
      <c r="B6327" s="4">
        <v>45384.59438657408</v>
      </c>
      <c r="C6327" s="3" t="s">
        <v>7</v>
      </c>
    </row>
    <row r="6328">
      <c r="A6328" s="3">
        <v>7915.0</v>
      </c>
      <c r="B6328" s="4">
        <v>45384.62212962963</v>
      </c>
      <c r="C6328" s="3" t="s">
        <v>7</v>
      </c>
    </row>
    <row r="6329">
      <c r="A6329" s="3">
        <v>1978.0</v>
      </c>
      <c r="B6329" s="4">
        <v>45384.63128472222</v>
      </c>
      <c r="C6329" s="3" t="s">
        <v>3</v>
      </c>
    </row>
    <row r="6330">
      <c r="A6330" s="3">
        <v>758.0</v>
      </c>
      <c r="B6330" s="4">
        <v>45384.68587962963</v>
      </c>
      <c r="C6330" s="3" t="s">
        <v>4</v>
      </c>
    </row>
    <row r="6331">
      <c r="A6331" s="3">
        <v>6435.0</v>
      </c>
      <c r="B6331" s="4">
        <v>45384.69844907407</v>
      </c>
      <c r="C6331" s="3" t="s">
        <v>6</v>
      </c>
    </row>
    <row r="6332">
      <c r="A6332" s="3">
        <v>1413.0</v>
      </c>
      <c r="B6332" s="4">
        <v>45384.78957175926</v>
      </c>
      <c r="C6332" s="3" t="s">
        <v>4</v>
      </c>
    </row>
    <row r="6333">
      <c r="A6333" s="3">
        <v>7363.0</v>
      </c>
      <c r="B6333" s="4">
        <v>45384.80699074074</v>
      </c>
      <c r="C6333" s="3" t="s">
        <v>3</v>
      </c>
    </row>
    <row r="6334">
      <c r="A6334" s="3">
        <v>1453.0</v>
      </c>
      <c r="B6334" s="4">
        <v>45384.82417824074</v>
      </c>
      <c r="C6334" s="3" t="s">
        <v>7</v>
      </c>
    </row>
    <row r="6335">
      <c r="A6335" s="3">
        <v>3919.0</v>
      </c>
      <c r="B6335" s="4">
        <v>45384.824594907404</v>
      </c>
      <c r="C6335" s="3" t="s">
        <v>4</v>
      </c>
    </row>
    <row r="6336">
      <c r="A6336" s="3">
        <v>4059.0</v>
      </c>
      <c r="B6336" s="4">
        <v>45384.858298611114</v>
      </c>
      <c r="C6336" s="3" t="s">
        <v>5</v>
      </c>
    </row>
    <row r="6337">
      <c r="A6337" s="3">
        <v>2779.0</v>
      </c>
      <c r="B6337" s="4">
        <v>45384.858298611114</v>
      </c>
      <c r="C6337" s="3" t="s">
        <v>5</v>
      </c>
    </row>
    <row r="6338">
      <c r="A6338" s="3">
        <v>5461.0</v>
      </c>
      <c r="B6338" s="4">
        <v>45384.8665625</v>
      </c>
      <c r="C6338" s="3" t="s">
        <v>3</v>
      </c>
    </row>
    <row r="6339">
      <c r="A6339" s="3">
        <v>3791.0</v>
      </c>
      <c r="B6339" s="4">
        <v>45384.899930555555</v>
      </c>
      <c r="C6339" s="3" t="s">
        <v>4</v>
      </c>
    </row>
    <row r="6340">
      <c r="A6340" s="3">
        <v>5497.0</v>
      </c>
      <c r="B6340" s="4">
        <v>45384.90115740741</v>
      </c>
      <c r="C6340" s="3" t="s">
        <v>3</v>
      </c>
    </row>
    <row r="6341">
      <c r="A6341" s="3">
        <v>5945.0</v>
      </c>
      <c r="B6341" s="4">
        <v>45384.9312037037</v>
      </c>
      <c r="C6341" s="3" t="s">
        <v>5</v>
      </c>
    </row>
    <row r="6342">
      <c r="A6342" s="3">
        <v>5563.0</v>
      </c>
      <c r="B6342" s="4">
        <v>45384.96711805555</v>
      </c>
      <c r="C6342" s="3" t="s">
        <v>7</v>
      </c>
    </row>
    <row r="6343">
      <c r="A6343" s="3">
        <v>2779.0</v>
      </c>
      <c r="B6343" s="4">
        <v>45384.97834490741</v>
      </c>
      <c r="C6343" s="3" t="s">
        <v>7</v>
      </c>
    </row>
    <row r="6344">
      <c r="A6344" s="3">
        <v>5592.0</v>
      </c>
      <c r="B6344" s="4">
        <v>45384.98837962963</v>
      </c>
      <c r="C6344" s="3" t="s">
        <v>5</v>
      </c>
    </row>
    <row r="6345">
      <c r="A6345" s="3">
        <v>6635.0</v>
      </c>
      <c r="B6345" s="4">
        <v>45384.98903935185</v>
      </c>
      <c r="C6345" s="3" t="s">
        <v>5</v>
      </c>
    </row>
    <row r="6346">
      <c r="A6346" s="3">
        <v>658.0</v>
      </c>
      <c r="B6346" s="4">
        <v>45385.02945601852</v>
      </c>
      <c r="C6346" s="3" t="s">
        <v>4</v>
      </c>
    </row>
    <row r="6347">
      <c r="A6347" s="3">
        <v>722.0</v>
      </c>
      <c r="B6347" s="4">
        <v>45385.07855324074</v>
      </c>
      <c r="C6347" s="3" t="s">
        <v>3</v>
      </c>
    </row>
    <row r="6348">
      <c r="A6348" s="3">
        <v>6826.0</v>
      </c>
      <c r="B6348" s="4">
        <v>45385.08259259259</v>
      </c>
      <c r="C6348" s="3" t="s">
        <v>6</v>
      </c>
    </row>
    <row r="6349">
      <c r="A6349" s="3">
        <v>1727.0</v>
      </c>
      <c r="B6349" s="4">
        <v>45385.11185185185</v>
      </c>
      <c r="C6349" s="3" t="s">
        <v>6</v>
      </c>
    </row>
    <row r="6350">
      <c r="A6350" s="3">
        <v>1480.0</v>
      </c>
      <c r="B6350" s="4">
        <v>45385.11863425926</v>
      </c>
      <c r="C6350" s="3" t="s">
        <v>6</v>
      </c>
    </row>
    <row r="6351">
      <c r="A6351" s="3">
        <v>6505.0</v>
      </c>
      <c r="B6351" s="4">
        <v>45385.12306712963</v>
      </c>
      <c r="C6351" s="3" t="s">
        <v>3</v>
      </c>
    </row>
    <row r="6352">
      <c r="A6352" s="3">
        <v>6793.0</v>
      </c>
      <c r="B6352" s="4">
        <v>45385.12342592593</v>
      </c>
      <c r="C6352" s="3" t="s">
        <v>3</v>
      </c>
    </row>
    <row r="6353">
      <c r="A6353" s="3">
        <v>4452.0</v>
      </c>
      <c r="B6353" s="4">
        <v>45385.13195601852</v>
      </c>
      <c r="C6353" s="3" t="s">
        <v>4</v>
      </c>
    </row>
    <row r="6354">
      <c r="A6354" s="3">
        <v>66.0</v>
      </c>
      <c r="B6354" s="4">
        <v>45385.14221064815</v>
      </c>
      <c r="C6354" s="3" t="s">
        <v>4</v>
      </c>
    </row>
    <row r="6355">
      <c r="A6355" s="3">
        <v>2403.0</v>
      </c>
      <c r="B6355" s="4">
        <v>45385.142743055556</v>
      </c>
      <c r="C6355" s="3" t="s">
        <v>3</v>
      </c>
    </row>
    <row r="6356">
      <c r="A6356" s="3">
        <v>7931.0</v>
      </c>
      <c r="B6356" s="4">
        <v>45385.16502314815</v>
      </c>
      <c r="C6356" s="3" t="s">
        <v>3</v>
      </c>
    </row>
    <row r="6357">
      <c r="A6357" s="3">
        <v>6827.0</v>
      </c>
      <c r="B6357" s="4">
        <v>45385.18982638889</v>
      </c>
      <c r="C6357" s="3" t="s">
        <v>3</v>
      </c>
    </row>
    <row r="6358">
      <c r="A6358" s="3">
        <v>1148.0</v>
      </c>
      <c r="B6358" s="4">
        <v>45385.216412037036</v>
      </c>
      <c r="C6358" s="3" t="s">
        <v>3</v>
      </c>
    </row>
    <row r="6359">
      <c r="A6359" s="3">
        <v>7357.0</v>
      </c>
      <c r="B6359" s="4">
        <v>45385.218506944446</v>
      </c>
      <c r="C6359" s="3" t="s">
        <v>4</v>
      </c>
    </row>
    <row r="6360">
      <c r="A6360" s="3">
        <v>3104.0</v>
      </c>
      <c r="B6360" s="4">
        <v>45385.25087962963</v>
      </c>
      <c r="C6360" s="3" t="s">
        <v>3</v>
      </c>
    </row>
    <row r="6361">
      <c r="A6361" s="3">
        <v>4658.0</v>
      </c>
      <c r="B6361" s="4">
        <v>45385.26833333333</v>
      </c>
      <c r="C6361" s="3" t="s">
        <v>3</v>
      </c>
    </row>
    <row r="6362">
      <c r="A6362" s="3">
        <v>2078.0</v>
      </c>
      <c r="B6362" s="4">
        <v>45385.31523148148</v>
      </c>
      <c r="C6362" s="3" t="s">
        <v>4</v>
      </c>
    </row>
    <row r="6363">
      <c r="A6363" s="3">
        <v>2906.0</v>
      </c>
      <c r="B6363" s="4">
        <v>45385.3234375</v>
      </c>
      <c r="C6363" s="3" t="s">
        <v>3</v>
      </c>
    </row>
    <row r="6364">
      <c r="A6364" s="3">
        <v>3800.0</v>
      </c>
      <c r="B6364" s="4">
        <v>45385.327152777776</v>
      </c>
      <c r="C6364" s="3" t="s">
        <v>3</v>
      </c>
    </row>
    <row r="6365">
      <c r="A6365" s="3">
        <v>484.0</v>
      </c>
      <c r="B6365" s="4">
        <v>45385.34868055556</v>
      </c>
      <c r="C6365" s="3" t="s">
        <v>6</v>
      </c>
    </row>
    <row r="6366">
      <c r="A6366" s="3">
        <v>6905.0</v>
      </c>
      <c r="B6366" s="4">
        <v>45385.352164351854</v>
      </c>
      <c r="C6366" s="3" t="s">
        <v>4</v>
      </c>
    </row>
    <row r="6367">
      <c r="A6367" s="3">
        <v>4530.0</v>
      </c>
      <c r="B6367" s="4">
        <v>45385.36645833333</v>
      </c>
      <c r="C6367" s="3" t="s">
        <v>3</v>
      </c>
    </row>
    <row r="6368">
      <c r="A6368" s="3">
        <v>2374.0</v>
      </c>
      <c r="B6368" s="4">
        <v>45385.388703703706</v>
      </c>
      <c r="C6368" s="3" t="s">
        <v>3</v>
      </c>
    </row>
    <row r="6369">
      <c r="A6369" s="3">
        <v>764.0</v>
      </c>
      <c r="B6369" s="4">
        <v>45385.45482638889</v>
      </c>
      <c r="C6369" s="3" t="s">
        <v>5</v>
      </c>
    </row>
    <row r="6370">
      <c r="A6370" s="3">
        <v>3104.0</v>
      </c>
      <c r="B6370" s="4">
        <v>45385.45995370371</v>
      </c>
      <c r="C6370" s="3" t="s">
        <v>4</v>
      </c>
    </row>
    <row r="6371">
      <c r="A6371" s="3">
        <v>6107.0</v>
      </c>
      <c r="B6371" s="4">
        <v>45385.461689814816</v>
      </c>
      <c r="C6371" s="3" t="s">
        <v>3</v>
      </c>
    </row>
    <row r="6372">
      <c r="A6372" s="3">
        <v>66.0</v>
      </c>
      <c r="B6372" s="4">
        <v>45385.48206018518</v>
      </c>
      <c r="C6372" s="3" t="s">
        <v>3</v>
      </c>
    </row>
    <row r="6373">
      <c r="A6373" s="3">
        <v>3132.0</v>
      </c>
      <c r="B6373" s="4">
        <v>45385.53166666667</v>
      </c>
      <c r="C6373" s="3" t="s">
        <v>3</v>
      </c>
    </row>
    <row r="6374">
      <c r="A6374" s="3">
        <v>2374.0</v>
      </c>
      <c r="B6374" s="4">
        <v>45385.57262731482</v>
      </c>
      <c r="C6374" s="3" t="s">
        <v>5</v>
      </c>
    </row>
    <row r="6375">
      <c r="A6375" s="3">
        <v>350.0</v>
      </c>
      <c r="B6375" s="4">
        <v>45385.578252314815</v>
      </c>
      <c r="C6375" s="3" t="s">
        <v>6</v>
      </c>
    </row>
    <row r="6376">
      <c r="A6376" s="3">
        <v>7464.0</v>
      </c>
      <c r="B6376" s="4">
        <v>45385.58304398148</v>
      </c>
      <c r="C6376" s="3" t="s">
        <v>4</v>
      </c>
    </row>
    <row r="6377">
      <c r="A6377" s="3">
        <v>4658.0</v>
      </c>
      <c r="B6377" s="4">
        <v>45385.60024305555</v>
      </c>
      <c r="C6377" s="3" t="s">
        <v>4</v>
      </c>
    </row>
    <row r="6378">
      <c r="A6378" s="3">
        <v>4159.0</v>
      </c>
      <c r="B6378" s="4">
        <v>45385.61431712963</v>
      </c>
      <c r="C6378" s="3" t="s">
        <v>4</v>
      </c>
    </row>
    <row r="6379">
      <c r="A6379" s="3">
        <v>3981.0</v>
      </c>
      <c r="B6379" s="4">
        <v>45385.61991898148</v>
      </c>
      <c r="C6379" s="3" t="s">
        <v>4</v>
      </c>
    </row>
    <row r="6380">
      <c r="A6380" s="3">
        <v>6827.0</v>
      </c>
      <c r="B6380" s="4">
        <v>45385.620162037034</v>
      </c>
      <c r="C6380" s="3" t="s">
        <v>4</v>
      </c>
    </row>
    <row r="6381">
      <c r="A6381" s="3">
        <v>4674.0</v>
      </c>
      <c r="B6381" s="4">
        <v>45385.62604166667</v>
      </c>
      <c r="C6381" s="3" t="s">
        <v>4</v>
      </c>
    </row>
    <row r="6382">
      <c r="A6382" s="3">
        <v>2374.0</v>
      </c>
      <c r="B6382" s="4">
        <v>45385.653495370374</v>
      </c>
      <c r="C6382" s="3" t="s">
        <v>4</v>
      </c>
    </row>
    <row r="6383">
      <c r="A6383" s="3">
        <v>2568.0</v>
      </c>
      <c r="B6383" s="4">
        <v>45385.65746527778</v>
      </c>
      <c r="C6383" s="3" t="s">
        <v>3</v>
      </c>
    </row>
    <row r="6384">
      <c r="A6384" s="3">
        <v>764.0</v>
      </c>
      <c r="B6384" s="4">
        <v>45385.66196759259</v>
      </c>
      <c r="C6384" s="3" t="s">
        <v>7</v>
      </c>
    </row>
    <row r="6385">
      <c r="A6385" s="3">
        <v>626.0</v>
      </c>
      <c r="B6385" s="4">
        <v>45385.68096064815</v>
      </c>
      <c r="C6385" s="3" t="s">
        <v>3</v>
      </c>
    </row>
    <row r="6386">
      <c r="A6386" s="3">
        <v>626.0</v>
      </c>
      <c r="B6386" s="4">
        <v>45385.69520833333</v>
      </c>
      <c r="C6386" s="3" t="s">
        <v>5</v>
      </c>
    </row>
    <row r="6387">
      <c r="A6387" s="3">
        <v>2930.0</v>
      </c>
      <c r="B6387" s="4">
        <v>45385.757256944446</v>
      </c>
      <c r="C6387" s="3" t="s">
        <v>6</v>
      </c>
    </row>
    <row r="6388">
      <c r="A6388" s="3">
        <v>1808.0</v>
      </c>
      <c r="B6388" s="4">
        <v>45385.76493055555</v>
      </c>
      <c r="C6388" s="3" t="s">
        <v>7</v>
      </c>
    </row>
    <row r="6389">
      <c r="A6389" s="3">
        <v>2230.0</v>
      </c>
      <c r="B6389" s="4">
        <v>45385.76875</v>
      </c>
      <c r="C6389" s="3" t="s">
        <v>6</v>
      </c>
    </row>
    <row r="6390">
      <c r="A6390" s="3">
        <v>3981.0</v>
      </c>
      <c r="B6390" s="4">
        <v>45385.777592592596</v>
      </c>
      <c r="C6390" s="3" t="s">
        <v>3</v>
      </c>
    </row>
    <row r="6391">
      <c r="A6391" s="3">
        <v>5945.0</v>
      </c>
      <c r="B6391" s="4">
        <v>45385.780625</v>
      </c>
      <c r="C6391" s="3" t="s">
        <v>6</v>
      </c>
    </row>
    <row r="6392">
      <c r="A6392" s="3">
        <v>1048.0</v>
      </c>
      <c r="B6392" s="4">
        <v>45385.83248842593</v>
      </c>
      <c r="C6392" s="3" t="s">
        <v>7</v>
      </c>
    </row>
    <row r="6393">
      <c r="A6393" s="3">
        <v>7727.0</v>
      </c>
      <c r="B6393" s="4">
        <v>45385.864965277775</v>
      </c>
      <c r="C6393" s="3" t="s">
        <v>5</v>
      </c>
    </row>
    <row r="6394">
      <c r="A6394" s="3">
        <v>169.0</v>
      </c>
      <c r="B6394" s="4">
        <v>45385.86976851852</v>
      </c>
      <c r="C6394" s="3" t="s">
        <v>5</v>
      </c>
    </row>
    <row r="6395">
      <c r="A6395" s="3">
        <v>4223.0</v>
      </c>
      <c r="B6395" s="4">
        <v>45385.88894675926</v>
      </c>
      <c r="C6395" s="3" t="s">
        <v>6</v>
      </c>
    </row>
    <row r="6396">
      <c r="A6396" s="3">
        <v>6588.0</v>
      </c>
      <c r="B6396" s="4">
        <v>45385.91501157408</v>
      </c>
      <c r="C6396" s="3" t="s">
        <v>3</v>
      </c>
    </row>
    <row r="6397">
      <c r="A6397" s="3">
        <v>1255.0</v>
      </c>
      <c r="B6397" s="4">
        <v>45385.916238425925</v>
      </c>
      <c r="C6397" s="3" t="s">
        <v>3</v>
      </c>
    </row>
    <row r="6398">
      <c r="A6398" s="3">
        <v>3981.0</v>
      </c>
      <c r="B6398" s="4">
        <v>45385.9196875</v>
      </c>
      <c r="C6398" s="3" t="s">
        <v>5</v>
      </c>
    </row>
    <row r="6399">
      <c r="A6399" s="3">
        <v>1808.0</v>
      </c>
      <c r="B6399" s="4">
        <v>45385.93875</v>
      </c>
      <c r="C6399" s="3" t="s">
        <v>5</v>
      </c>
    </row>
    <row r="6400">
      <c r="A6400" s="3">
        <v>2580.0</v>
      </c>
      <c r="B6400" s="4">
        <v>45385.94988425926</v>
      </c>
      <c r="C6400" s="3" t="s">
        <v>6</v>
      </c>
    </row>
    <row r="6401">
      <c r="A6401" s="3">
        <v>7852.0</v>
      </c>
      <c r="B6401" s="4">
        <v>45385.96061342592</v>
      </c>
      <c r="C6401" s="3" t="s">
        <v>3</v>
      </c>
    </row>
    <row r="6402">
      <c r="A6402" s="3">
        <v>3708.0</v>
      </c>
      <c r="B6402" s="4">
        <v>45385.96592592593</v>
      </c>
      <c r="C6402" s="3" t="s">
        <v>7</v>
      </c>
    </row>
    <row r="6403">
      <c r="A6403" s="3">
        <v>5945.0</v>
      </c>
      <c r="B6403" s="4">
        <v>45385.98228009259</v>
      </c>
      <c r="C6403" s="3" t="s">
        <v>7</v>
      </c>
    </row>
    <row r="6404">
      <c r="A6404" s="3">
        <v>7599.0</v>
      </c>
      <c r="B6404" s="4">
        <v>45385.98888888889</v>
      </c>
      <c r="C6404" s="3" t="s">
        <v>3</v>
      </c>
    </row>
    <row r="6405">
      <c r="A6405" s="3">
        <v>3708.0</v>
      </c>
      <c r="B6405" s="4">
        <v>45386.015381944446</v>
      </c>
      <c r="C6405" s="3" t="s">
        <v>6</v>
      </c>
    </row>
    <row r="6406">
      <c r="A6406" s="3">
        <v>4176.0</v>
      </c>
      <c r="B6406" s="4">
        <v>45386.03046296296</v>
      </c>
      <c r="C6406" s="3" t="s">
        <v>3</v>
      </c>
    </row>
    <row r="6407">
      <c r="A6407" s="3">
        <v>2081.0</v>
      </c>
      <c r="B6407" s="4">
        <v>45386.0321412037</v>
      </c>
      <c r="C6407" s="3" t="s">
        <v>3</v>
      </c>
    </row>
    <row r="6408">
      <c r="A6408" s="3">
        <v>7957.0</v>
      </c>
      <c r="B6408" s="4">
        <v>45386.0403125</v>
      </c>
      <c r="C6408" s="3" t="s">
        <v>3</v>
      </c>
    </row>
    <row r="6409">
      <c r="A6409" s="3">
        <v>833.0</v>
      </c>
      <c r="B6409" s="4">
        <v>45386.05196759259</v>
      </c>
      <c r="C6409" s="3" t="s">
        <v>3</v>
      </c>
    </row>
    <row r="6410">
      <c r="A6410" s="3">
        <v>7478.0</v>
      </c>
      <c r="B6410" s="4">
        <v>45386.06077546296</v>
      </c>
      <c r="C6410" s="3" t="s">
        <v>3</v>
      </c>
    </row>
    <row r="6411">
      <c r="A6411" s="3">
        <v>1953.0</v>
      </c>
      <c r="B6411" s="4">
        <v>45386.069756944446</v>
      </c>
      <c r="C6411" s="3" t="s">
        <v>7</v>
      </c>
    </row>
    <row r="6412">
      <c r="A6412" s="3">
        <v>6576.0</v>
      </c>
      <c r="B6412" s="4">
        <v>45386.09818287037</v>
      </c>
      <c r="C6412" s="3" t="s">
        <v>6</v>
      </c>
    </row>
    <row r="6413">
      <c r="A6413" s="3">
        <v>66.0</v>
      </c>
      <c r="B6413" s="4">
        <v>45386.10857638889</v>
      </c>
      <c r="C6413" s="3" t="s">
        <v>7</v>
      </c>
    </row>
    <row r="6414">
      <c r="A6414" s="3">
        <v>5302.0</v>
      </c>
      <c r="B6414" s="4">
        <v>45386.15280092593</v>
      </c>
      <c r="C6414" s="3" t="s">
        <v>3</v>
      </c>
    </row>
    <row r="6415">
      <c r="A6415" s="3">
        <v>3013.0</v>
      </c>
      <c r="B6415" s="4">
        <v>45386.15903935185</v>
      </c>
      <c r="C6415" s="3" t="s">
        <v>5</v>
      </c>
    </row>
    <row r="6416">
      <c r="A6416" s="3">
        <v>66.0</v>
      </c>
      <c r="B6416" s="4">
        <v>45386.1622337963</v>
      </c>
      <c r="C6416" s="3" t="s">
        <v>5</v>
      </c>
    </row>
    <row r="6417">
      <c r="A6417" s="3">
        <v>1928.0</v>
      </c>
      <c r="B6417" s="4">
        <v>45386.17028935185</v>
      </c>
      <c r="C6417" s="3" t="s">
        <v>3</v>
      </c>
    </row>
    <row r="6418">
      <c r="A6418" s="3">
        <v>2246.0</v>
      </c>
      <c r="B6418" s="4">
        <v>45386.18350694444</v>
      </c>
      <c r="C6418" s="3" t="s">
        <v>3</v>
      </c>
    </row>
    <row r="6419">
      <c r="A6419" s="3">
        <v>1085.0</v>
      </c>
      <c r="B6419" s="4">
        <v>45386.22342592593</v>
      </c>
      <c r="C6419" s="3" t="s">
        <v>3</v>
      </c>
    </row>
    <row r="6420">
      <c r="A6420" s="3">
        <v>3592.0</v>
      </c>
      <c r="B6420" s="4">
        <v>45386.228113425925</v>
      </c>
      <c r="C6420" s="3" t="s">
        <v>3</v>
      </c>
    </row>
    <row r="6421">
      <c r="A6421" s="3">
        <v>5908.0</v>
      </c>
      <c r="B6421" s="4">
        <v>45386.27893518518</v>
      </c>
      <c r="C6421" s="3" t="s">
        <v>3</v>
      </c>
    </row>
    <row r="6422">
      <c r="A6422" s="3">
        <v>7931.0</v>
      </c>
      <c r="B6422" s="4">
        <v>45386.28565972222</v>
      </c>
      <c r="C6422" s="3" t="s">
        <v>4</v>
      </c>
    </row>
    <row r="6423">
      <c r="A6423" s="3">
        <v>3289.0</v>
      </c>
      <c r="B6423" s="4">
        <v>45386.28827546296</v>
      </c>
      <c r="C6423" s="3" t="s">
        <v>5</v>
      </c>
    </row>
    <row r="6424">
      <c r="A6424" s="3">
        <v>4136.0</v>
      </c>
      <c r="B6424" s="4">
        <v>45386.29211805556</v>
      </c>
      <c r="C6424" s="3" t="s">
        <v>3</v>
      </c>
    </row>
    <row r="6425">
      <c r="A6425" s="3">
        <v>3791.0</v>
      </c>
      <c r="B6425" s="4">
        <v>45386.318715277775</v>
      </c>
      <c r="C6425" s="3" t="s">
        <v>7</v>
      </c>
    </row>
    <row r="6426">
      <c r="A6426" s="3">
        <v>3919.0</v>
      </c>
      <c r="B6426" s="4">
        <v>45386.327569444446</v>
      </c>
      <c r="C6426" s="3" t="s">
        <v>6</v>
      </c>
    </row>
    <row r="6427">
      <c r="A6427" s="3">
        <v>3106.0</v>
      </c>
      <c r="B6427" s="4">
        <v>45386.32821759259</v>
      </c>
      <c r="C6427" s="3" t="s">
        <v>3</v>
      </c>
    </row>
    <row r="6428">
      <c r="A6428" s="3">
        <v>264.0</v>
      </c>
      <c r="B6428" s="4">
        <v>45386.341365740744</v>
      </c>
      <c r="C6428" s="3" t="s">
        <v>4</v>
      </c>
    </row>
    <row r="6429">
      <c r="A6429" s="3">
        <v>4558.0</v>
      </c>
      <c r="B6429" s="4">
        <v>45386.351793981485</v>
      </c>
      <c r="C6429" s="3" t="s">
        <v>6</v>
      </c>
    </row>
    <row r="6430">
      <c r="A6430" s="3">
        <v>1760.0</v>
      </c>
      <c r="B6430" s="4">
        <v>45386.35501157407</v>
      </c>
      <c r="C6430" s="3" t="s">
        <v>4</v>
      </c>
    </row>
    <row r="6431">
      <c r="A6431" s="3">
        <v>3882.0</v>
      </c>
      <c r="B6431" s="4">
        <v>45386.35912037037</v>
      </c>
      <c r="C6431" s="3" t="s">
        <v>3</v>
      </c>
    </row>
    <row r="6432">
      <c r="A6432" s="3">
        <v>2906.0</v>
      </c>
      <c r="B6432" s="4">
        <v>45386.36829861111</v>
      </c>
      <c r="C6432" s="3" t="s">
        <v>4</v>
      </c>
    </row>
    <row r="6433">
      <c r="A6433" s="3">
        <v>1077.0</v>
      </c>
      <c r="B6433" s="4">
        <v>45386.37863425926</v>
      </c>
      <c r="C6433" s="3" t="s">
        <v>3</v>
      </c>
    </row>
    <row r="6434">
      <c r="A6434" s="3">
        <v>6459.0</v>
      </c>
      <c r="B6434" s="4">
        <v>45386.42699074074</v>
      </c>
      <c r="C6434" s="3" t="s">
        <v>3</v>
      </c>
    </row>
    <row r="6435">
      <c r="A6435" s="3">
        <v>736.0</v>
      </c>
      <c r="B6435" s="4">
        <v>45386.4528125</v>
      </c>
      <c r="C6435" s="3" t="s">
        <v>4</v>
      </c>
    </row>
    <row r="6436">
      <c r="A6436" s="3">
        <v>6147.0</v>
      </c>
      <c r="B6436" s="4">
        <v>45386.45685185185</v>
      </c>
      <c r="C6436" s="3" t="s">
        <v>6</v>
      </c>
    </row>
    <row r="6437">
      <c r="A6437" s="3">
        <v>626.0</v>
      </c>
      <c r="B6437" s="4">
        <v>45386.47561342592</v>
      </c>
      <c r="C6437" s="3" t="s">
        <v>4</v>
      </c>
    </row>
    <row r="6438">
      <c r="A6438" s="3">
        <v>724.0</v>
      </c>
      <c r="B6438" s="4">
        <v>45386.48993055556</v>
      </c>
      <c r="C6438" s="3" t="s">
        <v>3</v>
      </c>
    </row>
    <row r="6439">
      <c r="A6439" s="3">
        <v>3289.0</v>
      </c>
      <c r="B6439" s="4">
        <v>45386.51483796296</v>
      </c>
      <c r="C6439" s="3" t="s">
        <v>3</v>
      </c>
    </row>
    <row r="6440">
      <c r="A6440" s="3">
        <v>533.0</v>
      </c>
      <c r="B6440" s="4">
        <v>45386.56866898148</v>
      </c>
      <c r="C6440" s="3" t="s">
        <v>3</v>
      </c>
    </row>
    <row r="6441">
      <c r="A6441" s="3">
        <v>66.0</v>
      </c>
      <c r="B6441" s="4">
        <v>45386.56983796296</v>
      </c>
      <c r="C6441" s="3" t="s">
        <v>6</v>
      </c>
    </row>
    <row r="6442">
      <c r="A6442" s="3">
        <v>3046.0</v>
      </c>
      <c r="B6442" s="4">
        <v>45386.578622685185</v>
      </c>
      <c r="C6442" s="3" t="s">
        <v>3</v>
      </c>
    </row>
    <row r="6443">
      <c r="A6443" s="3">
        <v>1703.0</v>
      </c>
      <c r="B6443" s="4">
        <v>45386.59142361111</v>
      </c>
      <c r="C6443" s="3" t="s">
        <v>6</v>
      </c>
    </row>
    <row r="6444">
      <c r="A6444" s="3">
        <v>2269.0</v>
      </c>
      <c r="B6444" s="4">
        <v>45386.59275462963</v>
      </c>
      <c r="C6444" s="3" t="s">
        <v>7</v>
      </c>
    </row>
    <row r="6445">
      <c r="A6445" s="3">
        <v>4887.0</v>
      </c>
      <c r="B6445" s="4">
        <v>45386.59568287037</v>
      </c>
      <c r="C6445" s="3" t="s">
        <v>6</v>
      </c>
    </row>
    <row r="6446">
      <c r="A6446" s="3">
        <v>7957.0</v>
      </c>
      <c r="B6446" s="4">
        <v>45386.638090277775</v>
      </c>
      <c r="C6446" s="3" t="s">
        <v>4</v>
      </c>
    </row>
    <row r="6447">
      <c r="A6447" s="3">
        <v>6559.0</v>
      </c>
      <c r="B6447" s="4">
        <v>45386.639328703706</v>
      </c>
      <c r="C6447" s="3" t="s">
        <v>6</v>
      </c>
    </row>
    <row r="6448">
      <c r="A6448" s="3">
        <v>2953.0</v>
      </c>
      <c r="B6448" s="4">
        <v>45386.65189814815</v>
      </c>
      <c r="C6448" s="3" t="s">
        <v>3</v>
      </c>
    </row>
    <row r="6449">
      <c r="A6449" s="3">
        <v>7599.0</v>
      </c>
      <c r="B6449" s="4">
        <v>45386.66063657407</v>
      </c>
      <c r="C6449" s="3" t="s">
        <v>4</v>
      </c>
    </row>
    <row r="6450">
      <c r="A6450" s="3">
        <v>7599.0</v>
      </c>
      <c r="B6450" s="4">
        <v>45386.67298611111</v>
      </c>
      <c r="C6450" s="3" t="s">
        <v>5</v>
      </c>
    </row>
    <row r="6451">
      <c r="A6451" s="3">
        <v>2474.0</v>
      </c>
      <c r="B6451" s="4">
        <v>45386.70303240741</v>
      </c>
      <c r="C6451" s="3" t="s">
        <v>3</v>
      </c>
    </row>
    <row r="6452">
      <c r="A6452" s="3">
        <v>3046.0</v>
      </c>
      <c r="B6452" s="4">
        <v>45386.72210648148</v>
      </c>
      <c r="C6452" s="3" t="s">
        <v>4</v>
      </c>
    </row>
    <row r="6453">
      <c r="A6453" s="3">
        <v>5592.0</v>
      </c>
      <c r="B6453" s="4">
        <v>45386.7277662037</v>
      </c>
      <c r="C6453" s="3" t="s">
        <v>7</v>
      </c>
    </row>
    <row r="6454">
      <c r="A6454" s="3">
        <v>67.0</v>
      </c>
      <c r="B6454" s="4">
        <v>45386.752650462964</v>
      </c>
      <c r="C6454" s="3" t="s">
        <v>3</v>
      </c>
    </row>
    <row r="6455">
      <c r="A6455" s="3">
        <v>2543.0</v>
      </c>
      <c r="B6455" s="4">
        <v>45386.764189814814</v>
      </c>
      <c r="C6455" s="3" t="s">
        <v>6</v>
      </c>
    </row>
    <row r="6456">
      <c r="A6456" s="3">
        <v>5823.0</v>
      </c>
      <c r="B6456" s="4">
        <v>45386.80667824074</v>
      </c>
      <c r="C6456" s="3" t="s">
        <v>3</v>
      </c>
    </row>
    <row r="6457">
      <c r="A6457" s="3">
        <v>2403.0</v>
      </c>
      <c r="B6457" s="4">
        <v>45386.845497685186</v>
      </c>
      <c r="C6457" s="3" t="s">
        <v>6</v>
      </c>
    </row>
    <row r="6458">
      <c r="A6458" s="3">
        <v>6399.0</v>
      </c>
      <c r="B6458" s="4">
        <v>45386.85636574074</v>
      </c>
      <c r="C6458" s="3" t="s">
        <v>6</v>
      </c>
    </row>
    <row r="6459">
      <c r="A6459" s="3">
        <v>5205.0</v>
      </c>
      <c r="B6459" s="4">
        <v>45386.87532407408</v>
      </c>
      <c r="C6459" s="3" t="s">
        <v>6</v>
      </c>
    </row>
    <row r="6460">
      <c r="A6460" s="3">
        <v>6287.0</v>
      </c>
      <c r="B6460" s="4">
        <v>45386.90773148148</v>
      </c>
      <c r="C6460" s="3" t="s">
        <v>7</v>
      </c>
    </row>
    <row r="6461">
      <c r="A6461" s="3">
        <v>4905.0</v>
      </c>
      <c r="B6461" s="4">
        <v>45386.914513888885</v>
      </c>
      <c r="C6461" s="3" t="s">
        <v>3</v>
      </c>
    </row>
    <row r="6462">
      <c r="A6462" s="3">
        <v>722.0</v>
      </c>
      <c r="B6462" s="4">
        <v>45386.95380787037</v>
      </c>
      <c r="C6462" s="3" t="s">
        <v>4</v>
      </c>
    </row>
    <row r="6463">
      <c r="A6463" s="3">
        <v>7424.0</v>
      </c>
      <c r="B6463" s="4">
        <v>45386.95755787037</v>
      </c>
      <c r="C6463" s="3" t="s">
        <v>6</v>
      </c>
    </row>
    <row r="6464">
      <c r="A6464" s="3">
        <v>2246.0</v>
      </c>
      <c r="B6464" s="4">
        <v>45386.958125</v>
      </c>
      <c r="C6464" s="3" t="s">
        <v>5</v>
      </c>
    </row>
    <row r="6465">
      <c r="A6465" s="3">
        <v>6088.0</v>
      </c>
      <c r="B6465" s="4">
        <v>45386.99009259259</v>
      </c>
      <c r="C6465" s="3" t="s">
        <v>3</v>
      </c>
    </row>
    <row r="6466">
      <c r="A6466" s="3">
        <v>4333.0</v>
      </c>
      <c r="B6466" s="4">
        <v>45387.020787037036</v>
      </c>
      <c r="C6466" s="3" t="s">
        <v>3</v>
      </c>
    </row>
    <row r="6467">
      <c r="A6467" s="3">
        <v>2754.0</v>
      </c>
      <c r="B6467" s="4">
        <v>45387.026655092595</v>
      </c>
      <c r="C6467" s="3" t="s">
        <v>4</v>
      </c>
    </row>
    <row r="6468">
      <c r="A6468" s="3">
        <v>7957.0</v>
      </c>
      <c r="B6468" s="4">
        <v>45387.04537037037</v>
      </c>
      <c r="C6468" s="3" t="s">
        <v>5</v>
      </c>
    </row>
    <row r="6469">
      <c r="A6469" s="3">
        <v>847.0</v>
      </c>
      <c r="B6469" s="4">
        <v>45387.04833333333</v>
      </c>
      <c r="C6469" s="3" t="s">
        <v>3</v>
      </c>
    </row>
    <row r="6470">
      <c r="A6470" s="3">
        <v>1148.0</v>
      </c>
      <c r="B6470" s="4">
        <v>45387.05658564815</v>
      </c>
      <c r="C6470" s="3" t="s">
        <v>4</v>
      </c>
    </row>
    <row r="6471">
      <c r="A6471" s="3">
        <v>2236.0</v>
      </c>
      <c r="B6471" s="4">
        <v>45387.074328703704</v>
      </c>
      <c r="C6471" s="3" t="s">
        <v>3</v>
      </c>
    </row>
    <row r="6472">
      <c r="A6472" s="3">
        <v>2754.0</v>
      </c>
      <c r="B6472" s="4">
        <v>45387.08824074074</v>
      </c>
      <c r="C6472" s="3" t="s">
        <v>3</v>
      </c>
    </row>
    <row r="6473">
      <c r="A6473" s="3">
        <v>2363.0</v>
      </c>
      <c r="B6473" s="4">
        <v>45387.091203703705</v>
      </c>
      <c r="C6473" s="3" t="s">
        <v>3</v>
      </c>
    </row>
    <row r="6474">
      <c r="A6474" s="3">
        <v>2166.0</v>
      </c>
      <c r="B6474" s="4">
        <v>45387.109375</v>
      </c>
      <c r="C6474" s="3" t="s">
        <v>4</v>
      </c>
    </row>
    <row r="6475">
      <c r="A6475" s="3">
        <v>7931.0</v>
      </c>
      <c r="B6475" s="4">
        <v>45387.11398148148</v>
      </c>
      <c r="C6475" s="3" t="s">
        <v>6</v>
      </c>
    </row>
    <row r="6476">
      <c r="A6476" s="3">
        <v>6881.0</v>
      </c>
      <c r="B6476" s="4">
        <v>45387.147835648146</v>
      </c>
      <c r="C6476" s="3" t="s">
        <v>3</v>
      </c>
    </row>
    <row r="6477">
      <c r="A6477" s="3">
        <v>7424.0</v>
      </c>
      <c r="B6477" s="4">
        <v>45387.15613425926</v>
      </c>
      <c r="C6477" s="3" t="s">
        <v>7</v>
      </c>
    </row>
    <row r="6478">
      <c r="A6478" s="3">
        <v>5741.0</v>
      </c>
      <c r="B6478" s="4">
        <v>45387.15944444444</v>
      </c>
      <c r="C6478" s="3" t="s">
        <v>3</v>
      </c>
    </row>
    <row r="6479">
      <c r="A6479" s="3">
        <v>4059.0</v>
      </c>
      <c r="B6479" s="4">
        <v>45387.17346064815</v>
      </c>
      <c r="C6479" s="3" t="s">
        <v>7</v>
      </c>
    </row>
    <row r="6480">
      <c r="A6480" s="3">
        <v>6828.0</v>
      </c>
      <c r="B6480" s="4">
        <v>45387.212592592594</v>
      </c>
      <c r="C6480" s="3" t="s">
        <v>6</v>
      </c>
    </row>
    <row r="6481">
      <c r="A6481" s="3">
        <v>5278.0</v>
      </c>
      <c r="B6481" s="4">
        <v>45387.2340625</v>
      </c>
      <c r="C6481" s="3" t="s">
        <v>6</v>
      </c>
    </row>
    <row r="6482">
      <c r="A6482" s="3">
        <v>2474.0</v>
      </c>
      <c r="B6482" s="4">
        <v>45387.26917824074</v>
      </c>
      <c r="C6482" s="3" t="s">
        <v>6</v>
      </c>
    </row>
    <row r="6483">
      <c r="A6483" s="3">
        <v>1928.0</v>
      </c>
      <c r="B6483" s="4">
        <v>45387.27462962963</v>
      </c>
      <c r="C6483" s="3" t="s">
        <v>4</v>
      </c>
    </row>
    <row r="6484">
      <c r="A6484" s="3">
        <v>4059.0</v>
      </c>
      <c r="B6484" s="4">
        <v>45387.29040509259</v>
      </c>
      <c r="C6484" s="3" t="s">
        <v>6</v>
      </c>
    </row>
    <row r="6485">
      <c r="A6485" s="3">
        <v>4847.0</v>
      </c>
      <c r="B6485" s="4">
        <v>45387.29850694445</v>
      </c>
      <c r="C6485" s="3" t="s">
        <v>4</v>
      </c>
    </row>
    <row r="6486">
      <c r="A6486" s="3">
        <v>7327.0</v>
      </c>
      <c r="B6486" s="4">
        <v>45387.30479166667</v>
      </c>
      <c r="C6486" s="3" t="s">
        <v>3</v>
      </c>
    </row>
    <row r="6487">
      <c r="A6487" s="3">
        <v>5177.0</v>
      </c>
      <c r="B6487" s="4">
        <v>45387.32667824074</v>
      </c>
      <c r="C6487" s="3" t="s">
        <v>3</v>
      </c>
    </row>
    <row r="6488">
      <c r="A6488" s="3">
        <v>7115.0</v>
      </c>
      <c r="B6488" s="4">
        <v>45387.33763888889</v>
      </c>
      <c r="C6488" s="3" t="s">
        <v>3</v>
      </c>
    </row>
    <row r="6489">
      <c r="A6489" s="3">
        <v>3046.0</v>
      </c>
      <c r="B6489" s="4">
        <v>45387.386666666665</v>
      </c>
      <c r="C6489" s="3" t="s">
        <v>6</v>
      </c>
    </row>
    <row r="6490">
      <c r="A6490" s="3">
        <v>3104.0</v>
      </c>
      <c r="B6490" s="4">
        <v>45387.40288194444</v>
      </c>
      <c r="C6490" s="3" t="s">
        <v>5</v>
      </c>
    </row>
    <row r="6491">
      <c r="A6491" s="3">
        <v>4926.0</v>
      </c>
      <c r="B6491" s="4">
        <v>45387.41024305556</v>
      </c>
      <c r="C6491" s="3" t="s">
        <v>7</v>
      </c>
    </row>
    <row r="6492">
      <c r="A6492" s="3">
        <v>3242.0</v>
      </c>
      <c r="B6492" s="4">
        <v>45387.44190972222</v>
      </c>
      <c r="C6492" s="3" t="s">
        <v>3</v>
      </c>
    </row>
    <row r="6493">
      <c r="A6493" s="3">
        <v>3232.0</v>
      </c>
      <c r="B6493" s="4">
        <v>45387.448113425926</v>
      </c>
      <c r="C6493" s="3" t="s">
        <v>3</v>
      </c>
    </row>
    <row r="6494">
      <c r="A6494" s="3">
        <v>2854.0</v>
      </c>
      <c r="B6494" s="4">
        <v>45387.45011574074</v>
      </c>
      <c r="C6494" s="3" t="s">
        <v>3</v>
      </c>
    </row>
    <row r="6495">
      <c r="A6495" s="3">
        <v>2906.0</v>
      </c>
      <c r="B6495" s="4">
        <v>45387.47174768519</v>
      </c>
      <c r="C6495" s="3" t="s">
        <v>7</v>
      </c>
    </row>
    <row r="6496">
      <c r="A6496" s="3">
        <v>7880.0</v>
      </c>
      <c r="B6496" s="4">
        <v>45387.4930787037</v>
      </c>
      <c r="C6496" s="3" t="s">
        <v>7</v>
      </c>
    </row>
    <row r="6497">
      <c r="A6497" s="3">
        <v>6905.0</v>
      </c>
      <c r="B6497" s="4">
        <v>45387.50439814815</v>
      </c>
      <c r="C6497" s="3" t="s">
        <v>5</v>
      </c>
    </row>
    <row r="6498">
      <c r="A6498" s="3">
        <v>2835.0</v>
      </c>
      <c r="B6498" s="4">
        <v>45387.52684027778</v>
      </c>
      <c r="C6498" s="3" t="s">
        <v>3</v>
      </c>
    </row>
    <row r="6499">
      <c r="A6499" s="3">
        <v>2457.0</v>
      </c>
      <c r="B6499" s="4">
        <v>45387.534421296295</v>
      </c>
      <c r="C6499" s="3" t="s">
        <v>3</v>
      </c>
    </row>
    <row r="6500">
      <c r="A6500" s="3">
        <v>7365.0</v>
      </c>
      <c r="B6500" s="4">
        <v>45387.53818287037</v>
      </c>
      <c r="C6500" s="3" t="s">
        <v>3</v>
      </c>
    </row>
    <row r="6501">
      <c r="A6501" s="3">
        <v>4582.0</v>
      </c>
      <c r="B6501" s="4">
        <v>45387.587476851855</v>
      </c>
      <c r="C6501" s="3" t="s">
        <v>3</v>
      </c>
    </row>
    <row r="6502">
      <c r="A6502" s="3">
        <v>4394.0</v>
      </c>
      <c r="B6502" s="4">
        <v>45387.59234953704</v>
      </c>
      <c r="C6502" s="3" t="s">
        <v>5</v>
      </c>
    </row>
    <row r="6503">
      <c r="A6503" s="3">
        <v>3800.0</v>
      </c>
      <c r="B6503" s="4">
        <v>45387.59290509259</v>
      </c>
      <c r="C6503" s="3" t="s">
        <v>4</v>
      </c>
    </row>
    <row r="6504">
      <c r="A6504" s="3">
        <v>3013.0</v>
      </c>
      <c r="B6504" s="4">
        <v>45387.61702546296</v>
      </c>
      <c r="C6504" s="3" t="s">
        <v>6</v>
      </c>
    </row>
    <row r="6505">
      <c r="A6505" s="3">
        <v>3106.0</v>
      </c>
      <c r="B6505" s="4">
        <v>45387.619097222225</v>
      </c>
      <c r="C6505" s="3" t="s">
        <v>4</v>
      </c>
    </row>
    <row r="6506">
      <c r="A6506" s="3">
        <v>6588.0</v>
      </c>
      <c r="B6506" s="4">
        <v>45387.62320601852</v>
      </c>
      <c r="C6506" s="3" t="s">
        <v>4</v>
      </c>
    </row>
    <row r="6507">
      <c r="A6507" s="3">
        <v>2474.0</v>
      </c>
      <c r="B6507" s="4">
        <v>45387.629016203704</v>
      </c>
      <c r="C6507" s="3" t="s">
        <v>4</v>
      </c>
    </row>
    <row r="6508">
      <c r="A6508" s="3">
        <v>4385.0</v>
      </c>
      <c r="B6508" s="4">
        <v>45387.64059027778</v>
      </c>
      <c r="C6508" s="3" t="s">
        <v>3</v>
      </c>
    </row>
    <row r="6509">
      <c r="A6509" s="3">
        <v>5589.0</v>
      </c>
      <c r="B6509" s="4">
        <v>45387.66168981481</v>
      </c>
      <c r="C6509" s="3" t="s">
        <v>3</v>
      </c>
    </row>
    <row r="6510">
      <c r="A6510" s="3">
        <v>4519.0</v>
      </c>
      <c r="B6510" s="4">
        <v>45387.66370370371</v>
      </c>
      <c r="C6510" s="3" t="s">
        <v>7</v>
      </c>
    </row>
    <row r="6511">
      <c r="A6511" s="3">
        <v>4792.0</v>
      </c>
      <c r="B6511" s="4">
        <v>45387.677037037036</v>
      </c>
      <c r="C6511" s="3" t="s">
        <v>4</v>
      </c>
    </row>
    <row r="6512">
      <c r="A6512" s="3">
        <v>3919.0</v>
      </c>
      <c r="B6512" s="4">
        <v>45387.713912037034</v>
      </c>
      <c r="C6512" s="3" t="s">
        <v>5</v>
      </c>
    </row>
    <row r="6513">
      <c r="A6513" s="3">
        <v>7412.0</v>
      </c>
      <c r="B6513" s="4">
        <v>45387.72231481481</v>
      </c>
      <c r="C6513" s="3" t="s">
        <v>3</v>
      </c>
    </row>
    <row r="6514">
      <c r="A6514" s="3">
        <v>4519.0</v>
      </c>
      <c r="B6514" s="4">
        <v>45387.722349537034</v>
      </c>
      <c r="C6514" s="3" t="s">
        <v>6</v>
      </c>
    </row>
    <row r="6515">
      <c r="A6515" s="3">
        <v>2436.0</v>
      </c>
      <c r="B6515" s="4">
        <v>45387.73520833333</v>
      </c>
      <c r="C6515" s="3" t="s">
        <v>3</v>
      </c>
    </row>
    <row r="6516">
      <c r="A6516" s="3">
        <v>2403.0</v>
      </c>
      <c r="B6516" s="4">
        <v>45387.74528935185</v>
      </c>
      <c r="C6516" s="3" t="s">
        <v>5</v>
      </c>
    </row>
    <row r="6517">
      <c r="A6517" s="3">
        <v>4506.0</v>
      </c>
      <c r="B6517" s="4">
        <v>45387.80155092593</v>
      </c>
      <c r="C6517" s="3" t="s">
        <v>4</v>
      </c>
    </row>
    <row r="6518">
      <c r="A6518" s="3">
        <v>4940.0</v>
      </c>
      <c r="B6518" s="4">
        <v>45387.81212962963</v>
      </c>
      <c r="C6518" s="3" t="s">
        <v>3</v>
      </c>
    </row>
    <row r="6519">
      <c r="A6519" s="3">
        <v>1703.0</v>
      </c>
      <c r="B6519" s="4">
        <v>45387.816030092596</v>
      </c>
      <c r="C6519" s="3" t="s">
        <v>5</v>
      </c>
    </row>
    <row r="6520">
      <c r="A6520" s="3">
        <v>4690.0</v>
      </c>
      <c r="B6520" s="4">
        <v>45387.816342592596</v>
      </c>
      <c r="C6520" s="3" t="s">
        <v>3</v>
      </c>
    </row>
    <row r="6521">
      <c r="A6521" s="3">
        <v>3051.0</v>
      </c>
      <c r="B6521" s="4">
        <v>45387.83550925926</v>
      </c>
      <c r="C6521" s="3" t="s">
        <v>3</v>
      </c>
    </row>
    <row r="6522">
      <c r="A6522" s="3">
        <v>2906.0</v>
      </c>
      <c r="B6522" s="4">
        <v>45387.84042824074</v>
      </c>
      <c r="C6522" s="3" t="s">
        <v>5</v>
      </c>
    </row>
    <row r="6523">
      <c r="A6523" s="3">
        <v>3818.0</v>
      </c>
      <c r="B6523" s="4">
        <v>45387.87436342592</v>
      </c>
      <c r="C6523" s="3" t="s">
        <v>3</v>
      </c>
    </row>
    <row r="6524">
      <c r="A6524" s="3">
        <v>2166.0</v>
      </c>
      <c r="B6524" s="4">
        <v>45387.87768518519</v>
      </c>
      <c r="C6524" s="3" t="s">
        <v>3</v>
      </c>
    </row>
    <row r="6525">
      <c r="A6525" s="3">
        <v>3800.0</v>
      </c>
      <c r="B6525" s="4">
        <v>45387.87902777778</v>
      </c>
      <c r="C6525" s="3" t="s">
        <v>7</v>
      </c>
    </row>
    <row r="6526">
      <c r="A6526" s="3">
        <v>5678.0</v>
      </c>
      <c r="B6526" s="4">
        <v>45387.896203703705</v>
      </c>
      <c r="C6526" s="3" t="s">
        <v>3</v>
      </c>
    </row>
    <row r="6527">
      <c r="A6527" s="3">
        <v>5177.0</v>
      </c>
      <c r="B6527" s="4">
        <v>45387.907430555555</v>
      </c>
      <c r="C6527" s="3" t="s">
        <v>4</v>
      </c>
    </row>
    <row r="6528">
      <c r="A6528" s="3">
        <v>4979.0</v>
      </c>
      <c r="B6528" s="4">
        <v>45387.921273148146</v>
      </c>
      <c r="C6528" s="3" t="s">
        <v>3</v>
      </c>
    </row>
    <row r="6529">
      <c r="A6529" s="3">
        <v>5461.0</v>
      </c>
      <c r="B6529" s="4">
        <v>45387.959328703706</v>
      </c>
      <c r="C6529" s="3" t="s">
        <v>5</v>
      </c>
    </row>
    <row r="6530">
      <c r="A6530" s="3">
        <v>4394.0</v>
      </c>
      <c r="B6530" s="4">
        <v>45387.98915509259</v>
      </c>
      <c r="C6530" s="3" t="s">
        <v>7</v>
      </c>
    </row>
    <row r="6531">
      <c r="A6531" s="3">
        <v>1114.0</v>
      </c>
      <c r="B6531" s="4">
        <v>45387.99024305555</v>
      </c>
      <c r="C6531" s="3" t="s">
        <v>3</v>
      </c>
    </row>
    <row r="6532">
      <c r="A6532" s="3">
        <v>5254.0</v>
      </c>
      <c r="B6532" s="4">
        <v>45388.01184027778</v>
      </c>
      <c r="C6532" s="3" t="s">
        <v>3</v>
      </c>
    </row>
    <row r="6533">
      <c r="A6533" s="3">
        <v>7957.0</v>
      </c>
      <c r="B6533" s="4">
        <v>45388.03291666666</v>
      </c>
      <c r="C6533" s="3" t="s">
        <v>6</v>
      </c>
    </row>
    <row r="6534">
      <c r="A6534" s="3">
        <v>2555.0</v>
      </c>
      <c r="B6534" s="4">
        <v>45388.03616898148</v>
      </c>
      <c r="C6534" s="3" t="s">
        <v>4</v>
      </c>
    </row>
    <row r="6535">
      <c r="A6535" s="3">
        <v>2779.0</v>
      </c>
      <c r="B6535" s="4">
        <v>45388.075104166666</v>
      </c>
      <c r="C6535" s="3" t="s">
        <v>6</v>
      </c>
    </row>
    <row r="6536">
      <c r="A6536" s="3">
        <v>3289.0</v>
      </c>
      <c r="B6536" s="4">
        <v>45388.09883101852</v>
      </c>
      <c r="C6536" s="3" t="s">
        <v>4</v>
      </c>
    </row>
    <row r="6537">
      <c r="A6537" s="3">
        <v>5224.0</v>
      </c>
      <c r="B6537" s="4">
        <v>45388.108622685184</v>
      </c>
      <c r="C6537" s="3" t="s">
        <v>6</v>
      </c>
    </row>
    <row r="6538">
      <c r="A6538" s="3">
        <v>2592.0</v>
      </c>
      <c r="B6538" s="4">
        <v>45388.11046296296</v>
      </c>
      <c r="C6538" s="3" t="s">
        <v>4</v>
      </c>
    </row>
    <row r="6539">
      <c r="A6539" s="3">
        <v>2021.0</v>
      </c>
      <c r="B6539" s="4">
        <v>45388.14266203704</v>
      </c>
      <c r="C6539" s="3" t="s">
        <v>3</v>
      </c>
    </row>
    <row r="6540">
      <c r="A6540" s="3">
        <v>3239.0</v>
      </c>
      <c r="B6540" s="4">
        <v>45388.152662037035</v>
      </c>
      <c r="C6540" s="3" t="s">
        <v>3</v>
      </c>
    </row>
    <row r="6541">
      <c r="A6541" s="3">
        <v>3836.0</v>
      </c>
      <c r="B6541" s="4">
        <v>45388.153032407405</v>
      </c>
      <c r="C6541" s="3" t="s">
        <v>3</v>
      </c>
    </row>
    <row r="6542">
      <c r="A6542" s="3">
        <v>3203.0</v>
      </c>
      <c r="B6542" s="4">
        <v>45388.15565972222</v>
      </c>
      <c r="C6542" s="3" t="s">
        <v>3</v>
      </c>
    </row>
    <row r="6543">
      <c r="A6543" s="3">
        <v>6827.0</v>
      </c>
      <c r="B6543" s="4">
        <v>45388.18309027778</v>
      </c>
      <c r="C6543" s="3" t="s">
        <v>5</v>
      </c>
    </row>
    <row r="6544">
      <c r="A6544" s="3">
        <v>1703.0</v>
      </c>
      <c r="B6544" s="4">
        <v>45388.20943287037</v>
      </c>
      <c r="C6544" s="3" t="s">
        <v>7</v>
      </c>
    </row>
    <row r="6545">
      <c r="A6545" s="3">
        <v>2754.0</v>
      </c>
      <c r="B6545" s="4">
        <v>45388.30716435185</v>
      </c>
      <c r="C6545" s="3" t="s">
        <v>6</v>
      </c>
    </row>
    <row r="6546">
      <c r="A6546" s="3">
        <v>3768.0</v>
      </c>
      <c r="B6546" s="4">
        <v>45388.320868055554</v>
      </c>
      <c r="C6546" s="3" t="s">
        <v>6</v>
      </c>
    </row>
    <row r="6547">
      <c r="A6547" s="3">
        <v>200.0</v>
      </c>
      <c r="B6547" s="4">
        <v>45388.3262962963</v>
      </c>
      <c r="C6547" s="3" t="s">
        <v>3</v>
      </c>
    </row>
    <row r="6548">
      <c r="A6548" s="3">
        <v>1808.0</v>
      </c>
      <c r="B6548" s="4">
        <v>45388.347395833334</v>
      </c>
      <c r="C6548" s="3" t="s">
        <v>6</v>
      </c>
    </row>
    <row r="6549">
      <c r="A6549" s="3">
        <v>3818.0</v>
      </c>
      <c r="B6549" s="4">
        <v>45388.348541666666</v>
      </c>
      <c r="C6549" s="3" t="s">
        <v>6</v>
      </c>
    </row>
    <row r="6550">
      <c r="A6550" s="3">
        <v>6881.0</v>
      </c>
      <c r="B6550" s="4">
        <v>45388.359351851854</v>
      </c>
      <c r="C6550" s="3" t="s">
        <v>5</v>
      </c>
    </row>
    <row r="6551">
      <c r="A6551" s="3">
        <v>2956.0</v>
      </c>
      <c r="B6551" s="4">
        <v>45388.37118055556</v>
      </c>
      <c r="C6551" s="3" t="s">
        <v>7</v>
      </c>
    </row>
    <row r="6552">
      <c r="A6552" s="3">
        <v>5146.0</v>
      </c>
      <c r="B6552" s="4">
        <v>45388.37148148148</v>
      </c>
      <c r="C6552" s="3" t="s">
        <v>3</v>
      </c>
    </row>
    <row r="6553">
      <c r="A6553" s="3">
        <v>6505.0</v>
      </c>
      <c r="B6553" s="4">
        <v>45388.37509259259</v>
      </c>
      <c r="C6553" s="3" t="s">
        <v>7</v>
      </c>
    </row>
    <row r="6554">
      <c r="A6554" s="3">
        <v>7099.0</v>
      </c>
      <c r="B6554" s="4">
        <v>45388.39506944444</v>
      </c>
      <c r="C6554" s="3" t="s">
        <v>3</v>
      </c>
    </row>
    <row r="6555">
      <c r="A6555" s="3">
        <v>1794.0</v>
      </c>
      <c r="B6555" s="4">
        <v>45388.41716435185</v>
      </c>
      <c r="C6555" s="3" t="s">
        <v>3</v>
      </c>
    </row>
    <row r="6556">
      <c r="A6556" s="3">
        <v>2374.0</v>
      </c>
      <c r="B6556" s="4">
        <v>45388.44427083333</v>
      </c>
      <c r="C6556" s="3" t="s">
        <v>7</v>
      </c>
    </row>
    <row r="6557">
      <c r="A6557" s="3">
        <v>6588.0</v>
      </c>
      <c r="B6557" s="4">
        <v>45388.468668981484</v>
      </c>
      <c r="C6557" s="3" t="s">
        <v>7</v>
      </c>
    </row>
    <row r="6558">
      <c r="A6558" s="3">
        <v>2457.0</v>
      </c>
      <c r="B6558" s="4">
        <v>45388.50342592593</v>
      </c>
      <c r="C6558" s="3" t="s">
        <v>4</v>
      </c>
    </row>
    <row r="6559">
      <c r="A6559" s="3">
        <v>5783.0</v>
      </c>
      <c r="B6559" s="4">
        <v>45388.51850694444</v>
      </c>
      <c r="C6559" s="3" t="s">
        <v>3</v>
      </c>
    </row>
    <row r="6560">
      <c r="A6560" s="3">
        <v>2543.0</v>
      </c>
      <c r="B6560" s="4">
        <v>45388.52929398148</v>
      </c>
      <c r="C6560" s="3" t="s">
        <v>7</v>
      </c>
    </row>
    <row r="6561">
      <c r="A6561" s="3">
        <v>4690.0</v>
      </c>
      <c r="B6561" s="4">
        <v>45388.54337962963</v>
      </c>
      <c r="C6561" s="3" t="s">
        <v>4</v>
      </c>
    </row>
    <row r="6562">
      <c r="A6562" s="3">
        <v>1142.0</v>
      </c>
      <c r="B6562" s="4">
        <v>45388.54751157408</v>
      </c>
      <c r="C6562" s="3" t="s">
        <v>3</v>
      </c>
    </row>
    <row r="6563">
      <c r="A6563" s="3">
        <v>5050.0</v>
      </c>
      <c r="B6563" s="4">
        <v>45388.54802083333</v>
      </c>
      <c r="C6563" s="3" t="s">
        <v>5</v>
      </c>
    </row>
    <row r="6564">
      <c r="A6564" s="3">
        <v>2422.0</v>
      </c>
      <c r="B6564" s="4">
        <v>45388.55980324074</v>
      </c>
      <c r="C6564" s="3" t="s">
        <v>3</v>
      </c>
    </row>
    <row r="6565">
      <c r="A6565" s="3">
        <v>1783.0</v>
      </c>
      <c r="B6565" s="4">
        <v>45388.57096064815</v>
      </c>
      <c r="C6565" s="3" t="s">
        <v>3</v>
      </c>
    </row>
    <row r="6566">
      <c r="A6566" s="3">
        <v>1604.0</v>
      </c>
      <c r="B6566" s="4">
        <v>45388.61547453704</v>
      </c>
      <c r="C6566" s="3" t="s">
        <v>3</v>
      </c>
    </row>
    <row r="6567">
      <c r="A6567" s="3">
        <v>1794.0</v>
      </c>
      <c r="B6567" s="4">
        <v>45388.6174537037</v>
      </c>
      <c r="C6567" s="3" t="s">
        <v>4</v>
      </c>
    </row>
    <row r="6568">
      <c r="A6568" s="3">
        <v>3818.0</v>
      </c>
      <c r="B6568" s="4">
        <v>45388.61966435185</v>
      </c>
      <c r="C6568" s="3" t="s">
        <v>4</v>
      </c>
    </row>
    <row r="6569">
      <c r="A6569" s="3">
        <v>5963.0</v>
      </c>
      <c r="B6569" s="4">
        <v>45388.63952546296</v>
      </c>
      <c r="C6569" s="3" t="s">
        <v>4</v>
      </c>
    </row>
    <row r="6570">
      <c r="A6570" s="3">
        <v>4178.0</v>
      </c>
      <c r="B6570" s="4">
        <v>45388.69199074074</v>
      </c>
      <c r="C6570" s="3" t="s">
        <v>3</v>
      </c>
    </row>
    <row r="6571">
      <c r="A6571" s="3">
        <v>2246.0</v>
      </c>
      <c r="B6571" s="4">
        <v>45388.70650462963</v>
      </c>
      <c r="C6571" s="3" t="s">
        <v>4</v>
      </c>
    </row>
    <row r="6572">
      <c r="A6572" s="3">
        <v>5254.0</v>
      </c>
      <c r="B6572" s="4">
        <v>45388.70759259259</v>
      </c>
      <c r="C6572" s="3" t="s">
        <v>5</v>
      </c>
    </row>
    <row r="6573">
      <c r="A6573" s="3">
        <v>3204.0</v>
      </c>
      <c r="B6573" s="4">
        <v>45388.71471064815</v>
      </c>
      <c r="C6573" s="3" t="s">
        <v>5</v>
      </c>
    </row>
    <row r="6574">
      <c r="A6574" s="3">
        <v>7418.0</v>
      </c>
      <c r="B6574" s="4">
        <v>45388.739212962966</v>
      </c>
      <c r="C6574" s="3" t="s">
        <v>3</v>
      </c>
    </row>
    <row r="6575">
      <c r="A6575" s="3">
        <v>7418.0</v>
      </c>
      <c r="B6575" s="4">
        <v>45388.741631944446</v>
      </c>
      <c r="C6575" s="3" t="s">
        <v>4</v>
      </c>
    </row>
    <row r="6576">
      <c r="A6576" s="3">
        <v>1306.0</v>
      </c>
      <c r="B6576" s="4">
        <v>45388.76630787037</v>
      </c>
      <c r="C6576" s="3" t="s">
        <v>3</v>
      </c>
    </row>
    <row r="6577">
      <c r="A6577" s="3">
        <v>3981.0</v>
      </c>
      <c r="B6577" s="4">
        <v>45388.776458333334</v>
      </c>
      <c r="C6577" s="3" t="s">
        <v>7</v>
      </c>
    </row>
    <row r="6578">
      <c r="A6578" s="3">
        <v>2021.0</v>
      </c>
      <c r="B6578" s="4">
        <v>45388.78527777778</v>
      </c>
      <c r="C6578" s="3" t="s">
        <v>5</v>
      </c>
    </row>
    <row r="6579">
      <c r="A6579" s="3">
        <v>4514.0</v>
      </c>
      <c r="B6579" s="4">
        <v>45388.787453703706</v>
      </c>
      <c r="C6579" s="3" t="s">
        <v>3</v>
      </c>
    </row>
    <row r="6580">
      <c r="A6580" s="3">
        <v>2749.0</v>
      </c>
      <c r="B6580" s="4">
        <v>45388.81674768519</v>
      </c>
      <c r="C6580" s="3" t="s">
        <v>3</v>
      </c>
    </row>
    <row r="6581">
      <c r="A6581" s="3">
        <v>6905.0</v>
      </c>
      <c r="B6581" s="4">
        <v>45388.82445601852</v>
      </c>
      <c r="C6581" s="3" t="s">
        <v>7</v>
      </c>
    </row>
    <row r="6582">
      <c r="A6582" s="3">
        <v>7599.0</v>
      </c>
      <c r="B6582" s="4">
        <v>45388.832037037035</v>
      </c>
      <c r="C6582" s="3" t="s">
        <v>7</v>
      </c>
    </row>
    <row r="6583">
      <c r="A6583" s="3">
        <v>5963.0</v>
      </c>
      <c r="B6583" s="4">
        <v>45388.832083333335</v>
      </c>
      <c r="C6583" s="3" t="s">
        <v>3</v>
      </c>
    </row>
    <row r="6584">
      <c r="A6584" s="3">
        <v>4519.0</v>
      </c>
      <c r="B6584" s="4">
        <v>45388.8347337963</v>
      </c>
      <c r="C6584" s="3" t="s">
        <v>5</v>
      </c>
    </row>
    <row r="6585">
      <c r="A6585" s="3">
        <v>6635.0</v>
      </c>
      <c r="B6585" s="4">
        <v>45388.84149305556</v>
      </c>
      <c r="C6585" s="3" t="s">
        <v>6</v>
      </c>
    </row>
    <row r="6586">
      <c r="A6586" s="3">
        <v>6849.0</v>
      </c>
      <c r="B6586" s="4">
        <v>45388.84447916667</v>
      </c>
      <c r="C6586" s="3" t="s">
        <v>3</v>
      </c>
    </row>
    <row r="6587">
      <c r="A6587" s="3">
        <v>2555.0</v>
      </c>
      <c r="B6587" s="4">
        <v>45388.85121527778</v>
      </c>
      <c r="C6587" s="3" t="s">
        <v>3</v>
      </c>
    </row>
    <row r="6588">
      <c r="A6588" s="3">
        <v>2555.0</v>
      </c>
      <c r="B6588" s="4">
        <v>45388.87428240741</v>
      </c>
      <c r="C6588" s="3" t="s">
        <v>5</v>
      </c>
    </row>
    <row r="6589">
      <c r="A6589" s="3">
        <v>2749.0</v>
      </c>
      <c r="B6589" s="4">
        <v>45388.878125</v>
      </c>
      <c r="C6589" s="3" t="s">
        <v>4</v>
      </c>
    </row>
    <row r="6590">
      <c r="A6590" s="3">
        <v>2157.0</v>
      </c>
      <c r="B6590" s="4">
        <v>45388.88346064815</v>
      </c>
      <c r="C6590" s="3" t="s">
        <v>3</v>
      </c>
    </row>
    <row r="6591">
      <c r="A6591" s="3">
        <v>2361.0</v>
      </c>
      <c r="B6591" s="4">
        <v>45388.91716435185</v>
      </c>
      <c r="C6591" s="3" t="s">
        <v>3</v>
      </c>
    </row>
    <row r="6592">
      <c r="A6592" s="3">
        <v>67.0</v>
      </c>
      <c r="B6592" s="4">
        <v>45388.919270833336</v>
      </c>
      <c r="C6592" s="3" t="s">
        <v>4</v>
      </c>
    </row>
    <row r="6593">
      <c r="A6593" s="3">
        <v>6287.0</v>
      </c>
      <c r="B6593" s="4">
        <v>45388.94217592593</v>
      </c>
      <c r="C6593" s="3" t="s">
        <v>6</v>
      </c>
    </row>
    <row r="6594">
      <c r="A6594" s="3">
        <v>6905.0</v>
      </c>
      <c r="B6594" s="4">
        <v>45388.95142361111</v>
      </c>
      <c r="C6594" s="3" t="s">
        <v>6</v>
      </c>
    </row>
    <row r="6595">
      <c r="A6595" s="3">
        <v>5224.0</v>
      </c>
      <c r="B6595" s="4">
        <v>45388.97756944445</v>
      </c>
      <c r="C6595" s="3" t="s">
        <v>5</v>
      </c>
    </row>
    <row r="6596">
      <c r="A6596" s="3">
        <v>5050.0</v>
      </c>
      <c r="B6596" s="4">
        <v>45388.98643518519</v>
      </c>
      <c r="C6596" s="3" t="s">
        <v>4</v>
      </c>
    </row>
    <row r="6597">
      <c r="A6597" s="3">
        <v>5050.0</v>
      </c>
      <c r="B6597" s="4">
        <v>45388.98711805556</v>
      </c>
      <c r="C6597" s="3" t="s">
        <v>3</v>
      </c>
    </row>
    <row r="6598">
      <c r="A6598" s="3">
        <v>2749.0</v>
      </c>
      <c r="B6598" s="4">
        <v>45389.00172453704</v>
      </c>
      <c r="C6598" s="3" t="s">
        <v>5</v>
      </c>
    </row>
    <row r="6599">
      <c r="A6599" s="3">
        <v>5146.0</v>
      </c>
      <c r="B6599" s="4">
        <v>45389.063680555555</v>
      </c>
      <c r="C6599" s="3" t="s">
        <v>4</v>
      </c>
    </row>
    <row r="6600">
      <c r="A6600" s="3">
        <v>5907.0</v>
      </c>
      <c r="B6600" s="4">
        <v>45389.06890046296</v>
      </c>
      <c r="C6600" s="3" t="s">
        <v>3</v>
      </c>
    </row>
    <row r="6601">
      <c r="A6601" s="3">
        <v>258.0</v>
      </c>
      <c r="B6601" s="4">
        <v>45389.076574074075</v>
      </c>
      <c r="C6601" s="3" t="s">
        <v>4</v>
      </c>
    </row>
    <row r="6602">
      <c r="A6602" s="3">
        <v>829.0</v>
      </c>
      <c r="B6602" s="4">
        <v>45389.07840277778</v>
      </c>
      <c r="C6602" s="3" t="s">
        <v>3</v>
      </c>
    </row>
    <row r="6603">
      <c r="A6603" s="3">
        <v>2474.0</v>
      </c>
      <c r="B6603" s="4">
        <v>45389.10254629629</v>
      </c>
      <c r="C6603" s="3" t="s">
        <v>5</v>
      </c>
    </row>
    <row r="6604">
      <c r="A6604" s="3">
        <v>4935.0</v>
      </c>
      <c r="B6604" s="4">
        <v>45389.120358796295</v>
      </c>
      <c r="C6604" s="3" t="s">
        <v>3</v>
      </c>
    </row>
    <row r="6605">
      <c r="A6605" s="3">
        <v>6881.0</v>
      </c>
      <c r="B6605" s="4">
        <v>45389.14847222222</v>
      </c>
      <c r="C6605" s="3" t="s">
        <v>4</v>
      </c>
    </row>
    <row r="6606">
      <c r="A6606" s="3">
        <v>4582.0</v>
      </c>
      <c r="B6606" s="4">
        <v>45389.175358796296</v>
      </c>
      <c r="C6606" s="3" t="s">
        <v>4</v>
      </c>
    </row>
    <row r="6607">
      <c r="A6607" s="3">
        <v>6167.0</v>
      </c>
      <c r="B6607" s="4">
        <v>45389.17952546296</v>
      </c>
      <c r="C6607" s="3" t="s">
        <v>3</v>
      </c>
    </row>
    <row r="6608">
      <c r="A6608" s="3">
        <v>7957.0</v>
      </c>
      <c r="B6608" s="4">
        <v>45389.186793981484</v>
      </c>
      <c r="C6608" s="3" t="s">
        <v>7</v>
      </c>
    </row>
    <row r="6609">
      <c r="A6609" s="3">
        <v>5963.0</v>
      </c>
      <c r="B6609" s="4">
        <v>45389.203194444446</v>
      </c>
      <c r="C6609" s="3" t="s">
        <v>6</v>
      </c>
    </row>
    <row r="6610">
      <c r="A6610" s="3">
        <v>1413.0</v>
      </c>
      <c r="B6610" s="4">
        <v>45389.203935185185</v>
      </c>
      <c r="C6610" s="3" t="s">
        <v>7</v>
      </c>
    </row>
    <row r="6611">
      <c r="A6611" s="3">
        <v>7269.0</v>
      </c>
      <c r="B6611" s="4">
        <v>45389.21059027778</v>
      </c>
      <c r="C6611" s="3" t="s">
        <v>3</v>
      </c>
    </row>
    <row r="6612">
      <c r="A6612" s="3">
        <v>5783.0</v>
      </c>
      <c r="B6612" s="4">
        <v>45389.22994212963</v>
      </c>
      <c r="C6612" s="3" t="s">
        <v>7</v>
      </c>
    </row>
    <row r="6613">
      <c r="A6613" s="3">
        <v>7464.0</v>
      </c>
      <c r="B6613" s="4">
        <v>45389.25271990741</v>
      </c>
      <c r="C6613" s="3" t="s">
        <v>6</v>
      </c>
    </row>
    <row r="6614">
      <c r="A6614" s="3">
        <v>7418.0</v>
      </c>
      <c r="B6614" s="4">
        <v>45389.26142361111</v>
      </c>
      <c r="C6614" s="3" t="s">
        <v>7</v>
      </c>
    </row>
    <row r="6615">
      <c r="A6615" s="3">
        <v>5087.0</v>
      </c>
      <c r="B6615" s="4">
        <v>45389.26665509259</v>
      </c>
      <c r="C6615" s="3" t="s">
        <v>3</v>
      </c>
    </row>
    <row r="6616">
      <c r="A6616" s="3">
        <v>2084.0</v>
      </c>
      <c r="B6616" s="4">
        <v>45389.2825</v>
      </c>
      <c r="C6616" s="3" t="s">
        <v>3</v>
      </c>
    </row>
    <row r="6617">
      <c r="A6617" s="3">
        <v>1783.0</v>
      </c>
      <c r="B6617" s="4">
        <v>45389.29452546296</v>
      </c>
      <c r="C6617" s="3" t="s">
        <v>6</v>
      </c>
    </row>
    <row r="6618">
      <c r="A6618" s="3">
        <v>3106.0</v>
      </c>
      <c r="B6618" s="4">
        <v>45389.303194444445</v>
      </c>
      <c r="C6618" s="3" t="s">
        <v>7</v>
      </c>
    </row>
    <row r="6619">
      <c r="A6619" s="3">
        <v>200.0</v>
      </c>
      <c r="B6619" s="4">
        <v>45389.33131944444</v>
      </c>
      <c r="C6619" s="3" t="s">
        <v>5</v>
      </c>
    </row>
    <row r="6620">
      <c r="A6620" s="3">
        <v>4514.0</v>
      </c>
      <c r="B6620" s="4">
        <v>45389.338483796295</v>
      </c>
      <c r="C6620" s="3" t="s">
        <v>5</v>
      </c>
    </row>
    <row r="6621">
      <c r="A6621" s="3">
        <v>3836.0</v>
      </c>
      <c r="B6621" s="4">
        <v>45389.34658564815</v>
      </c>
      <c r="C6621" s="3" t="s">
        <v>4</v>
      </c>
    </row>
    <row r="6622">
      <c r="A6622" s="3">
        <v>6676.0</v>
      </c>
      <c r="B6622" s="4">
        <v>45389.357986111114</v>
      </c>
      <c r="C6622" s="3" t="s">
        <v>3</v>
      </c>
    </row>
    <row r="6623">
      <c r="A6623" s="3">
        <v>5783.0</v>
      </c>
      <c r="B6623" s="4">
        <v>45389.364282407405</v>
      </c>
      <c r="C6623" s="3" t="s">
        <v>4</v>
      </c>
    </row>
    <row r="6624">
      <c r="A6624" s="3">
        <v>7365.0</v>
      </c>
      <c r="B6624" s="4">
        <v>45389.37888888889</v>
      </c>
      <c r="C6624" s="3" t="s">
        <v>4</v>
      </c>
    </row>
    <row r="6625">
      <c r="A6625" s="3">
        <v>4718.0</v>
      </c>
      <c r="B6625" s="4">
        <v>45389.38311342592</v>
      </c>
      <c r="C6625" s="3" t="s">
        <v>6</v>
      </c>
    </row>
    <row r="6626">
      <c r="A6626" s="3">
        <v>258.0</v>
      </c>
      <c r="B6626" s="4">
        <v>45389.38805555556</v>
      </c>
      <c r="C6626" s="3" t="s">
        <v>3</v>
      </c>
    </row>
    <row r="6627">
      <c r="A6627" s="3">
        <v>200.0</v>
      </c>
      <c r="B6627" s="4">
        <v>45389.425532407404</v>
      </c>
      <c r="C6627" s="3" t="s">
        <v>7</v>
      </c>
    </row>
    <row r="6628">
      <c r="A6628" s="3">
        <v>5461.0</v>
      </c>
      <c r="B6628" s="4">
        <v>45389.454375</v>
      </c>
      <c r="C6628" s="3" t="s">
        <v>6</v>
      </c>
    </row>
    <row r="6629">
      <c r="A6629" s="3">
        <v>5549.0</v>
      </c>
      <c r="B6629" s="4">
        <v>45389.45438657407</v>
      </c>
      <c r="C6629" s="3" t="s">
        <v>3</v>
      </c>
    </row>
    <row r="6630">
      <c r="A6630" s="3">
        <v>3046.0</v>
      </c>
      <c r="B6630" s="4">
        <v>45389.46418981482</v>
      </c>
      <c r="C6630" s="3" t="s">
        <v>5</v>
      </c>
    </row>
    <row r="6631">
      <c r="A6631" s="3">
        <v>4657.0</v>
      </c>
      <c r="B6631" s="4">
        <v>45389.491435185184</v>
      </c>
      <c r="C6631" s="3" t="s">
        <v>3</v>
      </c>
    </row>
    <row r="6632">
      <c r="A6632" s="3">
        <v>5210.0</v>
      </c>
      <c r="B6632" s="4">
        <v>45389.56128472222</v>
      </c>
      <c r="C6632" s="3" t="s">
        <v>3</v>
      </c>
    </row>
    <row r="6633">
      <c r="A6633" s="3">
        <v>1114.0</v>
      </c>
      <c r="B6633" s="4">
        <v>45389.59119212963</v>
      </c>
      <c r="C6633" s="3" t="s">
        <v>4</v>
      </c>
    </row>
    <row r="6634">
      <c r="A6634" s="3">
        <v>5592.0</v>
      </c>
      <c r="B6634" s="4">
        <v>45389.605775462966</v>
      </c>
      <c r="C6634" s="3" t="s">
        <v>6</v>
      </c>
    </row>
    <row r="6635">
      <c r="A6635" s="3">
        <v>7903.0</v>
      </c>
      <c r="B6635" s="4">
        <v>45389.62700231482</v>
      </c>
      <c r="C6635" s="3" t="s">
        <v>3</v>
      </c>
    </row>
    <row r="6636">
      <c r="A6636" s="3">
        <v>3104.0</v>
      </c>
      <c r="B6636" s="4">
        <v>45389.75643518518</v>
      </c>
      <c r="C6636" s="3" t="s">
        <v>6</v>
      </c>
    </row>
    <row r="6637">
      <c r="A6637" s="3">
        <v>4868.0</v>
      </c>
      <c r="B6637" s="4">
        <v>45389.77724537037</v>
      </c>
      <c r="C6637" s="3" t="s">
        <v>4</v>
      </c>
    </row>
    <row r="6638">
      <c r="A6638" s="3">
        <v>847.0</v>
      </c>
      <c r="B6638" s="4">
        <v>45389.77795138889</v>
      </c>
      <c r="C6638" s="3" t="s">
        <v>4</v>
      </c>
    </row>
    <row r="6639">
      <c r="A6639" s="3">
        <v>6588.0</v>
      </c>
      <c r="B6639" s="4">
        <v>45389.77893518518</v>
      </c>
      <c r="C6639" s="3" t="s">
        <v>5</v>
      </c>
    </row>
    <row r="6640">
      <c r="A6640" s="3">
        <v>829.0</v>
      </c>
      <c r="B6640" s="4">
        <v>45389.81214120371</v>
      </c>
      <c r="C6640" s="3" t="s">
        <v>4</v>
      </c>
    </row>
    <row r="6641">
      <c r="A6641" s="3">
        <v>1291.0</v>
      </c>
      <c r="B6641" s="4">
        <v>45389.82405092593</v>
      </c>
      <c r="C6641" s="3" t="s">
        <v>4</v>
      </c>
    </row>
    <row r="6642">
      <c r="A6642" s="3">
        <v>7729.0</v>
      </c>
      <c r="B6642" s="4">
        <v>45389.83226851852</v>
      </c>
      <c r="C6642" s="3" t="s">
        <v>3</v>
      </c>
    </row>
    <row r="6643">
      <c r="A6643" s="3">
        <v>6861.0</v>
      </c>
      <c r="B6643" s="4">
        <v>45389.84400462963</v>
      </c>
      <c r="C6643" s="3" t="s">
        <v>3</v>
      </c>
    </row>
    <row r="6644">
      <c r="A6644" s="3">
        <v>5531.0</v>
      </c>
      <c r="B6644" s="4">
        <v>45389.85837962963</v>
      </c>
      <c r="C6644" s="3" t="s">
        <v>3</v>
      </c>
    </row>
    <row r="6645">
      <c r="A6645" s="3">
        <v>2457.0</v>
      </c>
      <c r="B6645" s="4">
        <v>45389.87024305556</v>
      </c>
      <c r="C6645" s="3" t="s">
        <v>7</v>
      </c>
    </row>
    <row r="6646">
      <c r="A6646" s="3">
        <v>2021.0</v>
      </c>
      <c r="B6646" s="4">
        <v>45389.878171296295</v>
      </c>
      <c r="C6646" s="3" t="s">
        <v>4</v>
      </c>
    </row>
    <row r="6647">
      <c r="A6647" s="3">
        <v>6134.0</v>
      </c>
      <c r="B6647" s="4">
        <v>45389.89109953704</v>
      </c>
      <c r="C6647" s="3" t="s">
        <v>3</v>
      </c>
    </row>
    <row r="6648">
      <c r="A6648" s="3">
        <v>200.0</v>
      </c>
      <c r="B6648" s="4">
        <v>45389.91200231481</v>
      </c>
      <c r="C6648" s="3" t="s">
        <v>6</v>
      </c>
    </row>
    <row r="6649">
      <c r="A6649" s="3">
        <v>7980.0</v>
      </c>
      <c r="B6649" s="4">
        <v>45389.92525462963</v>
      </c>
      <c r="C6649" s="3" t="s">
        <v>6</v>
      </c>
    </row>
    <row r="6650">
      <c r="A6650" s="3">
        <v>4868.0</v>
      </c>
      <c r="B6650" s="4">
        <v>45389.92972222222</v>
      </c>
      <c r="C6650" s="3" t="s">
        <v>3</v>
      </c>
    </row>
    <row r="6651">
      <c r="A6651" s="3">
        <v>6635.0</v>
      </c>
      <c r="B6651" s="4">
        <v>45389.942337962966</v>
      </c>
      <c r="C6651" s="3" t="s">
        <v>7</v>
      </c>
    </row>
    <row r="6652">
      <c r="A6652" s="3">
        <v>2422.0</v>
      </c>
      <c r="B6652" s="4">
        <v>45389.94511574074</v>
      </c>
      <c r="C6652" s="3" t="s">
        <v>4</v>
      </c>
    </row>
    <row r="6653">
      <c r="A6653" s="3">
        <v>1291.0</v>
      </c>
      <c r="B6653" s="4">
        <v>45389.95674768519</v>
      </c>
      <c r="C6653" s="3" t="s">
        <v>3</v>
      </c>
    </row>
    <row r="6654">
      <c r="A6654" s="3">
        <v>4846.0</v>
      </c>
      <c r="B6654" s="4">
        <v>45389.998773148145</v>
      </c>
      <c r="C6654" s="3" t="s">
        <v>3</v>
      </c>
    </row>
    <row r="6655">
      <c r="A6655" s="3">
        <v>2349.0</v>
      </c>
      <c r="B6655" s="4">
        <v>45390.001655092594</v>
      </c>
      <c r="C6655" s="3" t="s">
        <v>3</v>
      </c>
    </row>
    <row r="6656">
      <c r="A6656" s="3">
        <v>7618.0</v>
      </c>
      <c r="B6656" s="4">
        <v>45390.05894675926</v>
      </c>
      <c r="C6656" s="3" t="s">
        <v>3</v>
      </c>
    </row>
    <row r="6657">
      <c r="A6657" s="3">
        <v>1977.0</v>
      </c>
      <c r="B6657" s="4">
        <v>45390.09439814815</v>
      </c>
      <c r="C6657" s="3" t="s">
        <v>3</v>
      </c>
    </row>
    <row r="6658">
      <c r="A6658" s="3">
        <v>3106.0</v>
      </c>
      <c r="B6658" s="4">
        <v>45390.119722222225</v>
      </c>
      <c r="C6658" s="3" t="s">
        <v>5</v>
      </c>
    </row>
    <row r="6659">
      <c r="A6659" s="3">
        <v>829.0</v>
      </c>
      <c r="B6659" s="4">
        <v>45390.12362268518</v>
      </c>
      <c r="C6659" s="3" t="s">
        <v>5</v>
      </c>
    </row>
    <row r="6660">
      <c r="A6660" s="3">
        <v>3710.0</v>
      </c>
      <c r="B6660" s="4">
        <v>45390.12684027778</v>
      </c>
      <c r="C6660" s="3" t="s">
        <v>3</v>
      </c>
    </row>
    <row r="6661">
      <c r="A6661" s="3">
        <v>3051.0</v>
      </c>
      <c r="B6661" s="4">
        <v>45390.12935185185</v>
      </c>
      <c r="C6661" s="3" t="s">
        <v>5</v>
      </c>
    </row>
    <row r="6662">
      <c r="A6662" s="3">
        <v>1631.0</v>
      </c>
      <c r="B6662" s="4">
        <v>45390.1427662037</v>
      </c>
      <c r="C6662" s="3" t="s">
        <v>3</v>
      </c>
    </row>
    <row r="6663">
      <c r="A6663" s="3">
        <v>2739.0</v>
      </c>
      <c r="B6663" s="4">
        <v>45390.164085648146</v>
      </c>
      <c r="C6663" s="3" t="s">
        <v>3</v>
      </c>
    </row>
    <row r="6664">
      <c r="A6664" s="3">
        <v>7065.0</v>
      </c>
      <c r="B6664" s="4">
        <v>45390.17550925926</v>
      </c>
      <c r="C6664" s="3" t="s">
        <v>3</v>
      </c>
    </row>
    <row r="6665">
      <c r="A6665" s="3">
        <v>3510.0</v>
      </c>
      <c r="B6665" s="4">
        <v>45390.20768518518</v>
      </c>
      <c r="C6665" s="3" t="s">
        <v>3</v>
      </c>
    </row>
    <row r="6666">
      <c r="A6666" s="3">
        <v>2246.0</v>
      </c>
      <c r="B6666" s="4">
        <v>45390.27297453704</v>
      </c>
      <c r="C6666" s="3" t="s">
        <v>7</v>
      </c>
    </row>
    <row r="6667">
      <c r="A6667" s="3">
        <v>5973.0</v>
      </c>
      <c r="B6667" s="4">
        <v>45390.36770833333</v>
      </c>
      <c r="C6667" s="3" t="s">
        <v>3</v>
      </c>
    </row>
    <row r="6668">
      <c r="A6668" s="3">
        <v>3791.0</v>
      </c>
      <c r="B6668" s="4">
        <v>45390.401967592596</v>
      </c>
      <c r="C6668" s="3" t="s">
        <v>6</v>
      </c>
    </row>
    <row r="6669">
      <c r="A6669" s="3">
        <v>3091.0</v>
      </c>
      <c r="B6669" s="4">
        <v>45390.40962962963</v>
      </c>
      <c r="C6669" s="3" t="s">
        <v>3</v>
      </c>
    </row>
    <row r="6670">
      <c r="A6670" s="3">
        <v>1966.0</v>
      </c>
      <c r="B6670" s="4">
        <v>45390.41333333333</v>
      </c>
      <c r="C6670" s="3" t="s">
        <v>3</v>
      </c>
    </row>
    <row r="6671">
      <c r="A6671" s="3">
        <v>1325.0</v>
      </c>
      <c r="B6671" s="4">
        <v>45390.445023148146</v>
      </c>
      <c r="C6671" s="3" t="s">
        <v>3</v>
      </c>
    </row>
    <row r="6672">
      <c r="A6672" s="3">
        <v>258.0</v>
      </c>
      <c r="B6672" s="4">
        <v>45390.455659722225</v>
      </c>
      <c r="C6672" s="3" t="s">
        <v>7</v>
      </c>
    </row>
    <row r="6673">
      <c r="A6673" s="3">
        <v>1567.0</v>
      </c>
      <c r="B6673" s="4">
        <v>45390.48305555555</v>
      </c>
      <c r="C6673" s="3" t="s">
        <v>5</v>
      </c>
    </row>
    <row r="6674">
      <c r="A6674" s="3">
        <v>1567.0</v>
      </c>
      <c r="B6674" s="4">
        <v>45390.49439814815</v>
      </c>
      <c r="C6674" s="3" t="s">
        <v>3</v>
      </c>
    </row>
    <row r="6675">
      <c r="A6675" s="3">
        <v>1783.0</v>
      </c>
      <c r="B6675" s="4">
        <v>45390.494791666664</v>
      </c>
      <c r="C6675" s="3" t="s">
        <v>4</v>
      </c>
    </row>
    <row r="6676">
      <c r="A6676" s="3">
        <v>626.0</v>
      </c>
      <c r="B6676" s="4">
        <v>45390.50140046296</v>
      </c>
      <c r="C6676" s="3" t="s">
        <v>7</v>
      </c>
    </row>
    <row r="6677">
      <c r="A6677" s="3">
        <v>6588.0</v>
      </c>
      <c r="B6677" s="4">
        <v>45390.52614583333</v>
      </c>
      <c r="C6677" s="3" t="s">
        <v>6</v>
      </c>
    </row>
    <row r="6678">
      <c r="A6678" s="3">
        <v>2576.0</v>
      </c>
      <c r="B6678" s="4">
        <v>45390.56858796296</v>
      </c>
      <c r="C6678" s="3" t="s">
        <v>3</v>
      </c>
    </row>
    <row r="6679">
      <c r="A6679" s="3">
        <v>4394.0</v>
      </c>
      <c r="B6679" s="4">
        <v>45390.590046296296</v>
      </c>
      <c r="C6679" s="3" t="s">
        <v>6</v>
      </c>
    </row>
    <row r="6680">
      <c r="A6680" s="3">
        <v>5549.0</v>
      </c>
      <c r="B6680" s="4">
        <v>45390.60989583333</v>
      </c>
      <c r="C6680" s="3" t="s">
        <v>4</v>
      </c>
    </row>
    <row r="6681">
      <c r="A6681" s="3">
        <v>5210.0</v>
      </c>
      <c r="B6681" s="4">
        <v>45390.62086805556</v>
      </c>
      <c r="C6681" s="3" t="s">
        <v>4</v>
      </c>
    </row>
    <row r="6682">
      <c r="A6682" s="3">
        <v>3232.0</v>
      </c>
      <c r="B6682" s="4">
        <v>45390.632418981484</v>
      </c>
      <c r="C6682" s="3" t="s">
        <v>7</v>
      </c>
    </row>
    <row r="6683">
      <c r="A6683" s="3">
        <v>6088.0</v>
      </c>
      <c r="B6683" s="4">
        <v>45390.63287037037</v>
      </c>
      <c r="C6683" s="3" t="s">
        <v>4</v>
      </c>
    </row>
    <row r="6684">
      <c r="A6684" s="3">
        <v>7115.0</v>
      </c>
      <c r="B6684" s="4">
        <v>45390.64268518519</v>
      </c>
      <c r="C6684" s="3" t="s">
        <v>5</v>
      </c>
    </row>
    <row r="6685">
      <c r="A6685" s="3">
        <v>5097.0</v>
      </c>
      <c r="B6685" s="4">
        <v>45390.65305555556</v>
      </c>
      <c r="C6685" s="3" t="s">
        <v>3</v>
      </c>
    </row>
    <row r="6686">
      <c r="A6686" s="3">
        <v>5799.0</v>
      </c>
      <c r="B6686" s="4">
        <v>45390.65929398148</v>
      </c>
      <c r="C6686" s="3" t="s">
        <v>3</v>
      </c>
    </row>
    <row r="6687">
      <c r="A6687" s="3">
        <v>829.0</v>
      </c>
      <c r="B6687" s="4">
        <v>45390.66048611111</v>
      </c>
      <c r="C6687" s="3" t="s">
        <v>7</v>
      </c>
    </row>
    <row r="6688">
      <c r="A6688" s="3">
        <v>2269.0</v>
      </c>
      <c r="B6688" s="4">
        <v>45390.69390046296</v>
      </c>
      <c r="C6688" s="3" t="s">
        <v>6</v>
      </c>
    </row>
    <row r="6689">
      <c r="A6689" s="3">
        <v>5471.0</v>
      </c>
      <c r="B6689" s="4">
        <v>45390.71099537037</v>
      </c>
      <c r="C6689" s="3" t="s">
        <v>3</v>
      </c>
    </row>
    <row r="6690">
      <c r="A6690" s="3">
        <v>3852.0</v>
      </c>
      <c r="B6690" s="4">
        <v>45390.7209375</v>
      </c>
      <c r="C6690" s="3" t="s">
        <v>3</v>
      </c>
    </row>
    <row r="6691">
      <c r="A6691" s="3">
        <v>6669.0</v>
      </c>
      <c r="B6691" s="4">
        <v>45390.72895833333</v>
      </c>
      <c r="C6691" s="3" t="s">
        <v>3</v>
      </c>
    </row>
    <row r="6692">
      <c r="A6692" s="3">
        <v>3342.0</v>
      </c>
      <c r="B6692" s="4">
        <v>45390.769155092596</v>
      </c>
      <c r="C6692" s="3" t="s">
        <v>3</v>
      </c>
    </row>
    <row r="6693">
      <c r="A6693" s="3">
        <v>3204.0</v>
      </c>
      <c r="B6693" s="4">
        <v>45390.78082175926</v>
      </c>
      <c r="C6693" s="3" t="s">
        <v>6</v>
      </c>
    </row>
    <row r="6694">
      <c r="A6694" s="3">
        <v>4514.0</v>
      </c>
      <c r="B6694" s="4">
        <v>45390.79256944444</v>
      </c>
      <c r="C6694" s="3" t="s">
        <v>4</v>
      </c>
    </row>
    <row r="6695">
      <c r="A6695" s="3">
        <v>1644.0</v>
      </c>
      <c r="B6695" s="4">
        <v>45390.79292824074</v>
      </c>
      <c r="C6695" s="3" t="s">
        <v>7</v>
      </c>
    </row>
    <row r="6696">
      <c r="A6696" s="3">
        <v>1783.0</v>
      </c>
      <c r="B6696" s="4">
        <v>45390.82645833334</v>
      </c>
      <c r="C6696" s="3" t="s">
        <v>5</v>
      </c>
    </row>
    <row r="6697">
      <c r="A6697" s="3">
        <v>1085.0</v>
      </c>
      <c r="B6697" s="4">
        <v>45390.885775462964</v>
      </c>
      <c r="C6697" s="3" t="s">
        <v>5</v>
      </c>
    </row>
    <row r="6698">
      <c r="A6698" s="3">
        <v>2531.0</v>
      </c>
      <c r="B6698" s="4">
        <v>45390.89765046296</v>
      </c>
      <c r="C6698" s="3" t="s">
        <v>3</v>
      </c>
    </row>
    <row r="6699">
      <c r="A6699" s="3">
        <v>5254.0</v>
      </c>
      <c r="B6699" s="4">
        <v>45390.93601851852</v>
      </c>
      <c r="C6699" s="3" t="s">
        <v>4</v>
      </c>
    </row>
    <row r="6700">
      <c r="A6700" s="3">
        <v>2956.0</v>
      </c>
      <c r="B6700" s="4">
        <v>45390.95097222222</v>
      </c>
      <c r="C6700" s="3" t="s">
        <v>6</v>
      </c>
    </row>
    <row r="6701">
      <c r="A6701" s="3">
        <v>1966.0</v>
      </c>
      <c r="B6701" s="4">
        <v>45390.95898148148</v>
      </c>
      <c r="C6701" s="3" t="s">
        <v>4</v>
      </c>
    </row>
    <row r="6702">
      <c r="A6702" s="3">
        <v>1035.0</v>
      </c>
      <c r="B6702" s="4">
        <v>45391.01238425926</v>
      </c>
      <c r="C6702" s="3" t="s">
        <v>3</v>
      </c>
    </row>
    <row r="6703">
      <c r="A6703" s="3">
        <v>7418.0</v>
      </c>
      <c r="B6703" s="4">
        <v>45391.01572916667</v>
      </c>
      <c r="C6703" s="3" t="s">
        <v>5</v>
      </c>
    </row>
    <row r="6704">
      <c r="A6704" s="3">
        <v>5065.0</v>
      </c>
      <c r="B6704" s="4">
        <v>45391.01856481482</v>
      </c>
      <c r="C6704" s="3" t="s">
        <v>3</v>
      </c>
    </row>
    <row r="6705">
      <c r="A6705" s="3">
        <v>1567.0</v>
      </c>
      <c r="B6705" s="4">
        <v>45391.03942129629</v>
      </c>
      <c r="C6705" s="3" t="s">
        <v>6</v>
      </c>
    </row>
    <row r="6706">
      <c r="A6706" s="3">
        <v>4657.0</v>
      </c>
      <c r="B6706" s="4">
        <v>45391.09921296296</v>
      </c>
      <c r="C6706" s="3" t="s">
        <v>4</v>
      </c>
    </row>
    <row r="6707">
      <c r="A6707" s="3">
        <v>2903.0</v>
      </c>
      <c r="B6707" s="4">
        <v>45391.137766203705</v>
      </c>
      <c r="C6707" s="3" t="s">
        <v>3</v>
      </c>
    </row>
    <row r="6708">
      <c r="A6708" s="3">
        <v>1865.0</v>
      </c>
      <c r="B6708" s="4">
        <v>45391.14947916667</v>
      </c>
      <c r="C6708" s="3" t="s">
        <v>3</v>
      </c>
    </row>
    <row r="6709">
      <c r="A6709" s="3">
        <v>3577.0</v>
      </c>
      <c r="B6709" s="4">
        <v>45391.16394675926</v>
      </c>
      <c r="C6709" s="3" t="s">
        <v>3</v>
      </c>
    </row>
    <row r="6710">
      <c r="A6710" s="3">
        <v>5348.0</v>
      </c>
      <c r="B6710" s="4">
        <v>45391.16818287037</v>
      </c>
      <c r="C6710" s="3" t="s">
        <v>3</v>
      </c>
    </row>
    <row r="6711">
      <c r="A6711" s="3">
        <v>2597.0</v>
      </c>
      <c r="B6711" s="4">
        <v>45391.213171296295</v>
      </c>
      <c r="C6711" s="3" t="s">
        <v>3</v>
      </c>
    </row>
    <row r="6712">
      <c r="A6712" s="3">
        <v>626.0</v>
      </c>
      <c r="B6712" s="4">
        <v>45391.238958333335</v>
      </c>
      <c r="C6712" s="3" t="s">
        <v>6</v>
      </c>
    </row>
    <row r="6713">
      <c r="A6713" s="3">
        <v>2349.0</v>
      </c>
      <c r="B6713" s="4">
        <v>45391.26226851852</v>
      </c>
      <c r="C6713" s="3" t="s">
        <v>4</v>
      </c>
    </row>
    <row r="6714">
      <c r="A6714" s="3">
        <v>6861.0</v>
      </c>
      <c r="B6714" s="4">
        <v>45391.277592592596</v>
      </c>
      <c r="C6714" s="3" t="s">
        <v>4</v>
      </c>
    </row>
    <row r="6715">
      <c r="A6715" s="3">
        <v>7065.0</v>
      </c>
      <c r="B6715" s="4">
        <v>45391.29038194445</v>
      </c>
      <c r="C6715" s="3" t="s">
        <v>4</v>
      </c>
    </row>
    <row r="6716">
      <c r="A6716" s="3">
        <v>2743.0</v>
      </c>
      <c r="B6716" s="4">
        <v>45391.315775462965</v>
      </c>
      <c r="C6716" s="3" t="s">
        <v>3</v>
      </c>
    </row>
    <row r="6717">
      <c r="A6717" s="3">
        <v>1114.0</v>
      </c>
      <c r="B6717" s="4">
        <v>45391.36329861111</v>
      </c>
      <c r="C6717" s="3" t="s">
        <v>5</v>
      </c>
    </row>
    <row r="6718">
      <c r="A6718" s="3">
        <v>5968.0</v>
      </c>
      <c r="B6718" s="4">
        <v>45391.407546296294</v>
      </c>
      <c r="C6718" s="3" t="s">
        <v>3</v>
      </c>
    </row>
    <row r="6719">
      <c r="A6719" s="3">
        <v>2474.0</v>
      </c>
      <c r="B6719" s="4">
        <v>45391.41105324074</v>
      </c>
      <c r="C6719" s="3" t="s">
        <v>7</v>
      </c>
    </row>
    <row r="6720">
      <c r="A6720" s="3">
        <v>5403.0</v>
      </c>
      <c r="B6720" s="4">
        <v>45391.42009259259</v>
      </c>
      <c r="C6720" s="3" t="s">
        <v>3</v>
      </c>
    </row>
    <row r="6721">
      <c r="A6721" s="3">
        <v>5879.0</v>
      </c>
      <c r="B6721" s="4">
        <v>45391.42239583333</v>
      </c>
      <c r="C6721" s="3" t="s">
        <v>3</v>
      </c>
    </row>
    <row r="6722">
      <c r="A6722" s="3">
        <v>764.0</v>
      </c>
      <c r="B6722" s="4">
        <v>45391.4271875</v>
      </c>
      <c r="C6722" s="3" t="s">
        <v>6</v>
      </c>
    </row>
    <row r="6723">
      <c r="A6723" s="3">
        <v>5281.0</v>
      </c>
      <c r="B6723" s="4">
        <v>45391.42996527778</v>
      </c>
      <c r="C6723" s="3" t="s">
        <v>3</v>
      </c>
    </row>
    <row r="6724">
      <c r="A6724" s="3">
        <v>7903.0</v>
      </c>
      <c r="B6724" s="4">
        <v>45391.44608796296</v>
      </c>
      <c r="C6724" s="3" t="s">
        <v>4</v>
      </c>
    </row>
    <row r="6725">
      <c r="A6725" s="3">
        <v>3282.0</v>
      </c>
      <c r="B6725" s="4">
        <v>45391.455046296294</v>
      </c>
      <c r="C6725" s="3" t="s">
        <v>3</v>
      </c>
    </row>
    <row r="6726">
      <c r="A6726" s="3">
        <v>1953.0</v>
      </c>
      <c r="B6726" s="4">
        <v>45391.479675925926</v>
      </c>
      <c r="C6726" s="3" t="s">
        <v>6</v>
      </c>
    </row>
    <row r="6727">
      <c r="A6727" s="3">
        <v>3051.0</v>
      </c>
      <c r="B6727" s="4">
        <v>45391.48431712963</v>
      </c>
      <c r="C6727" s="3" t="s">
        <v>7</v>
      </c>
    </row>
    <row r="6728">
      <c r="A6728" s="3">
        <v>4991.0</v>
      </c>
      <c r="B6728" s="4">
        <v>45391.49829861111</v>
      </c>
      <c r="C6728" s="3" t="s">
        <v>3</v>
      </c>
    </row>
    <row r="6729">
      <c r="A6729" s="3">
        <v>5963.0</v>
      </c>
      <c r="B6729" s="4">
        <v>45391.502430555556</v>
      </c>
      <c r="C6729" s="3" t="s">
        <v>5</v>
      </c>
    </row>
    <row r="6730">
      <c r="A6730" s="3">
        <v>72.0</v>
      </c>
      <c r="B6730" s="4">
        <v>45391.541712962964</v>
      </c>
      <c r="C6730" s="3" t="s">
        <v>3</v>
      </c>
    </row>
    <row r="6731">
      <c r="A6731" s="3">
        <v>1453.0</v>
      </c>
      <c r="B6731" s="4">
        <v>45391.56175925926</v>
      </c>
      <c r="C6731" s="3" t="s">
        <v>6</v>
      </c>
    </row>
    <row r="6732">
      <c r="A6732" s="3">
        <v>72.0</v>
      </c>
      <c r="B6732" s="4">
        <v>45391.583078703705</v>
      </c>
      <c r="C6732" s="3" t="s">
        <v>4</v>
      </c>
    </row>
    <row r="6733">
      <c r="A6733" s="3">
        <v>1169.0</v>
      </c>
      <c r="B6733" s="4">
        <v>45391.586331018516</v>
      </c>
      <c r="C6733" s="3" t="s">
        <v>3</v>
      </c>
    </row>
    <row r="6734">
      <c r="A6734" s="3">
        <v>1306.0</v>
      </c>
      <c r="B6734" s="4">
        <v>45391.60973379629</v>
      </c>
      <c r="C6734" s="3" t="s">
        <v>4</v>
      </c>
    </row>
    <row r="6735">
      <c r="A6735" s="3">
        <v>6881.0</v>
      </c>
      <c r="B6735" s="4">
        <v>45391.65300925926</v>
      </c>
      <c r="C6735" s="3" t="s">
        <v>6</v>
      </c>
    </row>
    <row r="6736">
      <c r="A6736" s="3">
        <v>3631.0</v>
      </c>
      <c r="B6736" s="4">
        <v>45391.65824074074</v>
      </c>
      <c r="C6736" s="3" t="s">
        <v>3</v>
      </c>
    </row>
    <row r="6737">
      <c r="A6737" s="3">
        <v>7599.0</v>
      </c>
      <c r="B6737" s="4">
        <v>45391.672314814816</v>
      </c>
      <c r="C6737" s="3" t="s">
        <v>6</v>
      </c>
    </row>
    <row r="6738">
      <c r="A6738" s="3">
        <v>1660.0</v>
      </c>
      <c r="B6738" s="4">
        <v>45391.67601851852</v>
      </c>
      <c r="C6738" s="3" t="s">
        <v>3</v>
      </c>
    </row>
    <row r="6739">
      <c r="A6739" s="3">
        <v>5799.0</v>
      </c>
      <c r="B6739" s="4">
        <v>45391.67731481481</v>
      </c>
      <c r="C6739" s="3" t="s">
        <v>4</v>
      </c>
    </row>
    <row r="6740">
      <c r="A6740" s="3">
        <v>3091.0</v>
      </c>
      <c r="B6740" s="4">
        <v>45391.69629629629</v>
      </c>
      <c r="C6740" s="3" t="s">
        <v>4</v>
      </c>
    </row>
    <row r="6741">
      <c r="A6741" s="3">
        <v>7814.0</v>
      </c>
      <c r="B6741" s="4">
        <v>45391.724641203706</v>
      </c>
      <c r="C6741" s="3" t="s">
        <v>3</v>
      </c>
    </row>
    <row r="6742">
      <c r="A6742" s="3">
        <v>5398.0</v>
      </c>
      <c r="B6742" s="4">
        <v>45391.76336805556</v>
      </c>
      <c r="C6742" s="3" t="s">
        <v>4</v>
      </c>
    </row>
    <row r="6743">
      <c r="A6743" s="3">
        <v>2457.0</v>
      </c>
      <c r="B6743" s="4">
        <v>45391.76415509259</v>
      </c>
      <c r="C6743" s="3" t="s">
        <v>5</v>
      </c>
    </row>
    <row r="6744">
      <c r="A6744" s="3">
        <v>7099.0</v>
      </c>
      <c r="B6744" s="4">
        <v>45391.77979166667</v>
      </c>
      <c r="C6744" s="3" t="s">
        <v>4</v>
      </c>
    </row>
    <row r="6745">
      <c r="A6745" s="3">
        <v>429.0</v>
      </c>
      <c r="B6745" s="4">
        <v>45391.7934375</v>
      </c>
      <c r="C6745" s="3" t="s">
        <v>3</v>
      </c>
    </row>
    <row r="6746">
      <c r="A6746" s="3">
        <v>5050.0</v>
      </c>
      <c r="B6746" s="4">
        <v>45391.800625</v>
      </c>
      <c r="C6746" s="3" t="s">
        <v>6</v>
      </c>
    </row>
    <row r="6747">
      <c r="A6747" s="3">
        <v>1660.0</v>
      </c>
      <c r="B6747" s="4">
        <v>45391.81450231482</v>
      </c>
      <c r="C6747" s="3" t="s">
        <v>4</v>
      </c>
    </row>
    <row r="6748">
      <c r="A6748" s="3">
        <v>3191.0</v>
      </c>
      <c r="B6748" s="4">
        <v>45391.81674768519</v>
      </c>
      <c r="C6748" s="3" t="s">
        <v>3</v>
      </c>
    </row>
    <row r="6749">
      <c r="A6749" s="3">
        <v>6464.0</v>
      </c>
      <c r="B6749" s="4">
        <v>45391.829189814816</v>
      </c>
      <c r="C6749" s="3" t="s">
        <v>3</v>
      </c>
    </row>
    <row r="6750">
      <c r="A6750" s="3">
        <v>2361.0</v>
      </c>
      <c r="B6750" s="4">
        <v>45391.83650462963</v>
      </c>
      <c r="C6750" s="3" t="s">
        <v>4</v>
      </c>
    </row>
    <row r="6751">
      <c r="A6751" s="3">
        <v>220.0</v>
      </c>
      <c r="B6751" s="4">
        <v>45391.84354166667</v>
      </c>
      <c r="C6751" s="3" t="s">
        <v>3</v>
      </c>
    </row>
    <row r="6752">
      <c r="A6752" s="3">
        <v>1361.0</v>
      </c>
      <c r="B6752" s="4">
        <v>45391.861284722225</v>
      </c>
      <c r="C6752" s="3" t="s">
        <v>3</v>
      </c>
    </row>
    <row r="6753">
      <c r="A6753" s="3">
        <v>2262.0</v>
      </c>
      <c r="B6753" s="4">
        <v>45391.921319444446</v>
      </c>
      <c r="C6753" s="3" t="s">
        <v>3</v>
      </c>
    </row>
    <row r="6754">
      <c r="A6754" s="3">
        <v>7827.0</v>
      </c>
      <c r="B6754" s="4">
        <v>45391.94498842592</v>
      </c>
      <c r="C6754" s="3" t="s">
        <v>3</v>
      </c>
    </row>
    <row r="6755">
      <c r="A6755" s="3">
        <v>5162.0</v>
      </c>
      <c r="B6755" s="4">
        <v>45391.94730324074</v>
      </c>
      <c r="C6755" s="3" t="s">
        <v>3</v>
      </c>
    </row>
    <row r="6756">
      <c r="A6756" s="3">
        <v>4690.0</v>
      </c>
      <c r="B6756" s="4">
        <v>45391.979409722226</v>
      </c>
      <c r="C6756" s="3" t="s">
        <v>5</v>
      </c>
    </row>
    <row r="6757">
      <c r="A6757" s="3">
        <v>169.0</v>
      </c>
      <c r="B6757" s="4">
        <v>45391.98505787037</v>
      </c>
      <c r="C6757" s="3" t="s">
        <v>6</v>
      </c>
    </row>
    <row r="6758">
      <c r="A6758" s="3">
        <v>5398.0</v>
      </c>
      <c r="B6758" s="4">
        <v>45391.995671296296</v>
      </c>
      <c r="C6758" s="3" t="s">
        <v>3</v>
      </c>
    </row>
    <row r="6759">
      <c r="A6759" s="3">
        <v>7115.0</v>
      </c>
      <c r="B6759" s="4">
        <v>45392.02135416667</v>
      </c>
      <c r="C6759" s="3" t="s">
        <v>6</v>
      </c>
    </row>
    <row r="6760">
      <c r="A6760" s="3">
        <v>739.0</v>
      </c>
      <c r="B6760" s="4">
        <v>45392.02241898148</v>
      </c>
      <c r="C6760" s="3" t="s">
        <v>3</v>
      </c>
    </row>
    <row r="6761">
      <c r="A6761" s="3">
        <v>7223.0</v>
      </c>
      <c r="B6761" s="4">
        <v>45392.03398148148</v>
      </c>
      <c r="C6761" s="3" t="s">
        <v>3</v>
      </c>
    </row>
    <row r="6762">
      <c r="A6762" s="3">
        <v>1085.0</v>
      </c>
      <c r="B6762" s="4">
        <v>45392.04693287037</v>
      </c>
      <c r="C6762" s="3" t="s">
        <v>6</v>
      </c>
    </row>
    <row r="6763">
      <c r="A6763" s="3">
        <v>3106.0</v>
      </c>
      <c r="B6763" s="4">
        <v>45392.06215277778</v>
      </c>
      <c r="C6763" s="3" t="s">
        <v>6</v>
      </c>
    </row>
    <row r="6764">
      <c r="A6764" s="3">
        <v>3981.0</v>
      </c>
      <c r="B6764" s="4">
        <v>45392.064884259256</v>
      </c>
      <c r="C6764" s="3" t="s">
        <v>6</v>
      </c>
    </row>
    <row r="6765">
      <c r="A6765" s="3">
        <v>7223.0</v>
      </c>
      <c r="B6765" s="4">
        <v>45392.084861111114</v>
      </c>
      <c r="C6765" s="3" t="s">
        <v>4</v>
      </c>
    </row>
    <row r="6766">
      <c r="A6766" s="3">
        <v>2021.0</v>
      </c>
      <c r="B6766" s="4">
        <v>45392.09577546296</v>
      </c>
      <c r="C6766" s="3" t="s">
        <v>7</v>
      </c>
    </row>
    <row r="6767">
      <c r="A6767" s="3">
        <v>3289.0</v>
      </c>
      <c r="B6767" s="4">
        <v>45392.13513888889</v>
      </c>
      <c r="C6767" s="3" t="s">
        <v>6</v>
      </c>
    </row>
    <row r="6768">
      <c r="A6768" s="3">
        <v>1865.0</v>
      </c>
      <c r="B6768" s="4">
        <v>45392.14040509259</v>
      </c>
      <c r="C6768" s="3" t="s">
        <v>4</v>
      </c>
    </row>
    <row r="6769">
      <c r="A6769" s="3">
        <v>5065.0</v>
      </c>
      <c r="B6769" s="4">
        <v>45392.14041666667</v>
      </c>
      <c r="C6769" s="3" t="s">
        <v>7</v>
      </c>
    </row>
    <row r="6770">
      <c r="A6770" s="3">
        <v>6464.0</v>
      </c>
      <c r="B6770" s="4">
        <v>45392.14703703704</v>
      </c>
      <c r="C6770" s="3" t="s">
        <v>5</v>
      </c>
    </row>
    <row r="6771">
      <c r="A6771" s="3">
        <v>1865.0</v>
      </c>
      <c r="B6771" s="4">
        <v>45392.156006944446</v>
      </c>
      <c r="C6771" s="3" t="s">
        <v>6</v>
      </c>
    </row>
    <row r="6772">
      <c r="A6772" s="3">
        <v>2906.0</v>
      </c>
      <c r="B6772" s="4">
        <v>45392.16678240741</v>
      </c>
      <c r="C6772" s="3" t="s">
        <v>6</v>
      </c>
    </row>
    <row r="6773">
      <c r="A6773" s="3">
        <v>1856.0</v>
      </c>
      <c r="B6773" s="4">
        <v>45392.201527777775</v>
      </c>
      <c r="C6773" s="3" t="s">
        <v>3</v>
      </c>
    </row>
    <row r="6774">
      <c r="A6774" s="3">
        <v>2531.0</v>
      </c>
      <c r="B6774" s="4">
        <v>45392.26851851852</v>
      </c>
      <c r="C6774" s="3" t="s">
        <v>4</v>
      </c>
    </row>
    <row r="6775">
      <c r="A6775" s="3">
        <v>6903.0</v>
      </c>
      <c r="B6775" s="4">
        <v>45392.27442129629</v>
      </c>
      <c r="C6775" s="3" t="s">
        <v>3</v>
      </c>
    </row>
    <row r="6776">
      <c r="A6776" s="3">
        <v>1200.0</v>
      </c>
      <c r="B6776" s="4">
        <v>45392.27943287037</v>
      </c>
      <c r="C6776" s="3" t="s">
        <v>3</v>
      </c>
    </row>
    <row r="6777">
      <c r="A6777" s="3">
        <v>2081.0</v>
      </c>
      <c r="B6777" s="4">
        <v>45392.33765046296</v>
      </c>
      <c r="C6777" s="3" t="s">
        <v>6</v>
      </c>
    </row>
    <row r="6778">
      <c r="A6778" s="3">
        <v>902.0</v>
      </c>
      <c r="B6778" s="4">
        <v>45392.34673611111</v>
      </c>
      <c r="C6778" s="3" t="s">
        <v>3</v>
      </c>
    </row>
    <row r="6779">
      <c r="A6779" s="3">
        <v>7903.0</v>
      </c>
      <c r="B6779" s="4">
        <v>45392.394155092596</v>
      </c>
      <c r="C6779" s="3" t="s">
        <v>7</v>
      </c>
    </row>
    <row r="6780">
      <c r="A6780" s="3">
        <v>4658.0</v>
      </c>
      <c r="B6780" s="4">
        <v>45392.39524305556</v>
      </c>
      <c r="C6780" s="3" t="s">
        <v>6</v>
      </c>
    </row>
    <row r="6781">
      <c r="A6781" s="3">
        <v>3472.0</v>
      </c>
      <c r="B6781" s="4">
        <v>45392.40222222222</v>
      </c>
      <c r="C6781" s="3" t="s">
        <v>3</v>
      </c>
    </row>
    <row r="6782">
      <c r="A6782" s="3">
        <v>70.0</v>
      </c>
      <c r="B6782" s="4">
        <v>45392.43140046296</v>
      </c>
      <c r="C6782" s="3" t="s">
        <v>3</v>
      </c>
    </row>
    <row r="6783">
      <c r="A6783" s="3">
        <v>5456.0</v>
      </c>
      <c r="B6783" s="4">
        <v>45392.44688657407</v>
      </c>
      <c r="C6783" s="3" t="s">
        <v>3</v>
      </c>
    </row>
    <row r="6784">
      <c r="A6784" s="3">
        <v>1413.0</v>
      </c>
      <c r="B6784" s="4">
        <v>45392.44793981482</v>
      </c>
      <c r="C6784" s="3" t="s">
        <v>6</v>
      </c>
    </row>
    <row r="6785">
      <c r="A6785" s="3">
        <v>3239.0</v>
      </c>
      <c r="B6785" s="4">
        <v>45392.45590277778</v>
      </c>
      <c r="C6785" s="3" t="s">
        <v>5</v>
      </c>
    </row>
    <row r="6786">
      <c r="A6786" s="3">
        <v>7067.0</v>
      </c>
      <c r="B6786" s="4">
        <v>45392.460648148146</v>
      </c>
      <c r="C6786" s="3" t="s">
        <v>3</v>
      </c>
    </row>
    <row r="6787">
      <c r="A6787" s="3">
        <v>7065.0</v>
      </c>
      <c r="B6787" s="4">
        <v>45392.46711805555</v>
      </c>
      <c r="C6787" s="3" t="s">
        <v>5</v>
      </c>
    </row>
    <row r="6788">
      <c r="A6788" s="3">
        <v>5254.0</v>
      </c>
      <c r="B6788" s="4">
        <v>45392.46916666667</v>
      </c>
      <c r="C6788" s="3" t="s">
        <v>6</v>
      </c>
    </row>
    <row r="6789">
      <c r="A6789" s="3">
        <v>5484.0</v>
      </c>
      <c r="B6789" s="4">
        <v>45392.49407407407</v>
      </c>
      <c r="C6789" s="3" t="s">
        <v>3</v>
      </c>
    </row>
    <row r="6790">
      <c r="A6790" s="3">
        <v>3940.0</v>
      </c>
      <c r="B6790" s="4">
        <v>45392.52006944444</v>
      </c>
      <c r="C6790" s="3" t="s">
        <v>3</v>
      </c>
    </row>
    <row r="6791">
      <c r="A6791" s="3">
        <v>5128.0</v>
      </c>
      <c r="B6791" s="4">
        <v>45392.52190972222</v>
      </c>
      <c r="C6791" s="3" t="s">
        <v>3</v>
      </c>
    </row>
    <row r="6792">
      <c r="A6792" s="3">
        <v>4657.0</v>
      </c>
      <c r="B6792" s="4">
        <v>45392.52334490741</v>
      </c>
      <c r="C6792" s="3" t="s">
        <v>5</v>
      </c>
    </row>
    <row r="6793">
      <c r="A6793" s="3">
        <v>6307.0</v>
      </c>
      <c r="B6793" s="4">
        <v>45392.533680555556</v>
      </c>
      <c r="C6793" s="3" t="s">
        <v>3</v>
      </c>
    </row>
    <row r="6794">
      <c r="A6794" s="3">
        <v>3800.0</v>
      </c>
      <c r="B6794" s="4">
        <v>45392.55091435185</v>
      </c>
      <c r="C6794" s="3" t="s">
        <v>6</v>
      </c>
    </row>
    <row r="6795">
      <c r="A6795" s="3">
        <v>6483.0</v>
      </c>
      <c r="B6795" s="4">
        <v>45392.56025462963</v>
      </c>
      <c r="C6795" s="3" t="s">
        <v>4</v>
      </c>
    </row>
    <row r="6796">
      <c r="A6796" s="3">
        <v>5403.0</v>
      </c>
      <c r="B6796" s="4">
        <v>45392.58005787037</v>
      </c>
      <c r="C6796" s="3" t="s">
        <v>6</v>
      </c>
    </row>
    <row r="6797">
      <c r="A6797" s="3">
        <v>5974.0</v>
      </c>
      <c r="B6797" s="4">
        <v>45392.60636574074</v>
      </c>
      <c r="C6797" s="3" t="s">
        <v>3</v>
      </c>
    </row>
    <row r="6798">
      <c r="A6798" s="3">
        <v>1169.0</v>
      </c>
      <c r="B6798" s="4">
        <v>45392.642164351855</v>
      </c>
      <c r="C6798" s="3" t="s">
        <v>4</v>
      </c>
    </row>
    <row r="6799">
      <c r="A6799" s="3">
        <v>6649.0</v>
      </c>
      <c r="B6799" s="4">
        <v>45392.648310185185</v>
      </c>
      <c r="C6799" s="3" t="s">
        <v>3</v>
      </c>
    </row>
    <row r="6800">
      <c r="A6800" s="3">
        <v>1966.0</v>
      </c>
      <c r="B6800" s="4">
        <v>45392.701527777775</v>
      </c>
      <c r="C6800" s="3" t="s">
        <v>5</v>
      </c>
    </row>
    <row r="6801">
      <c r="A6801" s="3">
        <v>7878.0</v>
      </c>
      <c r="B6801" s="4">
        <v>45392.70282407408</v>
      </c>
      <c r="C6801" s="3" t="s">
        <v>3</v>
      </c>
    </row>
    <row r="6802">
      <c r="A6802" s="3">
        <v>2486.0</v>
      </c>
      <c r="B6802" s="4">
        <v>45392.74150462963</v>
      </c>
      <c r="C6802" s="3" t="s">
        <v>3</v>
      </c>
    </row>
    <row r="6803">
      <c r="A6803" s="3">
        <v>2246.0</v>
      </c>
      <c r="B6803" s="4">
        <v>45392.74420138889</v>
      </c>
      <c r="C6803" s="3" t="s">
        <v>6</v>
      </c>
    </row>
    <row r="6804">
      <c r="A6804" s="3">
        <v>379.0</v>
      </c>
      <c r="B6804" s="4">
        <v>45392.77560185185</v>
      </c>
      <c r="C6804" s="3" t="s">
        <v>3</v>
      </c>
    </row>
    <row r="6805">
      <c r="A6805" s="3">
        <v>5065.0</v>
      </c>
      <c r="B6805" s="4">
        <v>45392.78533564815</v>
      </c>
      <c r="C6805" s="3" t="s">
        <v>6</v>
      </c>
    </row>
    <row r="6806">
      <c r="A6806" s="3">
        <v>276.0</v>
      </c>
      <c r="B6806" s="4">
        <v>45392.83521990741</v>
      </c>
      <c r="C6806" s="3" t="s">
        <v>3</v>
      </c>
    </row>
    <row r="6807">
      <c r="A6807" s="3">
        <v>2929.0</v>
      </c>
      <c r="B6807" s="4">
        <v>45392.842152777775</v>
      </c>
      <c r="C6807" s="3" t="s">
        <v>3</v>
      </c>
    </row>
    <row r="6808">
      <c r="A6808" s="3">
        <v>6483.0</v>
      </c>
      <c r="B6808" s="4">
        <v>45392.8546875</v>
      </c>
      <c r="C6808" s="3" t="s">
        <v>3</v>
      </c>
    </row>
    <row r="6809">
      <c r="A6809" s="3">
        <v>4559.0</v>
      </c>
      <c r="B6809" s="4">
        <v>45392.870208333334</v>
      </c>
      <c r="C6809" s="3" t="s">
        <v>3</v>
      </c>
    </row>
    <row r="6810">
      <c r="A6810" s="3">
        <v>636.0</v>
      </c>
      <c r="B6810" s="4">
        <v>45392.87657407407</v>
      </c>
      <c r="C6810" s="3" t="s">
        <v>3</v>
      </c>
    </row>
    <row r="6811">
      <c r="A6811" s="3">
        <v>1142.0</v>
      </c>
      <c r="B6811" s="4">
        <v>45392.91302083333</v>
      </c>
      <c r="C6811" s="3" t="s">
        <v>4</v>
      </c>
    </row>
    <row r="6812">
      <c r="A6812" s="3">
        <v>1749.0</v>
      </c>
      <c r="B6812" s="4">
        <v>45392.92225694445</v>
      </c>
      <c r="C6812" s="3" t="s">
        <v>3</v>
      </c>
    </row>
    <row r="6813">
      <c r="A6813" s="3">
        <v>4846.0</v>
      </c>
      <c r="B6813" s="4">
        <v>45392.95400462963</v>
      </c>
      <c r="C6813" s="3" t="s">
        <v>7</v>
      </c>
    </row>
    <row r="6814">
      <c r="A6814" s="3">
        <v>1673.0</v>
      </c>
      <c r="B6814" s="4">
        <v>45392.95585648148</v>
      </c>
      <c r="C6814" s="3" t="s">
        <v>3</v>
      </c>
    </row>
    <row r="6815">
      <c r="A6815" s="3">
        <v>1966.0</v>
      </c>
      <c r="B6815" s="4">
        <v>45392.95684027778</v>
      </c>
      <c r="C6815" s="3" t="s">
        <v>6</v>
      </c>
    </row>
    <row r="6816">
      <c r="A6816" s="3">
        <v>3755.0</v>
      </c>
      <c r="B6816" s="4">
        <v>45392.96068287037</v>
      </c>
      <c r="C6816" s="3" t="s">
        <v>3</v>
      </c>
    </row>
    <row r="6817">
      <c r="A6817" s="3">
        <v>2711.0</v>
      </c>
      <c r="B6817" s="4">
        <v>45392.978310185186</v>
      </c>
      <c r="C6817" s="3" t="s">
        <v>3</v>
      </c>
    </row>
    <row r="6818">
      <c r="A6818" s="3">
        <v>2573.0</v>
      </c>
      <c r="B6818" s="4">
        <v>45392.98483796296</v>
      </c>
      <c r="C6818" s="3" t="s">
        <v>3</v>
      </c>
    </row>
    <row r="6819">
      <c r="A6819" s="3">
        <v>533.0</v>
      </c>
      <c r="B6819" s="4">
        <v>45392.98496527778</v>
      </c>
      <c r="C6819" s="3" t="s">
        <v>6</v>
      </c>
    </row>
    <row r="6820">
      <c r="A6820" s="3">
        <v>1794.0</v>
      </c>
      <c r="B6820" s="4">
        <v>45392.98956018518</v>
      </c>
      <c r="C6820" s="3" t="s">
        <v>5</v>
      </c>
    </row>
    <row r="6821">
      <c r="A6821" s="3">
        <v>6101.0</v>
      </c>
      <c r="B6821" s="4">
        <v>45393.00853009259</v>
      </c>
      <c r="C6821" s="3" t="s">
        <v>3</v>
      </c>
    </row>
    <row r="6822">
      <c r="A6822" s="3">
        <v>5549.0</v>
      </c>
      <c r="B6822" s="4">
        <v>45393.04116898148</v>
      </c>
      <c r="C6822" s="3" t="s">
        <v>5</v>
      </c>
    </row>
    <row r="6823">
      <c r="A6823" s="3">
        <v>2573.0</v>
      </c>
      <c r="B6823" s="4">
        <v>45393.04851851852</v>
      </c>
      <c r="C6823" s="3" t="s">
        <v>4</v>
      </c>
    </row>
    <row r="6824">
      <c r="A6824" s="3">
        <v>1650.0</v>
      </c>
      <c r="B6824" s="4">
        <v>45393.05001157407</v>
      </c>
      <c r="C6824" s="3" t="s">
        <v>4</v>
      </c>
    </row>
    <row r="6825">
      <c r="A6825" s="3">
        <v>6881.0</v>
      </c>
      <c r="B6825" s="4">
        <v>45393.093125</v>
      </c>
      <c r="C6825" s="3" t="s">
        <v>7</v>
      </c>
    </row>
    <row r="6826">
      <c r="A6826" s="3">
        <v>2749.0</v>
      </c>
      <c r="B6826" s="4">
        <v>45393.10134259259</v>
      </c>
      <c r="C6826" s="3" t="s">
        <v>7</v>
      </c>
    </row>
    <row r="6827">
      <c r="A6827" s="3">
        <v>5484.0</v>
      </c>
      <c r="B6827" s="4">
        <v>45393.131886574076</v>
      </c>
      <c r="C6827" s="3" t="s">
        <v>4</v>
      </c>
    </row>
    <row r="6828">
      <c r="A6828" s="3">
        <v>5799.0</v>
      </c>
      <c r="B6828" s="4">
        <v>45393.15446759259</v>
      </c>
      <c r="C6828" s="3" t="s">
        <v>5</v>
      </c>
    </row>
    <row r="6829">
      <c r="A6829" s="3">
        <v>4657.0</v>
      </c>
      <c r="B6829" s="4">
        <v>45393.204618055555</v>
      </c>
      <c r="C6829" s="3" t="s">
        <v>7</v>
      </c>
    </row>
    <row r="6830">
      <c r="A6830" s="3">
        <v>6837.0</v>
      </c>
      <c r="B6830" s="4">
        <v>45393.20875</v>
      </c>
      <c r="C6830" s="3" t="s">
        <v>3</v>
      </c>
    </row>
    <row r="6831">
      <c r="A6831" s="3">
        <v>5210.0</v>
      </c>
      <c r="B6831" s="4">
        <v>45393.217986111114</v>
      </c>
      <c r="C6831" s="3" t="s">
        <v>6</v>
      </c>
    </row>
    <row r="6832">
      <c r="A6832" s="3">
        <v>5065.0</v>
      </c>
      <c r="B6832" s="4">
        <v>45393.22822916666</v>
      </c>
      <c r="C6832" s="3" t="s">
        <v>4</v>
      </c>
    </row>
    <row r="6833">
      <c r="A6833" s="3">
        <v>2593.0</v>
      </c>
      <c r="B6833" s="4">
        <v>45393.22871527778</v>
      </c>
      <c r="C6833" s="3" t="s">
        <v>3</v>
      </c>
    </row>
    <row r="6834">
      <c r="A6834" s="3">
        <v>5050.0</v>
      </c>
      <c r="B6834" s="4">
        <v>45393.230462962965</v>
      </c>
      <c r="C6834" s="3" t="s">
        <v>7</v>
      </c>
    </row>
    <row r="6835">
      <c r="A6835" s="3">
        <v>6483.0</v>
      </c>
      <c r="B6835" s="4">
        <v>45393.23962962963</v>
      </c>
      <c r="C6835" s="3" t="s">
        <v>5</v>
      </c>
    </row>
    <row r="6836">
      <c r="A6836" s="3">
        <v>6464.0</v>
      </c>
      <c r="B6836" s="4">
        <v>45393.250925925924</v>
      </c>
      <c r="C6836" s="3" t="s">
        <v>4</v>
      </c>
    </row>
    <row r="6837">
      <c r="A6837" s="3">
        <v>379.0</v>
      </c>
      <c r="B6837" s="4">
        <v>45393.272824074076</v>
      </c>
      <c r="C6837" s="3" t="s">
        <v>4</v>
      </c>
    </row>
    <row r="6838">
      <c r="A6838" s="3">
        <v>5521.0</v>
      </c>
      <c r="B6838" s="4">
        <v>45393.28616898148</v>
      </c>
      <c r="C6838" s="3" t="s">
        <v>3</v>
      </c>
    </row>
    <row r="6839">
      <c r="A6839" s="3">
        <v>5521.0</v>
      </c>
      <c r="B6839" s="4">
        <v>45393.32201388889</v>
      </c>
      <c r="C6839" s="3" t="s">
        <v>4</v>
      </c>
    </row>
    <row r="6840">
      <c r="A6840" s="3">
        <v>220.0</v>
      </c>
      <c r="B6840" s="4">
        <v>45393.32467592593</v>
      </c>
      <c r="C6840" s="3" t="s">
        <v>4</v>
      </c>
    </row>
    <row r="6841">
      <c r="A6841" s="3">
        <v>1113.0</v>
      </c>
      <c r="B6841" s="4">
        <v>45393.355775462966</v>
      </c>
      <c r="C6841" s="3" t="s">
        <v>4</v>
      </c>
    </row>
    <row r="6842">
      <c r="A6842" s="3">
        <v>1673.0</v>
      </c>
      <c r="B6842" s="4">
        <v>45393.40857638889</v>
      </c>
      <c r="C6842" s="3" t="s">
        <v>6</v>
      </c>
    </row>
    <row r="6843">
      <c r="A6843" s="3">
        <v>1644.0</v>
      </c>
      <c r="B6843" s="4">
        <v>45393.41721064815</v>
      </c>
      <c r="C6843" s="3" t="s">
        <v>6</v>
      </c>
    </row>
    <row r="6844">
      <c r="A6844" s="3">
        <v>229.0</v>
      </c>
      <c r="B6844" s="4">
        <v>45393.420324074075</v>
      </c>
      <c r="C6844" s="3" t="s">
        <v>3</v>
      </c>
    </row>
    <row r="6845">
      <c r="A6845" s="3">
        <v>867.0</v>
      </c>
      <c r="B6845" s="4">
        <v>45393.431979166664</v>
      </c>
      <c r="C6845" s="3" t="s">
        <v>3</v>
      </c>
    </row>
    <row r="6846">
      <c r="A6846" s="3">
        <v>4582.0</v>
      </c>
      <c r="B6846" s="4">
        <v>45393.4528587963</v>
      </c>
      <c r="C6846" s="3" t="s">
        <v>7</v>
      </c>
    </row>
    <row r="6847">
      <c r="A6847" s="3">
        <v>4337.0</v>
      </c>
      <c r="B6847" s="4">
        <v>45393.473495370374</v>
      </c>
      <c r="C6847" s="3" t="s">
        <v>5</v>
      </c>
    </row>
    <row r="6848">
      <c r="A6848" s="3">
        <v>4337.0</v>
      </c>
      <c r="B6848" s="4">
        <v>45393.50586805555</v>
      </c>
      <c r="C6848" s="3" t="s">
        <v>3</v>
      </c>
    </row>
    <row r="6849">
      <c r="A6849" s="3">
        <v>1035.0</v>
      </c>
      <c r="B6849" s="4">
        <v>45393.51020833333</v>
      </c>
      <c r="C6849" s="3" t="s">
        <v>4</v>
      </c>
    </row>
    <row r="6850">
      <c r="A6850" s="3">
        <v>264.0</v>
      </c>
      <c r="B6850" s="4">
        <v>45393.51548611111</v>
      </c>
      <c r="C6850" s="3" t="s">
        <v>6</v>
      </c>
    </row>
    <row r="6851">
      <c r="A6851" s="3">
        <v>5403.0</v>
      </c>
      <c r="B6851" s="4">
        <v>45393.517604166664</v>
      </c>
      <c r="C6851" s="3" t="s">
        <v>5</v>
      </c>
    </row>
    <row r="6852">
      <c r="A6852" s="3">
        <v>296.0</v>
      </c>
      <c r="B6852" s="4">
        <v>45393.529375</v>
      </c>
      <c r="C6852" s="3" t="s">
        <v>3</v>
      </c>
    </row>
    <row r="6853">
      <c r="A6853" s="3">
        <v>1776.0</v>
      </c>
      <c r="B6853" s="4">
        <v>45393.55370370371</v>
      </c>
      <c r="C6853" s="3" t="s">
        <v>3</v>
      </c>
    </row>
    <row r="6854">
      <c r="A6854" s="3">
        <v>4559.0</v>
      </c>
      <c r="B6854" s="4">
        <v>45393.57016203704</v>
      </c>
      <c r="C6854" s="3" t="s">
        <v>4</v>
      </c>
    </row>
    <row r="6855">
      <c r="A6855" s="3">
        <v>2374.0</v>
      </c>
      <c r="B6855" s="4">
        <v>45393.57960648148</v>
      </c>
      <c r="C6855" s="3" t="s">
        <v>6</v>
      </c>
    </row>
    <row r="6856">
      <c r="A6856" s="3">
        <v>7210.0</v>
      </c>
      <c r="B6856" s="4">
        <v>45393.58783564815</v>
      </c>
      <c r="C6856" s="3" t="s">
        <v>3</v>
      </c>
    </row>
    <row r="6857">
      <c r="A6857" s="3">
        <v>4393.0</v>
      </c>
      <c r="B6857" s="4">
        <v>45393.587916666664</v>
      </c>
      <c r="C6857" s="3" t="s">
        <v>3</v>
      </c>
    </row>
    <row r="6858">
      <c r="A6858" s="3">
        <v>1319.0</v>
      </c>
      <c r="B6858" s="4">
        <v>45393.601435185185</v>
      </c>
      <c r="C6858" s="3" t="s">
        <v>3</v>
      </c>
    </row>
    <row r="6859">
      <c r="A6859" s="3">
        <v>7923.0</v>
      </c>
      <c r="B6859" s="4">
        <v>45393.6084375</v>
      </c>
      <c r="C6859" s="3" t="s">
        <v>3</v>
      </c>
    </row>
    <row r="6860">
      <c r="A6860" s="3">
        <v>7618.0</v>
      </c>
      <c r="B6860" s="4">
        <v>45393.62087962963</v>
      </c>
      <c r="C6860" s="3" t="s">
        <v>6</v>
      </c>
    </row>
    <row r="6861">
      <c r="A6861" s="3">
        <v>5403.0</v>
      </c>
      <c r="B6861" s="4">
        <v>45393.62238425926</v>
      </c>
      <c r="C6861" s="3" t="s">
        <v>4</v>
      </c>
    </row>
    <row r="6862">
      <c r="A6862" s="3">
        <v>5423.0</v>
      </c>
      <c r="B6862" s="4">
        <v>45393.64375</v>
      </c>
      <c r="C6862" s="3" t="s">
        <v>3</v>
      </c>
    </row>
    <row r="6863">
      <c r="A6863" s="3">
        <v>32.0</v>
      </c>
      <c r="B6863" s="4">
        <v>45393.67173611111</v>
      </c>
      <c r="C6863" s="3" t="s">
        <v>3</v>
      </c>
    </row>
    <row r="6864">
      <c r="A6864" s="3">
        <v>3239.0</v>
      </c>
      <c r="B6864" s="4">
        <v>45393.67815972222</v>
      </c>
      <c r="C6864" s="3" t="s">
        <v>7</v>
      </c>
    </row>
    <row r="6865">
      <c r="A6865" s="3">
        <v>1113.0</v>
      </c>
      <c r="B6865" s="4">
        <v>45393.7424537037</v>
      </c>
      <c r="C6865" s="3" t="s">
        <v>3</v>
      </c>
    </row>
    <row r="6866">
      <c r="A6866" s="3">
        <v>3125.0</v>
      </c>
      <c r="B6866" s="4">
        <v>45393.75575231481</v>
      </c>
      <c r="C6866" s="3" t="s">
        <v>3</v>
      </c>
    </row>
    <row r="6867">
      <c r="A6867" s="3">
        <v>6604.0</v>
      </c>
      <c r="B6867" s="4">
        <v>45393.76238425926</v>
      </c>
      <c r="C6867" s="3" t="s">
        <v>3</v>
      </c>
    </row>
    <row r="6868">
      <c r="A6868" s="3">
        <v>1169.0</v>
      </c>
      <c r="B6868" s="4">
        <v>45393.77616898148</v>
      </c>
      <c r="C6868" s="3" t="s">
        <v>5</v>
      </c>
    </row>
    <row r="6869">
      <c r="A6869" s="3">
        <v>1650.0</v>
      </c>
      <c r="B6869" s="4">
        <v>45393.78108796296</v>
      </c>
      <c r="C6869" s="3" t="s">
        <v>3</v>
      </c>
    </row>
    <row r="6870">
      <c r="A6870" s="3">
        <v>7903.0</v>
      </c>
      <c r="B6870" s="4">
        <v>45393.79701388889</v>
      </c>
      <c r="C6870" s="3" t="s">
        <v>5</v>
      </c>
    </row>
    <row r="6871">
      <c r="A6871" s="3">
        <v>7407.0</v>
      </c>
      <c r="B6871" s="4">
        <v>45393.8100462963</v>
      </c>
      <c r="C6871" s="3" t="s">
        <v>3</v>
      </c>
    </row>
    <row r="6872">
      <c r="A6872" s="3">
        <v>2084.0</v>
      </c>
      <c r="B6872" s="4">
        <v>45393.82778935185</v>
      </c>
      <c r="C6872" s="3" t="s">
        <v>7</v>
      </c>
    </row>
    <row r="6873">
      <c r="A6873" s="3">
        <v>3083.0</v>
      </c>
      <c r="B6873" s="4">
        <v>45393.83555555555</v>
      </c>
      <c r="C6873" s="3" t="s">
        <v>3</v>
      </c>
    </row>
    <row r="6874">
      <c r="A6874" s="3">
        <v>3378.0</v>
      </c>
      <c r="B6874" s="4">
        <v>45393.84609953704</v>
      </c>
      <c r="C6874" s="3" t="s">
        <v>3</v>
      </c>
    </row>
    <row r="6875">
      <c r="A6875" s="3">
        <v>831.0</v>
      </c>
      <c r="B6875" s="4">
        <v>45393.85118055555</v>
      </c>
      <c r="C6875" s="3" t="s">
        <v>3</v>
      </c>
    </row>
    <row r="6876">
      <c r="A6876" s="3">
        <v>1814.0</v>
      </c>
      <c r="B6876" s="4">
        <v>45393.859664351854</v>
      </c>
      <c r="C6876" s="3" t="s">
        <v>3</v>
      </c>
    </row>
    <row r="6877">
      <c r="A6877" s="3">
        <v>4909.0</v>
      </c>
      <c r="B6877" s="4">
        <v>45393.861909722225</v>
      </c>
      <c r="C6877" s="3" t="s">
        <v>3</v>
      </c>
    </row>
    <row r="6878">
      <c r="A6878" s="3">
        <v>2739.0</v>
      </c>
      <c r="B6878" s="4">
        <v>45393.92023148148</v>
      </c>
      <c r="C6878" s="3" t="s">
        <v>4</v>
      </c>
    </row>
    <row r="6879">
      <c r="A6879" s="3">
        <v>2084.0</v>
      </c>
      <c r="B6879" s="4">
        <v>45393.92587962963</v>
      </c>
      <c r="C6879" s="3" t="s">
        <v>5</v>
      </c>
    </row>
    <row r="6880">
      <c r="A6880" s="3">
        <v>749.0</v>
      </c>
      <c r="B6880" s="4">
        <v>45393.948171296295</v>
      </c>
      <c r="C6880" s="3" t="s">
        <v>3</v>
      </c>
    </row>
    <row r="6881">
      <c r="A6881" s="3">
        <v>7618.0</v>
      </c>
      <c r="B6881" s="4">
        <v>45393.95421296296</v>
      </c>
      <c r="C6881" s="3" t="s">
        <v>7</v>
      </c>
    </row>
    <row r="6882">
      <c r="A6882" s="3">
        <v>6649.0</v>
      </c>
      <c r="B6882" s="4">
        <v>45393.95811342593</v>
      </c>
      <c r="C6882" s="3" t="s">
        <v>4</v>
      </c>
    </row>
    <row r="6883">
      <c r="A6883" s="3">
        <v>3577.0</v>
      </c>
      <c r="B6883" s="4">
        <v>45393.960127314815</v>
      </c>
      <c r="C6883" s="3" t="s">
        <v>4</v>
      </c>
    </row>
    <row r="6884">
      <c r="A6884" s="3">
        <v>1169.0</v>
      </c>
      <c r="B6884" s="4">
        <v>45393.96199074074</v>
      </c>
      <c r="C6884" s="3" t="s">
        <v>6</v>
      </c>
    </row>
    <row r="6885">
      <c r="A6885" s="3">
        <v>3818.0</v>
      </c>
      <c r="B6885" s="4">
        <v>45393.98863425926</v>
      </c>
      <c r="C6885" s="3" t="s">
        <v>7</v>
      </c>
    </row>
    <row r="6886">
      <c r="A6886" s="3">
        <v>6827.0</v>
      </c>
      <c r="B6886" s="4">
        <v>45393.992581018516</v>
      </c>
      <c r="C6886" s="3" t="s">
        <v>6</v>
      </c>
    </row>
    <row r="6887">
      <c r="A6887" s="3">
        <v>3852.0</v>
      </c>
      <c r="B6887" s="4">
        <v>45394.002175925925</v>
      </c>
      <c r="C6887" s="3" t="s">
        <v>4</v>
      </c>
    </row>
    <row r="6888">
      <c r="A6888" s="3">
        <v>2349.0</v>
      </c>
      <c r="B6888" s="4">
        <v>45394.03640046297</v>
      </c>
      <c r="C6888" s="3" t="s">
        <v>5</v>
      </c>
    </row>
    <row r="6889">
      <c r="A6889" s="3">
        <v>5451.0</v>
      </c>
      <c r="B6889" s="4">
        <v>45394.04789351852</v>
      </c>
      <c r="C6889" s="3" t="s">
        <v>3</v>
      </c>
    </row>
    <row r="6890">
      <c r="A6890" s="3">
        <v>132.0</v>
      </c>
      <c r="B6890" s="4">
        <v>45394.04935185185</v>
      </c>
      <c r="C6890" s="3" t="s">
        <v>3</v>
      </c>
    </row>
    <row r="6891">
      <c r="A6891" s="3">
        <v>70.0</v>
      </c>
      <c r="B6891" s="4">
        <v>45394.05180555556</v>
      </c>
      <c r="C6891" s="3" t="s">
        <v>6</v>
      </c>
    </row>
    <row r="6892">
      <c r="A6892" s="3">
        <v>829.0</v>
      </c>
      <c r="B6892" s="4">
        <v>45394.06450231482</v>
      </c>
      <c r="C6892" s="3" t="s">
        <v>6</v>
      </c>
    </row>
    <row r="6893">
      <c r="A6893" s="3">
        <v>6483.0</v>
      </c>
      <c r="B6893" s="4">
        <v>45394.06993055555</v>
      </c>
      <c r="C6893" s="3" t="s">
        <v>6</v>
      </c>
    </row>
    <row r="6894">
      <c r="A6894" s="3">
        <v>186.0</v>
      </c>
      <c r="B6894" s="4">
        <v>45394.076840277776</v>
      </c>
      <c r="C6894" s="3" t="s">
        <v>3</v>
      </c>
    </row>
    <row r="6895">
      <c r="A6895" s="3">
        <v>186.0</v>
      </c>
      <c r="B6895" s="4">
        <v>45394.13606481482</v>
      </c>
      <c r="C6895" s="3" t="s">
        <v>4</v>
      </c>
    </row>
    <row r="6896">
      <c r="A6896" s="3">
        <v>6903.0</v>
      </c>
      <c r="B6896" s="4">
        <v>45394.18021990741</v>
      </c>
      <c r="C6896" s="3" t="s">
        <v>4</v>
      </c>
    </row>
    <row r="6897">
      <c r="A6897" s="3">
        <v>6845.0</v>
      </c>
      <c r="B6897" s="4">
        <v>45394.18912037037</v>
      </c>
      <c r="C6897" s="3" t="s">
        <v>3</v>
      </c>
    </row>
    <row r="6898">
      <c r="A6898" s="3">
        <v>3335.0</v>
      </c>
      <c r="B6898" s="4">
        <v>45394.20611111111</v>
      </c>
      <c r="C6898" s="3" t="s">
        <v>3</v>
      </c>
    </row>
    <row r="6899">
      <c r="A6899" s="3">
        <v>4690.0</v>
      </c>
      <c r="B6899" s="4">
        <v>45394.22630787037</v>
      </c>
      <c r="C6899" s="3" t="s">
        <v>6</v>
      </c>
    </row>
    <row r="6900">
      <c r="A6900" s="3">
        <v>5445.0</v>
      </c>
      <c r="B6900" s="4">
        <v>45394.22913194444</v>
      </c>
      <c r="C6900" s="3" t="s">
        <v>3</v>
      </c>
    </row>
    <row r="6901">
      <c r="A6901" s="3">
        <v>867.0</v>
      </c>
      <c r="B6901" s="4">
        <v>45394.25770833333</v>
      </c>
      <c r="C6901" s="3" t="s">
        <v>7</v>
      </c>
    </row>
    <row r="6902">
      <c r="A6902" s="3">
        <v>2828.0</v>
      </c>
      <c r="B6902" s="4">
        <v>45394.27072916667</v>
      </c>
      <c r="C6902" s="3" t="s">
        <v>3</v>
      </c>
    </row>
    <row r="6903">
      <c r="A6903" s="3">
        <v>2021.0</v>
      </c>
      <c r="B6903" s="4">
        <v>45394.27228009259</v>
      </c>
      <c r="C6903" s="3" t="s">
        <v>6</v>
      </c>
    </row>
    <row r="6904">
      <c r="A6904" s="3">
        <v>4627.0</v>
      </c>
      <c r="B6904" s="4">
        <v>45394.27230324074</v>
      </c>
      <c r="C6904" s="3" t="s">
        <v>3</v>
      </c>
    </row>
    <row r="6905">
      <c r="A6905" s="3">
        <v>1814.0</v>
      </c>
      <c r="B6905" s="4">
        <v>45394.28439814815</v>
      </c>
      <c r="C6905" s="3" t="s">
        <v>4</v>
      </c>
    </row>
    <row r="6906">
      <c r="A6906" s="3">
        <v>1114.0</v>
      </c>
      <c r="B6906" s="4">
        <v>45394.2890162037</v>
      </c>
      <c r="C6906" s="3" t="s">
        <v>6</v>
      </c>
    </row>
    <row r="6907">
      <c r="A6907" s="3">
        <v>1794.0</v>
      </c>
      <c r="B6907" s="4">
        <v>45394.29121527778</v>
      </c>
      <c r="C6907" s="3" t="s">
        <v>6</v>
      </c>
    </row>
    <row r="6908">
      <c r="A6908" s="3">
        <v>3940.0</v>
      </c>
      <c r="B6908" s="4">
        <v>45394.29819444445</v>
      </c>
      <c r="C6908" s="3" t="s">
        <v>4</v>
      </c>
    </row>
    <row r="6909">
      <c r="A6909" s="3">
        <v>18.0</v>
      </c>
      <c r="B6909" s="4">
        <v>45394.30206018518</v>
      </c>
      <c r="C6909" s="3" t="s">
        <v>3</v>
      </c>
    </row>
    <row r="6910">
      <c r="A6910" s="3">
        <v>1200.0</v>
      </c>
      <c r="B6910" s="4">
        <v>45394.30284722222</v>
      </c>
      <c r="C6910" s="3" t="s">
        <v>5</v>
      </c>
    </row>
    <row r="6911">
      <c r="A6911" s="3">
        <v>6599.0</v>
      </c>
      <c r="B6911" s="4">
        <v>45394.303136574075</v>
      </c>
      <c r="C6911" s="3" t="s">
        <v>3</v>
      </c>
    </row>
    <row r="6912">
      <c r="A6912" s="3">
        <v>4627.0</v>
      </c>
      <c r="B6912" s="4">
        <v>45394.323067129626</v>
      </c>
      <c r="C6912" s="3" t="s">
        <v>4</v>
      </c>
    </row>
    <row r="6913">
      <c r="A6913" s="3">
        <v>3223.0</v>
      </c>
      <c r="B6913" s="4">
        <v>45394.32341435185</v>
      </c>
      <c r="C6913" s="3" t="s">
        <v>3</v>
      </c>
    </row>
    <row r="6914">
      <c r="A6914" s="3">
        <v>201.0</v>
      </c>
      <c r="B6914" s="4">
        <v>45394.34862268518</v>
      </c>
      <c r="C6914" s="3" t="s">
        <v>3</v>
      </c>
    </row>
    <row r="6915">
      <c r="A6915" s="3">
        <v>1673.0</v>
      </c>
      <c r="B6915" s="4">
        <v>45394.37668981482</v>
      </c>
      <c r="C6915" s="3" t="s">
        <v>5</v>
      </c>
    </row>
    <row r="6916">
      <c r="A6916" s="3">
        <v>3443.0</v>
      </c>
      <c r="B6916" s="4">
        <v>45394.39550925926</v>
      </c>
      <c r="C6916" s="3" t="s">
        <v>3</v>
      </c>
    </row>
    <row r="6917">
      <c r="A6917" s="3">
        <v>2573.0</v>
      </c>
      <c r="B6917" s="4">
        <v>45394.42019675926</v>
      </c>
      <c r="C6917" s="3" t="s">
        <v>5</v>
      </c>
    </row>
    <row r="6918">
      <c r="A6918" s="3">
        <v>6516.0</v>
      </c>
      <c r="B6918" s="4">
        <v>45394.43052083333</v>
      </c>
      <c r="C6918" s="3" t="s">
        <v>3</v>
      </c>
    </row>
    <row r="6919">
      <c r="A6919" s="3">
        <v>6505.0</v>
      </c>
      <c r="B6919" s="4">
        <v>45394.458506944444</v>
      </c>
      <c r="C6919" s="3" t="s">
        <v>6</v>
      </c>
    </row>
    <row r="6920">
      <c r="A6920" s="3">
        <v>6516.0</v>
      </c>
      <c r="B6920" s="4">
        <v>45394.460381944446</v>
      </c>
      <c r="C6920" s="3" t="s">
        <v>5</v>
      </c>
    </row>
    <row r="6921">
      <c r="A6921" s="3">
        <v>2973.0</v>
      </c>
      <c r="B6921" s="4">
        <v>45394.46381944444</v>
      </c>
      <c r="C6921" s="3" t="s">
        <v>3</v>
      </c>
    </row>
    <row r="6922">
      <c r="A6922" s="3">
        <v>4393.0</v>
      </c>
      <c r="B6922" s="4">
        <v>45394.463842592595</v>
      </c>
      <c r="C6922" s="3" t="s">
        <v>4</v>
      </c>
    </row>
    <row r="6923">
      <c r="A6923" s="3">
        <v>6365.0</v>
      </c>
      <c r="B6923" s="4">
        <v>45394.489212962966</v>
      </c>
      <c r="C6923" s="3" t="s">
        <v>3</v>
      </c>
    </row>
    <row r="6924">
      <c r="A6924" s="3">
        <v>1650.0</v>
      </c>
      <c r="B6924" s="4">
        <v>45394.548113425924</v>
      </c>
      <c r="C6924" s="3" t="s">
        <v>7</v>
      </c>
    </row>
    <row r="6925">
      <c r="A6925" s="3">
        <v>229.0</v>
      </c>
      <c r="B6925" s="4">
        <v>45394.55494212963</v>
      </c>
      <c r="C6925" s="3" t="s">
        <v>4</v>
      </c>
    </row>
    <row r="6926">
      <c r="A6926" s="3">
        <v>3940.0</v>
      </c>
      <c r="B6926" s="4">
        <v>45394.561006944445</v>
      </c>
      <c r="C6926" s="3" t="s">
        <v>7</v>
      </c>
    </row>
    <row r="6927">
      <c r="A6927" s="3">
        <v>6229.0</v>
      </c>
      <c r="B6927" s="4">
        <v>45394.60134259259</v>
      </c>
      <c r="C6927" s="3" t="s">
        <v>3</v>
      </c>
    </row>
    <row r="6928">
      <c r="A6928" s="3">
        <v>3051.0</v>
      </c>
      <c r="B6928" s="4">
        <v>45394.66296296296</v>
      </c>
      <c r="C6928" s="3" t="s">
        <v>6</v>
      </c>
    </row>
    <row r="6929">
      <c r="A6929" s="3">
        <v>258.0</v>
      </c>
      <c r="B6929" s="4">
        <v>45394.66324074074</v>
      </c>
      <c r="C6929" s="3" t="s">
        <v>6</v>
      </c>
    </row>
    <row r="6930">
      <c r="A6930" s="3">
        <v>4978.0</v>
      </c>
      <c r="B6930" s="4">
        <v>45394.68184027778</v>
      </c>
      <c r="C6930" s="3" t="s">
        <v>3</v>
      </c>
    </row>
    <row r="6931">
      <c r="A6931" s="3">
        <v>4393.0</v>
      </c>
      <c r="B6931" s="4">
        <v>45394.68206018519</v>
      </c>
      <c r="C6931" s="3" t="s">
        <v>5</v>
      </c>
    </row>
    <row r="6932">
      <c r="A6932" s="3">
        <v>3834.0</v>
      </c>
      <c r="B6932" s="4">
        <v>45394.69420138889</v>
      </c>
      <c r="C6932" s="3" t="s">
        <v>3</v>
      </c>
    </row>
    <row r="6933">
      <c r="A6933" s="3">
        <v>222.0</v>
      </c>
      <c r="B6933" s="4">
        <v>45394.69880787037</v>
      </c>
      <c r="C6933" s="3" t="s">
        <v>4</v>
      </c>
    </row>
    <row r="6934">
      <c r="A6934" s="3">
        <v>1277.0</v>
      </c>
      <c r="B6934" s="4">
        <v>45394.702511574076</v>
      </c>
      <c r="C6934" s="3" t="s">
        <v>3</v>
      </c>
    </row>
    <row r="6935">
      <c r="A6935" s="3">
        <v>7466.0</v>
      </c>
      <c r="B6935" s="4">
        <v>45394.7146875</v>
      </c>
      <c r="C6935" s="3" t="s">
        <v>3</v>
      </c>
    </row>
    <row r="6936">
      <c r="A6936" s="3">
        <v>1865.0</v>
      </c>
      <c r="B6936" s="4">
        <v>45394.76965277778</v>
      </c>
      <c r="C6936" s="3" t="s">
        <v>5</v>
      </c>
    </row>
    <row r="6937">
      <c r="A6937" s="3">
        <v>382.0</v>
      </c>
      <c r="B6937" s="4">
        <v>45394.78141203704</v>
      </c>
      <c r="C6937" s="3" t="s">
        <v>3</v>
      </c>
    </row>
    <row r="6938">
      <c r="A6938" s="3">
        <v>6154.0</v>
      </c>
      <c r="B6938" s="4">
        <v>45394.79613425926</v>
      </c>
      <c r="C6938" s="3" t="s">
        <v>3</v>
      </c>
    </row>
    <row r="6939">
      <c r="A6939" s="3">
        <v>47.0</v>
      </c>
      <c r="B6939" s="4">
        <v>45394.80298611111</v>
      </c>
      <c r="C6939" s="3" t="s">
        <v>3</v>
      </c>
    </row>
    <row r="6940">
      <c r="A6940" s="3">
        <v>7407.0</v>
      </c>
      <c r="B6940" s="4">
        <v>45394.824212962965</v>
      </c>
      <c r="C6940" s="3" t="s">
        <v>4</v>
      </c>
    </row>
    <row r="6941">
      <c r="A6941" s="3">
        <v>4108.0</v>
      </c>
      <c r="B6941" s="4">
        <v>45394.85534722222</v>
      </c>
      <c r="C6941" s="3" t="s">
        <v>3</v>
      </c>
    </row>
    <row r="6942">
      <c r="A6942" s="3">
        <v>222.0</v>
      </c>
      <c r="B6942" s="4">
        <v>45394.86162037037</v>
      </c>
      <c r="C6942" s="3" t="s">
        <v>3</v>
      </c>
    </row>
    <row r="6943">
      <c r="A6943" s="3">
        <v>5286.0</v>
      </c>
      <c r="B6943" s="4">
        <v>45394.8687037037</v>
      </c>
      <c r="C6943" s="3" t="s">
        <v>3</v>
      </c>
    </row>
    <row r="6944">
      <c r="A6944" s="3">
        <v>7418.0</v>
      </c>
      <c r="B6944" s="4">
        <v>45394.88513888889</v>
      </c>
      <c r="C6944" s="3" t="s">
        <v>6</v>
      </c>
    </row>
    <row r="6945">
      <c r="A6945" s="3">
        <v>4319.0</v>
      </c>
      <c r="B6945" s="4">
        <v>45394.89543981481</v>
      </c>
      <c r="C6945" s="3" t="s">
        <v>3</v>
      </c>
    </row>
    <row r="6946">
      <c r="A6946" s="3">
        <v>1673.0</v>
      </c>
      <c r="B6946" s="4">
        <v>45394.908368055556</v>
      </c>
      <c r="C6946" s="3" t="s">
        <v>4</v>
      </c>
    </row>
    <row r="6947">
      <c r="A6947" s="3">
        <v>5398.0</v>
      </c>
      <c r="B6947" s="4">
        <v>45394.91616898148</v>
      </c>
      <c r="C6947" s="3" t="s">
        <v>7</v>
      </c>
    </row>
    <row r="6948">
      <c r="A6948" s="3">
        <v>2160.0</v>
      </c>
      <c r="B6948" s="4">
        <v>45394.91951388889</v>
      </c>
      <c r="C6948" s="3" t="s">
        <v>3</v>
      </c>
    </row>
    <row r="6949">
      <c r="A6949" s="3">
        <v>3232.0</v>
      </c>
      <c r="B6949" s="4">
        <v>45394.94012731482</v>
      </c>
      <c r="C6949" s="3" t="s">
        <v>6</v>
      </c>
    </row>
    <row r="6950">
      <c r="A6950" s="3">
        <v>201.0</v>
      </c>
      <c r="B6950" s="4">
        <v>45394.97366898148</v>
      </c>
      <c r="C6950" s="3" t="s">
        <v>4</v>
      </c>
    </row>
    <row r="6951">
      <c r="A6951" s="3">
        <v>2980.0</v>
      </c>
      <c r="B6951" s="4">
        <v>45394.994363425925</v>
      </c>
      <c r="C6951" s="3" t="s">
        <v>3</v>
      </c>
    </row>
    <row r="6952">
      <c r="A6952" s="3">
        <v>2183.0</v>
      </c>
      <c r="B6952" s="4">
        <v>45395.0005787037</v>
      </c>
      <c r="C6952" s="3" t="s">
        <v>3</v>
      </c>
    </row>
    <row r="6953">
      <c r="A6953" s="3">
        <v>4909.0</v>
      </c>
      <c r="B6953" s="4">
        <v>45395.025</v>
      </c>
      <c r="C6953" s="3" t="s">
        <v>4</v>
      </c>
    </row>
    <row r="6954">
      <c r="A6954" s="3">
        <v>3940.0</v>
      </c>
      <c r="B6954" s="4">
        <v>45395.02667824074</v>
      </c>
      <c r="C6954" s="3" t="s">
        <v>5</v>
      </c>
    </row>
    <row r="6955">
      <c r="A6955" s="3">
        <v>6365.0</v>
      </c>
      <c r="B6955" s="4">
        <v>45395.04368055556</v>
      </c>
      <c r="C6955" s="3" t="s">
        <v>5</v>
      </c>
    </row>
    <row r="6956">
      <c r="A6956" s="3">
        <v>5272.0</v>
      </c>
      <c r="B6956" s="4">
        <v>45395.083599537036</v>
      </c>
      <c r="C6956" s="3" t="s">
        <v>3</v>
      </c>
    </row>
    <row r="6957">
      <c r="A6957" s="3">
        <v>7145.0</v>
      </c>
      <c r="B6957" s="4">
        <v>45395.08424768518</v>
      </c>
      <c r="C6957" s="3" t="s">
        <v>3</v>
      </c>
    </row>
    <row r="6958">
      <c r="A6958" s="3">
        <v>5968.0</v>
      </c>
      <c r="B6958" s="4">
        <v>45395.08493055555</v>
      </c>
      <c r="C6958" s="3" t="s">
        <v>4</v>
      </c>
    </row>
    <row r="6959">
      <c r="A6959" s="3">
        <v>2973.0</v>
      </c>
      <c r="B6959" s="4">
        <v>45395.094976851855</v>
      </c>
      <c r="C6959" s="3" t="s">
        <v>4</v>
      </c>
    </row>
    <row r="6960">
      <c r="A6960" s="3">
        <v>379.0</v>
      </c>
      <c r="B6960" s="4">
        <v>45395.15986111111</v>
      </c>
      <c r="C6960" s="3" t="s">
        <v>6</v>
      </c>
    </row>
    <row r="6961">
      <c r="A6961" s="3">
        <v>5879.0</v>
      </c>
      <c r="B6961" s="4">
        <v>45395.192708333336</v>
      </c>
      <c r="C6961" s="3" t="s">
        <v>4</v>
      </c>
    </row>
    <row r="6962">
      <c r="A6962" s="3">
        <v>7903.0</v>
      </c>
      <c r="B6962" s="4">
        <v>45395.19865740741</v>
      </c>
      <c r="C6962" s="3" t="s">
        <v>6</v>
      </c>
    </row>
    <row r="6963">
      <c r="A6963" s="3">
        <v>4943.0</v>
      </c>
      <c r="B6963" s="4">
        <v>45395.20774305556</v>
      </c>
      <c r="C6963" s="3" t="s">
        <v>3</v>
      </c>
    </row>
    <row r="6964">
      <c r="A6964" s="3">
        <v>6585.0</v>
      </c>
      <c r="B6964" s="4">
        <v>45395.24400462963</v>
      </c>
      <c r="C6964" s="3" t="s">
        <v>3</v>
      </c>
    </row>
    <row r="6965">
      <c r="A6965" s="3">
        <v>921.0</v>
      </c>
      <c r="B6965" s="4">
        <v>45395.24680555556</v>
      </c>
      <c r="C6965" s="3" t="s">
        <v>3</v>
      </c>
    </row>
    <row r="6966">
      <c r="A6966" s="3">
        <v>1776.0</v>
      </c>
      <c r="B6966" s="4">
        <v>45395.279016203705</v>
      </c>
      <c r="C6966" s="3" t="s">
        <v>4</v>
      </c>
    </row>
    <row r="6967">
      <c r="A6967" s="3">
        <v>1150.0</v>
      </c>
      <c r="B6967" s="4">
        <v>45395.286145833335</v>
      </c>
      <c r="C6967" s="3" t="s">
        <v>4</v>
      </c>
    </row>
    <row r="6968">
      <c r="A6968" s="3">
        <v>5549.0</v>
      </c>
      <c r="B6968" s="4">
        <v>45395.296111111114</v>
      </c>
      <c r="C6968" s="3" t="s">
        <v>6</v>
      </c>
    </row>
    <row r="6969">
      <c r="A6969" s="3">
        <v>3116.0</v>
      </c>
      <c r="B6969" s="4">
        <v>45395.29723379629</v>
      </c>
      <c r="C6969" s="3" t="s">
        <v>3</v>
      </c>
    </row>
    <row r="6970">
      <c r="A6970" s="3">
        <v>2457.0</v>
      </c>
      <c r="B6970" s="4">
        <v>45395.323842592596</v>
      </c>
      <c r="C6970" s="3" t="s">
        <v>6</v>
      </c>
    </row>
    <row r="6971">
      <c r="A6971" s="3">
        <v>5466.0</v>
      </c>
      <c r="B6971" s="4">
        <v>45395.33351851852</v>
      </c>
      <c r="C6971" s="3" t="s">
        <v>3</v>
      </c>
    </row>
    <row r="6972">
      <c r="A6972" s="3">
        <v>1150.0</v>
      </c>
      <c r="B6972" s="4">
        <v>45395.363530092596</v>
      </c>
      <c r="C6972" s="3" t="s">
        <v>3</v>
      </c>
    </row>
    <row r="6973">
      <c r="A6973" s="3">
        <v>7255.0</v>
      </c>
      <c r="B6973" s="4">
        <v>45395.36638888889</v>
      </c>
      <c r="C6973" s="3" t="s">
        <v>3</v>
      </c>
    </row>
    <row r="6974">
      <c r="A6974" s="3">
        <v>5681.0</v>
      </c>
      <c r="B6974" s="4">
        <v>45395.38282407408</v>
      </c>
      <c r="C6974" s="3" t="s">
        <v>3</v>
      </c>
    </row>
    <row r="6975">
      <c r="A6975" s="3">
        <v>5276.0</v>
      </c>
      <c r="B6975" s="4">
        <v>45395.40118055556</v>
      </c>
      <c r="C6975" s="3" t="s">
        <v>3</v>
      </c>
    </row>
    <row r="6976">
      <c r="A6976" s="3">
        <v>2183.0</v>
      </c>
      <c r="B6976" s="4">
        <v>45395.409155092595</v>
      </c>
      <c r="C6976" s="3" t="s">
        <v>4</v>
      </c>
    </row>
    <row r="6977">
      <c r="A6977" s="3">
        <v>7923.0</v>
      </c>
      <c r="B6977" s="4">
        <v>45395.41332175926</v>
      </c>
      <c r="C6977" s="3" t="s">
        <v>4</v>
      </c>
    </row>
    <row r="6978">
      <c r="A6978" s="3">
        <v>217.0</v>
      </c>
      <c r="B6978" s="4">
        <v>45395.43378472222</v>
      </c>
      <c r="C6978" s="3" t="s">
        <v>3</v>
      </c>
    </row>
    <row r="6979">
      <c r="A6979" s="3">
        <v>6154.0</v>
      </c>
      <c r="B6979" s="4">
        <v>45395.43912037037</v>
      </c>
      <c r="C6979" s="3" t="s">
        <v>4</v>
      </c>
    </row>
    <row r="6980">
      <c r="A6980" s="3">
        <v>3479.0</v>
      </c>
      <c r="B6980" s="4">
        <v>45395.46912037037</v>
      </c>
      <c r="C6980" s="3" t="s">
        <v>3</v>
      </c>
    </row>
    <row r="6981">
      <c r="A6981" s="3">
        <v>2468.0</v>
      </c>
      <c r="B6981" s="4">
        <v>45395.48180555556</v>
      </c>
      <c r="C6981" s="3" t="s">
        <v>3</v>
      </c>
    </row>
    <row r="6982">
      <c r="A6982" s="3">
        <v>6516.0</v>
      </c>
      <c r="B6982" s="4">
        <v>45395.526504629626</v>
      </c>
      <c r="C6982" s="3" t="s">
        <v>4</v>
      </c>
    </row>
    <row r="6983">
      <c r="A6983" s="3">
        <v>6602.0</v>
      </c>
      <c r="B6983" s="4">
        <v>45395.53550925926</v>
      </c>
      <c r="C6983" s="3" t="s">
        <v>3</v>
      </c>
    </row>
    <row r="6984">
      <c r="A6984" s="3">
        <v>4097.0</v>
      </c>
      <c r="B6984" s="4">
        <v>45395.53693287037</v>
      </c>
      <c r="C6984" s="3" t="s">
        <v>3</v>
      </c>
    </row>
    <row r="6985">
      <c r="A6985" s="3">
        <v>636.0</v>
      </c>
      <c r="B6985" s="4">
        <v>45395.54699074074</v>
      </c>
      <c r="C6985" s="3" t="s">
        <v>4</v>
      </c>
    </row>
    <row r="6986">
      <c r="A6986" s="3">
        <v>32.0</v>
      </c>
      <c r="B6986" s="4">
        <v>45395.548263888886</v>
      </c>
      <c r="C6986" s="3" t="s">
        <v>4</v>
      </c>
    </row>
    <row r="6987">
      <c r="A6987" s="3">
        <v>5894.0</v>
      </c>
      <c r="B6987" s="4">
        <v>45395.595729166664</v>
      </c>
      <c r="C6987" s="3" t="s">
        <v>3</v>
      </c>
    </row>
    <row r="6988">
      <c r="A6988" s="3">
        <v>673.0</v>
      </c>
      <c r="B6988" s="4">
        <v>45395.60587962963</v>
      </c>
      <c r="C6988" s="3" t="s">
        <v>3</v>
      </c>
    </row>
    <row r="6989">
      <c r="A6989" s="3">
        <v>7210.0</v>
      </c>
      <c r="B6989" s="4">
        <v>45395.60810185185</v>
      </c>
      <c r="C6989" s="3" t="s">
        <v>4</v>
      </c>
    </row>
    <row r="6990">
      <c r="A6990" s="3">
        <v>7804.0</v>
      </c>
      <c r="B6990" s="4">
        <v>45395.63707175926</v>
      </c>
      <c r="C6990" s="3" t="s">
        <v>3</v>
      </c>
    </row>
    <row r="6991">
      <c r="A6991" s="3">
        <v>4337.0</v>
      </c>
      <c r="B6991" s="4">
        <v>45395.649988425925</v>
      </c>
      <c r="C6991" s="3" t="s">
        <v>4</v>
      </c>
    </row>
    <row r="6992">
      <c r="A6992" s="3">
        <v>5398.0</v>
      </c>
      <c r="B6992" s="4">
        <v>45395.66894675926</v>
      </c>
      <c r="C6992" s="3" t="s">
        <v>5</v>
      </c>
    </row>
    <row r="6993">
      <c r="A6993" s="3">
        <v>6903.0</v>
      </c>
      <c r="B6993" s="4">
        <v>45395.683171296296</v>
      </c>
      <c r="C6993" s="3" t="s">
        <v>7</v>
      </c>
    </row>
    <row r="6994">
      <c r="A6994" s="3">
        <v>379.0</v>
      </c>
      <c r="B6994" s="4">
        <v>45395.73811342593</v>
      </c>
      <c r="C6994" s="3" t="s">
        <v>5</v>
      </c>
    </row>
    <row r="6995">
      <c r="A6995" s="3">
        <v>5263.0</v>
      </c>
      <c r="B6995" s="4">
        <v>45395.74980324074</v>
      </c>
      <c r="C6995" s="3" t="s">
        <v>3</v>
      </c>
    </row>
    <row r="6996">
      <c r="A6996" s="3">
        <v>2593.0</v>
      </c>
      <c r="B6996" s="4">
        <v>45395.75114583333</v>
      </c>
      <c r="C6996" s="3" t="s">
        <v>4</v>
      </c>
    </row>
    <row r="6997">
      <c r="A6997" s="3">
        <v>6585.0</v>
      </c>
      <c r="B6997" s="4">
        <v>45395.75748842592</v>
      </c>
      <c r="C6997" s="3" t="s">
        <v>5</v>
      </c>
    </row>
    <row r="6998">
      <c r="A6998" s="3">
        <v>2360.0</v>
      </c>
      <c r="B6998" s="4">
        <v>45395.76100694444</v>
      </c>
      <c r="C6998" s="3" t="s">
        <v>3</v>
      </c>
    </row>
    <row r="6999">
      <c r="A6999" s="3">
        <v>5618.0</v>
      </c>
      <c r="B6999" s="4">
        <v>45395.770844907405</v>
      </c>
      <c r="C6999" s="3" t="s">
        <v>3</v>
      </c>
    </row>
    <row r="7000">
      <c r="A7000" s="3">
        <v>4923.0</v>
      </c>
      <c r="B7000" s="4">
        <v>45395.77247685185</v>
      </c>
      <c r="C7000" s="3" t="s">
        <v>3</v>
      </c>
    </row>
    <row r="7001">
      <c r="A7001" s="3">
        <v>625.0</v>
      </c>
      <c r="B7001" s="4">
        <v>45395.78855324074</v>
      </c>
      <c r="C7001" s="3" t="s">
        <v>3</v>
      </c>
    </row>
    <row r="7002">
      <c r="A7002" s="3">
        <v>3249.0</v>
      </c>
      <c r="B7002" s="4">
        <v>45395.849375</v>
      </c>
      <c r="C7002" s="3" t="s">
        <v>3</v>
      </c>
    </row>
    <row r="7003">
      <c r="A7003" s="3">
        <v>749.0</v>
      </c>
      <c r="B7003" s="4">
        <v>45395.84961805555</v>
      </c>
      <c r="C7003" s="3" t="s">
        <v>4</v>
      </c>
    </row>
    <row r="7004">
      <c r="A7004" s="3">
        <v>4657.0</v>
      </c>
      <c r="B7004" s="4">
        <v>45395.852106481485</v>
      </c>
      <c r="C7004" s="3" t="s">
        <v>6</v>
      </c>
    </row>
    <row r="7005">
      <c r="A7005" s="3">
        <v>2486.0</v>
      </c>
      <c r="B7005" s="4">
        <v>45395.85622685185</v>
      </c>
      <c r="C7005" s="3" t="s">
        <v>4</v>
      </c>
    </row>
    <row r="7006">
      <c r="A7006" s="3">
        <v>776.0</v>
      </c>
      <c r="B7006" s="4">
        <v>45395.86650462963</v>
      </c>
      <c r="C7006" s="3" t="s">
        <v>3</v>
      </c>
    </row>
    <row r="7007">
      <c r="A7007" s="3">
        <v>6280.0</v>
      </c>
      <c r="B7007" s="4">
        <v>45395.90793981482</v>
      </c>
      <c r="C7007" s="3" t="s">
        <v>3</v>
      </c>
    </row>
    <row r="7008">
      <c r="A7008" s="3">
        <v>132.0</v>
      </c>
      <c r="B7008" s="4">
        <v>45395.91442129629</v>
      </c>
      <c r="C7008" s="3" t="s">
        <v>7</v>
      </c>
    </row>
    <row r="7009">
      <c r="A7009" s="3">
        <v>149.0</v>
      </c>
      <c r="B7009" s="4">
        <v>45395.915243055555</v>
      </c>
      <c r="C7009" s="3" t="s">
        <v>3</v>
      </c>
    </row>
    <row r="7010">
      <c r="A7010" s="3">
        <v>5894.0</v>
      </c>
      <c r="B7010" s="4">
        <v>45395.942349537036</v>
      </c>
      <c r="C7010" s="3" t="s">
        <v>5</v>
      </c>
    </row>
    <row r="7011">
      <c r="A7011" s="3">
        <v>2573.0</v>
      </c>
      <c r="B7011" s="4">
        <v>45395.99699074074</v>
      </c>
      <c r="C7011" s="3" t="s">
        <v>6</v>
      </c>
    </row>
    <row r="7012">
      <c r="A7012" s="3">
        <v>3239.0</v>
      </c>
      <c r="B7012" s="4">
        <v>45396.002175925925</v>
      </c>
      <c r="C7012" s="3" t="s">
        <v>6</v>
      </c>
    </row>
    <row r="7013">
      <c r="A7013" s="3">
        <v>2843.0</v>
      </c>
      <c r="B7013" s="4">
        <v>45396.00929398148</v>
      </c>
      <c r="C7013" s="3" t="s">
        <v>5</v>
      </c>
    </row>
    <row r="7014">
      <c r="A7014" s="3">
        <v>7255.0</v>
      </c>
      <c r="B7014" s="4">
        <v>45396.01832175926</v>
      </c>
      <c r="C7014" s="3" t="s">
        <v>4</v>
      </c>
    </row>
    <row r="7015">
      <c r="A7015" s="3">
        <v>6280.0</v>
      </c>
      <c r="B7015" s="4">
        <v>45396.026770833334</v>
      </c>
      <c r="C7015" s="3" t="s">
        <v>4</v>
      </c>
    </row>
    <row r="7016">
      <c r="A7016" s="3">
        <v>6365.0</v>
      </c>
      <c r="B7016" s="4">
        <v>45396.04523148148</v>
      </c>
      <c r="C7016" s="3" t="s">
        <v>4</v>
      </c>
    </row>
    <row r="7017">
      <c r="A7017" s="3">
        <v>4943.0</v>
      </c>
      <c r="B7017" s="4">
        <v>45396.0516087963</v>
      </c>
      <c r="C7017" s="3" t="s">
        <v>4</v>
      </c>
    </row>
    <row r="7018">
      <c r="A7018" s="3">
        <v>4627.0</v>
      </c>
      <c r="B7018" s="4">
        <v>45396.072060185186</v>
      </c>
      <c r="C7018" s="3" t="s">
        <v>6</v>
      </c>
    </row>
    <row r="7019">
      <c r="A7019" s="3">
        <v>6584.0</v>
      </c>
      <c r="B7019" s="4">
        <v>45396.07701388889</v>
      </c>
      <c r="C7019" s="3" t="s">
        <v>3</v>
      </c>
    </row>
    <row r="7020">
      <c r="A7020" s="3">
        <v>3127.0</v>
      </c>
      <c r="B7020" s="4">
        <v>45396.094722222224</v>
      </c>
      <c r="C7020" s="3" t="s">
        <v>3</v>
      </c>
    </row>
    <row r="7021">
      <c r="A7021" s="3">
        <v>673.0</v>
      </c>
      <c r="B7021" s="4">
        <v>45396.103680555556</v>
      </c>
      <c r="C7021" s="3" t="s">
        <v>4</v>
      </c>
    </row>
    <row r="7022">
      <c r="A7022" s="3">
        <v>6599.0</v>
      </c>
      <c r="B7022" s="4">
        <v>45396.1378125</v>
      </c>
      <c r="C7022" s="3" t="s">
        <v>4</v>
      </c>
    </row>
    <row r="7023">
      <c r="A7023" s="3">
        <v>4962.0</v>
      </c>
      <c r="B7023" s="4">
        <v>45396.14270833333</v>
      </c>
      <c r="C7023" s="3" t="s">
        <v>3</v>
      </c>
    </row>
    <row r="7024">
      <c r="A7024" s="3">
        <v>2084.0</v>
      </c>
      <c r="B7024" s="4">
        <v>45396.15241898148</v>
      </c>
      <c r="C7024" s="3" t="s">
        <v>6</v>
      </c>
    </row>
    <row r="7025">
      <c r="A7025" s="3">
        <v>5282.0</v>
      </c>
      <c r="B7025" s="4">
        <v>45396.206979166665</v>
      </c>
      <c r="C7025" s="3" t="s">
        <v>3</v>
      </c>
    </row>
    <row r="7026">
      <c r="A7026" s="3">
        <v>5741.0</v>
      </c>
      <c r="B7026" s="4">
        <v>45396.21965277778</v>
      </c>
      <c r="C7026" s="3" t="s">
        <v>6</v>
      </c>
    </row>
    <row r="7027">
      <c r="A7027" s="3">
        <v>4943.0</v>
      </c>
      <c r="B7027" s="4">
        <v>45396.22324074074</v>
      </c>
      <c r="C7027" s="3" t="s">
        <v>5</v>
      </c>
    </row>
    <row r="7028">
      <c r="A7028" s="3">
        <v>7407.0</v>
      </c>
      <c r="B7028" s="4">
        <v>45396.233194444445</v>
      </c>
      <c r="C7028" s="3" t="s">
        <v>5</v>
      </c>
    </row>
    <row r="7029">
      <c r="A7029" s="3">
        <v>6677.0</v>
      </c>
      <c r="B7029" s="4">
        <v>45396.24144675926</v>
      </c>
      <c r="C7029" s="3" t="s">
        <v>3</v>
      </c>
    </row>
    <row r="7030">
      <c r="A7030" s="3">
        <v>2843.0</v>
      </c>
      <c r="B7030" s="4">
        <v>45396.259884259256</v>
      </c>
      <c r="C7030" s="3" t="s">
        <v>3</v>
      </c>
    </row>
    <row r="7031">
      <c r="A7031" s="3">
        <v>5783.0</v>
      </c>
      <c r="B7031" s="4">
        <v>45396.264085648145</v>
      </c>
      <c r="C7031" s="3" t="s">
        <v>6</v>
      </c>
    </row>
    <row r="7032">
      <c r="A7032" s="3">
        <v>5719.0</v>
      </c>
      <c r="B7032" s="4">
        <v>45396.28939814815</v>
      </c>
      <c r="C7032" s="3" t="s">
        <v>3</v>
      </c>
    </row>
    <row r="7033">
      <c r="A7033" s="3">
        <v>132.0</v>
      </c>
      <c r="B7033" s="4">
        <v>45396.30028935185</v>
      </c>
      <c r="C7033" s="3" t="s">
        <v>4</v>
      </c>
    </row>
    <row r="7034">
      <c r="A7034" s="3">
        <v>5282.0</v>
      </c>
      <c r="B7034" s="4">
        <v>45396.302083333336</v>
      </c>
      <c r="C7034" s="3" t="s">
        <v>4</v>
      </c>
    </row>
    <row r="7035">
      <c r="A7035" s="3">
        <v>6229.0</v>
      </c>
      <c r="B7035" s="4">
        <v>45396.31085648148</v>
      </c>
      <c r="C7035" s="3" t="s">
        <v>4</v>
      </c>
    </row>
    <row r="7036">
      <c r="A7036" s="3">
        <v>4582.0</v>
      </c>
      <c r="B7036" s="4">
        <v>45396.31346064815</v>
      </c>
      <c r="C7036" s="3" t="s">
        <v>6</v>
      </c>
    </row>
    <row r="7037">
      <c r="A7037" s="3">
        <v>3269.0</v>
      </c>
      <c r="B7037" s="4">
        <v>45396.319189814814</v>
      </c>
      <c r="C7037" s="3" t="s">
        <v>3</v>
      </c>
    </row>
    <row r="7038">
      <c r="A7038" s="3">
        <v>2756.0</v>
      </c>
      <c r="B7038" s="4">
        <v>45396.332083333335</v>
      </c>
      <c r="C7038" s="3" t="s">
        <v>4</v>
      </c>
    </row>
    <row r="7039">
      <c r="A7039" s="3">
        <v>5403.0</v>
      </c>
      <c r="B7039" s="4">
        <v>45396.36184027778</v>
      </c>
      <c r="C7039" s="3" t="s">
        <v>7</v>
      </c>
    </row>
    <row r="7040">
      <c r="A7040" s="3">
        <v>3127.0</v>
      </c>
      <c r="B7040" s="4">
        <v>45396.38033564815</v>
      </c>
      <c r="C7040" s="3" t="s">
        <v>5</v>
      </c>
    </row>
    <row r="7041">
      <c r="A7041" s="3">
        <v>6649.0</v>
      </c>
      <c r="B7041" s="4">
        <v>45396.404282407406</v>
      </c>
      <c r="C7041" s="3" t="s">
        <v>7</v>
      </c>
    </row>
    <row r="7042">
      <c r="A7042" s="3">
        <v>5286.0</v>
      </c>
      <c r="B7042" s="4">
        <v>45396.406793981485</v>
      </c>
      <c r="C7042" s="3" t="s">
        <v>4</v>
      </c>
    </row>
    <row r="7043">
      <c r="A7043" s="3">
        <v>6448.0</v>
      </c>
      <c r="B7043" s="4">
        <v>45396.43366898148</v>
      </c>
      <c r="C7043" s="3" t="s">
        <v>3</v>
      </c>
    </row>
    <row r="7044">
      <c r="A7044" s="3">
        <v>4401.0</v>
      </c>
      <c r="B7044" s="4">
        <v>45396.46134259259</v>
      </c>
      <c r="C7044" s="3" t="s">
        <v>3</v>
      </c>
    </row>
    <row r="7045">
      <c r="A7045" s="3">
        <v>5181.0</v>
      </c>
      <c r="B7045" s="4">
        <v>45396.47604166667</v>
      </c>
      <c r="C7045" s="3" t="s">
        <v>3</v>
      </c>
    </row>
    <row r="7046">
      <c r="A7046" s="3">
        <v>6229.0</v>
      </c>
      <c r="B7046" s="4">
        <v>45396.49125</v>
      </c>
      <c r="C7046" s="3" t="s">
        <v>6</v>
      </c>
    </row>
    <row r="7047">
      <c r="A7047" s="3">
        <v>1433.0</v>
      </c>
      <c r="B7047" s="4">
        <v>45396.52538194445</v>
      </c>
      <c r="C7047" s="3" t="s">
        <v>3</v>
      </c>
    </row>
    <row r="7048">
      <c r="A7048" s="3">
        <v>1856.0</v>
      </c>
      <c r="B7048" s="4">
        <v>45396.56486111111</v>
      </c>
      <c r="C7048" s="3" t="s">
        <v>4</v>
      </c>
    </row>
    <row r="7049">
      <c r="A7049" s="3">
        <v>2590.0</v>
      </c>
      <c r="B7049" s="4">
        <v>45396.57892361111</v>
      </c>
      <c r="C7049" s="3" t="s">
        <v>3</v>
      </c>
    </row>
    <row r="7050">
      <c r="A7050" s="3">
        <v>3762.0</v>
      </c>
      <c r="B7050" s="4">
        <v>45396.58524305555</v>
      </c>
      <c r="C7050" s="3" t="s">
        <v>3</v>
      </c>
    </row>
    <row r="7051">
      <c r="A7051" s="3">
        <v>3816.0</v>
      </c>
      <c r="B7051" s="4">
        <v>45396.60209490741</v>
      </c>
      <c r="C7051" s="3" t="s">
        <v>3</v>
      </c>
    </row>
    <row r="7052">
      <c r="A7052" s="3">
        <v>6887.0</v>
      </c>
      <c r="B7052" s="4">
        <v>45396.62033564815</v>
      </c>
      <c r="C7052" s="3" t="s">
        <v>3</v>
      </c>
    </row>
    <row r="7053">
      <c r="A7053" s="3">
        <v>2147.0</v>
      </c>
      <c r="B7053" s="4">
        <v>45396.66295138889</v>
      </c>
      <c r="C7053" s="3" t="s">
        <v>3</v>
      </c>
    </row>
    <row r="7054">
      <c r="A7054" s="3">
        <v>7065.0</v>
      </c>
      <c r="B7054" s="4">
        <v>45396.7015625</v>
      </c>
      <c r="C7054" s="3" t="s">
        <v>7</v>
      </c>
    </row>
    <row r="7055">
      <c r="A7055" s="3">
        <v>217.0</v>
      </c>
      <c r="B7055" s="4">
        <v>45396.70428240741</v>
      </c>
      <c r="C7055" s="3" t="s">
        <v>4</v>
      </c>
    </row>
    <row r="7056">
      <c r="A7056" s="3">
        <v>6903.0</v>
      </c>
      <c r="B7056" s="4">
        <v>45396.719293981485</v>
      </c>
      <c r="C7056" s="3" t="s">
        <v>5</v>
      </c>
    </row>
    <row r="7057">
      <c r="A7057" s="3">
        <v>5010.0</v>
      </c>
      <c r="B7057" s="4">
        <v>45396.72862268519</v>
      </c>
      <c r="C7057" s="3" t="s">
        <v>3</v>
      </c>
    </row>
    <row r="7058">
      <c r="A7058" s="3">
        <v>132.0</v>
      </c>
      <c r="B7058" s="4">
        <v>45396.739594907405</v>
      </c>
      <c r="C7058" s="3" t="s">
        <v>6</v>
      </c>
    </row>
    <row r="7059">
      <c r="A7059" s="3">
        <v>5618.0</v>
      </c>
      <c r="B7059" s="4">
        <v>45396.74277777778</v>
      </c>
      <c r="C7059" s="3" t="s">
        <v>7</v>
      </c>
    </row>
    <row r="7060">
      <c r="A7060" s="3">
        <v>851.0</v>
      </c>
      <c r="B7060" s="4">
        <v>45396.781909722224</v>
      </c>
      <c r="C7060" s="3" t="s">
        <v>3</v>
      </c>
    </row>
    <row r="7061">
      <c r="A7061" s="3">
        <v>7255.0</v>
      </c>
      <c r="B7061" s="4">
        <v>45396.782175925924</v>
      </c>
      <c r="C7061" s="3" t="s">
        <v>6</v>
      </c>
    </row>
    <row r="7062">
      <c r="A7062" s="3">
        <v>5004.0</v>
      </c>
      <c r="B7062" s="4">
        <v>45396.78380787037</v>
      </c>
      <c r="C7062" s="3" t="s">
        <v>3</v>
      </c>
    </row>
    <row r="7063">
      <c r="A7063" s="3">
        <v>2756.0</v>
      </c>
      <c r="B7063" s="4">
        <v>45396.78649305556</v>
      </c>
      <c r="C7063" s="3" t="s">
        <v>3</v>
      </c>
    </row>
    <row r="7064">
      <c r="A7064" s="3">
        <v>625.0</v>
      </c>
      <c r="B7064" s="4">
        <v>45396.80226851852</v>
      </c>
      <c r="C7064" s="3" t="s">
        <v>7</v>
      </c>
    </row>
    <row r="7065">
      <c r="A7065" s="3">
        <v>1567.0</v>
      </c>
      <c r="B7065" s="4">
        <v>45396.806921296295</v>
      </c>
      <c r="C7065" s="3" t="s">
        <v>7</v>
      </c>
    </row>
    <row r="7066">
      <c r="A7066" s="3">
        <v>5398.0</v>
      </c>
      <c r="B7066" s="4">
        <v>45396.81324074074</v>
      </c>
      <c r="C7066" s="3" t="s">
        <v>6</v>
      </c>
    </row>
    <row r="7067">
      <c r="A7067" s="3">
        <v>4978.0</v>
      </c>
      <c r="B7067" s="4">
        <v>45396.82398148148</v>
      </c>
      <c r="C7067" s="3" t="s">
        <v>5</v>
      </c>
    </row>
    <row r="7068">
      <c r="A7068" s="3">
        <v>18.0</v>
      </c>
      <c r="B7068" s="4">
        <v>45396.82957175926</v>
      </c>
      <c r="C7068" s="3" t="s">
        <v>4</v>
      </c>
    </row>
    <row r="7069">
      <c r="A7069" s="3">
        <v>3834.0</v>
      </c>
      <c r="B7069" s="4">
        <v>45396.8356712963</v>
      </c>
      <c r="C7069" s="3" t="s">
        <v>4</v>
      </c>
    </row>
    <row r="7070">
      <c r="A7070" s="3">
        <v>5894.0</v>
      </c>
      <c r="B7070" s="4">
        <v>45396.84490740741</v>
      </c>
      <c r="C7070" s="3" t="s">
        <v>4</v>
      </c>
    </row>
    <row r="7071">
      <c r="A7071" s="3">
        <v>2349.0</v>
      </c>
      <c r="B7071" s="4">
        <v>45396.861712962964</v>
      </c>
      <c r="C7071" s="3" t="s">
        <v>6</v>
      </c>
    </row>
    <row r="7072">
      <c r="A7072" s="3">
        <v>5618.0</v>
      </c>
      <c r="B7072" s="4">
        <v>45396.86215277778</v>
      </c>
      <c r="C7072" s="3" t="s">
        <v>4</v>
      </c>
    </row>
    <row r="7073">
      <c r="A7073" s="3">
        <v>625.0</v>
      </c>
      <c r="B7073" s="4">
        <v>45396.870671296296</v>
      </c>
      <c r="C7073" s="3" t="s">
        <v>6</v>
      </c>
    </row>
    <row r="7074">
      <c r="A7074" s="3">
        <v>1728.0</v>
      </c>
      <c r="B7074" s="4">
        <v>45396.88784722222</v>
      </c>
      <c r="C7074" s="3" t="s">
        <v>3</v>
      </c>
    </row>
    <row r="7075">
      <c r="A7075" s="3">
        <v>3335.0</v>
      </c>
      <c r="B7075" s="4">
        <v>45396.919282407405</v>
      </c>
      <c r="C7075" s="3" t="s">
        <v>4</v>
      </c>
    </row>
    <row r="7076">
      <c r="A7076" s="3">
        <v>6591.0</v>
      </c>
      <c r="B7076" s="4">
        <v>45396.923784722225</v>
      </c>
      <c r="C7076" s="3" t="s">
        <v>3</v>
      </c>
    </row>
    <row r="7077">
      <c r="A7077" s="3">
        <v>4846.0</v>
      </c>
      <c r="B7077" s="4">
        <v>45396.93402777778</v>
      </c>
      <c r="C7077" s="3" t="s">
        <v>6</v>
      </c>
    </row>
    <row r="7078">
      <c r="A7078" s="3">
        <v>217.0</v>
      </c>
      <c r="B7078" s="4">
        <v>45396.94409722222</v>
      </c>
      <c r="C7078" s="3" t="s">
        <v>6</v>
      </c>
    </row>
    <row r="7079">
      <c r="A7079" s="3">
        <v>6963.0</v>
      </c>
      <c r="B7079" s="4">
        <v>45396.947430555556</v>
      </c>
      <c r="C7079" s="3" t="s">
        <v>3</v>
      </c>
    </row>
    <row r="7080">
      <c r="A7080" s="3">
        <v>382.0</v>
      </c>
      <c r="B7080" s="4">
        <v>45396.948958333334</v>
      </c>
      <c r="C7080" s="3" t="s">
        <v>5</v>
      </c>
    </row>
    <row r="7081">
      <c r="A7081" s="3">
        <v>7408.0</v>
      </c>
      <c r="B7081" s="4">
        <v>45396.96475694444</v>
      </c>
      <c r="C7081" s="3" t="s">
        <v>3</v>
      </c>
    </row>
    <row r="7082">
      <c r="A7082" s="3">
        <v>3834.0</v>
      </c>
      <c r="B7082" s="4">
        <v>45396.98347222222</v>
      </c>
      <c r="C7082" s="3" t="s">
        <v>5</v>
      </c>
    </row>
    <row r="7083">
      <c r="A7083" s="3">
        <v>921.0</v>
      </c>
      <c r="B7083" s="4">
        <v>45396.98399305555</v>
      </c>
      <c r="C7083" s="3" t="s">
        <v>4</v>
      </c>
    </row>
    <row r="7084">
      <c r="A7084" s="3">
        <v>1150.0</v>
      </c>
      <c r="B7084" s="4">
        <v>45397.00425925926</v>
      </c>
      <c r="C7084" s="3" t="s">
        <v>5</v>
      </c>
    </row>
    <row r="7085">
      <c r="A7085" s="3">
        <v>5130.0</v>
      </c>
      <c r="B7085" s="4">
        <v>45397.00577546296</v>
      </c>
      <c r="C7085" s="3" t="s">
        <v>5</v>
      </c>
    </row>
    <row r="7086">
      <c r="A7086" s="3">
        <v>7239.0</v>
      </c>
      <c r="B7086" s="4">
        <v>45397.01033564815</v>
      </c>
      <c r="C7086" s="3" t="s">
        <v>3</v>
      </c>
    </row>
    <row r="7087">
      <c r="A7087" s="3">
        <v>5159.0</v>
      </c>
      <c r="B7087" s="4">
        <v>45397.01259259259</v>
      </c>
      <c r="C7087" s="3" t="s">
        <v>4</v>
      </c>
    </row>
    <row r="7088">
      <c r="A7088" s="3">
        <v>229.0</v>
      </c>
      <c r="B7088" s="4">
        <v>45397.01488425926</v>
      </c>
      <c r="C7088" s="3" t="s">
        <v>6</v>
      </c>
    </row>
    <row r="7089">
      <c r="A7089" s="3">
        <v>443.0</v>
      </c>
      <c r="B7089" s="4">
        <v>45397.03697916667</v>
      </c>
      <c r="C7089" s="3" t="s">
        <v>3</v>
      </c>
    </row>
    <row r="7090">
      <c r="A7090" s="3">
        <v>2749.0</v>
      </c>
      <c r="B7090" s="4">
        <v>45397.04357638889</v>
      </c>
      <c r="C7090" s="3" t="s">
        <v>6</v>
      </c>
    </row>
    <row r="7091">
      <c r="A7091" s="3">
        <v>186.0</v>
      </c>
      <c r="B7091" s="4">
        <v>45397.04861111111</v>
      </c>
      <c r="C7091" s="3" t="s">
        <v>7</v>
      </c>
    </row>
    <row r="7092">
      <c r="A7092" s="3">
        <v>1150.0</v>
      </c>
      <c r="B7092" s="4">
        <v>45397.05032407407</v>
      </c>
      <c r="C7092" s="3" t="s">
        <v>7</v>
      </c>
    </row>
    <row r="7093">
      <c r="A7093" s="3">
        <v>5286.0</v>
      </c>
      <c r="B7093" s="4">
        <v>45397.05248842593</v>
      </c>
      <c r="C7093" s="3" t="s">
        <v>6</v>
      </c>
    </row>
    <row r="7094">
      <c r="A7094" s="3">
        <v>5130.0</v>
      </c>
      <c r="B7094" s="4">
        <v>45397.05311342593</v>
      </c>
      <c r="C7094" s="3" t="s">
        <v>3</v>
      </c>
    </row>
    <row r="7095">
      <c r="A7095" s="3">
        <v>6585.0</v>
      </c>
      <c r="B7095" s="4">
        <v>45397.08974537037</v>
      </c>
      <c r="C7095" s="3" t="s">
        <v>4</v>
      </c>
    </row>
    <row r="7096">
      <c r="A7096" s="3">
        <v>3762.0</v>
      </c>
      <c r="B7096" s="4">
        <v>45397.09961805555</v>
      </c>
      <c r="C7096" s="3" t="s">
        <v>5</v>
      </c>
    </row>
    <row r="7097">
      <c r="A7097" s="3">
        <v>229.0</v>
      </c>
      <c r="B7097" s="4">
        <v>45397.13146990741</v>
      </c>
      <c r="C7097" s="3" t="s">
        <v>5</v>
      </c>
    </row>
    <row r="7098">
      <c r="A7098" s="3">
        <v>1019.0</v>
      </c>
      <c r="B7098" s="4">
        <v>45397.13508101852</v>
      </c>
      <c r="C7098" s="3" t="s">
        <v>3</v>
      </c>
    </row>
    <row r="7099">
      <c r="A7099" s="3">
        <v>3249.0</v>
      </c>
      <c r="B7099" s="4">
        <v>45397.143738425926</v>
      </c>
      <c r="C7099" s="3" t="s">
        <v>4</v>
      </c>
    </row>
    <row r="7100">
      <c r="A7100" s="3">
        <v>7923.0</v>
      </c>
      <c r="B7100" s="4">
        <v>45397.1562037037</v>
      </c>
      <c r="C7100" s="3" t="s">
        <v>5</v>
      </c>
    </row>
    <row r="7101">
      <c r="A7101" s="3">
        <v>5353.0</v>
      </c>
      <c r="B7101" s="4">
        <v>45397.1577662037</v>
      </c>
      <c r="C7101" s="3" t="s">
        <v>4</v>
      </c>
    </row>
    <row r="7102">
      <c r="A7102" s="3">
        <v>4003.0</v>
      </c>
      <c r="B7102" s="4">
        <v>45397.17438657407</v>
      </c>
      <c r="C7102" s="3" t="s">
        <v>3</v>
      </c>
    </row>
    <row r="7103">
      <c r="A7103" s="3">
        <v>47.0</v>
      </c>
      <c r="B7103" s="4">
        <v>45397.19049768519</v>
      </c>
      <c r="C7103" s="3" t="s">
        <v>4</v>
      </c>
    </row>
    <row r="7104">
      <c r="A7104" s="3">
        <v>4393.0</v>
      </c>
      <c r="B7104" s="4">
        <v>45397.21622685185</v>
      </c>
      <c r="C7104" s="3" t="s">
        <v>7</v>
      </c>
    </row>
    <row r="7105">
      <c r="A7105" s="3">
        <v>832.0</v>
      </c>
      <c r="B7105" s="4">
        <v>45397.22539351852</v>
      </c>
      <c r="C7105" s="3" t="s">
        <v>3</v>
      </c>
    </row>
    <row r="7106">
      <c r="A7106" s="3">
        <v>32.0</v>
      </c>
      <c r="B7106" s="4">
        <v>45397.25659722222</v>
      </c>
      <c r="C7106" s="3" t="s">
        <v>5</v>
      </c>
    </row>
    <row r="7107">
      <c r="A7107" s="3">
        <v>2364.0</v>
      </c>
      <c r="B7107" s="4">
        <v>45397.25958333333</v>
      </c>
      <c r="C7107" s="3" t="s">
        <v>3</v>
      </c>
    </row>
    <row r="7108">
      <c r="A7108" s="3">
        <v>6202.0</v>
      </c>
      <c r="B7108" s="4">
        <v>45397.26596064815</v>
      </c>
      <c r="C7108" s="3" t="s">
        <v>3</v>
      </c>
    </row>
    <row r="7109">
      <c r="A7109" s="3">
        <v>3083.0</v>
      </c>
      <c r="B7109" s="4">
        <v>45397.27539351852</v>
      </c>
      <c r="C7109" s="3" t="s">
        <v>4</v>
      </c>
    </row>
    <row r="7110">
      <c r="A7110" s="3">
        <v>6602.0</v>
      </c>
      <c r="B7110" s="4">
        <v>45397.276192129626</v>
      </c>
      <c r="C7110" s="3" t="s">
        <v>4</v>
      </c>
    </row>
    <row r="7111">
      <c r="A7111" s="3">
        <v>1013.0</v>
      </c>
      <c r="B7111" s="4">
        <v>45397.299988425926</v>
      </c>
      <c r="C7111" s="3" t="s">
        <v>3</v>
      </c>
    </row>
    <row r="7112">
      <c r="A7112" s="3">
        <v>3776.0</v>
      </c>
      <c r="B7112" s="4">
        <v>45397.327199074076</v>
      </c>
      <c r="C7112" s="3" t="s">
        <v>3</v>
      </c>
    </row>
    <row r="7113">
      <c r="A7113" s="3">
        <v>5181.0</v>
      </c>
      <c r="B7113" s="4">
        <v>45397.34276620371</v>
      </c>
      <c r="C7113" s="3" t="s">
        <v>4</v>
      </c>
    </row>
    <row r="7114">
      <c r="A7114" s="3">
        <v>3743.0</v>
      </c>
      <c r="B7114" s="4">
        <v>45397.35768518518</v>
      </c>
      <c r="C7114" s="3" t="s">
        <v>4</v>
      </c>
    </row>
    <row r="7115">
      <c r="A7115" s="3">
        <v>3357.0</v>
      </c>
      <c r="B7115" s="4">
        <v>45397.370405092595</v>
      </c>
      <c r="C7115" s="3" t="s">
        <v>3</v>
      </c>
    </row>
    <row r="7116">
      <c r="A7116" s="3">
        <v>1650.0</v>
      </c>
      <c r="B7116" s="4">
        <v>45397.39052083333</v>
      </c>
      <c r="C7116" s="3" t="s">
        <v>5</v>
      </c>
    </row>
    <row r="7117">
      <c r="A7117" s="3">
        <v>2183.0</v>
      </c>
      <c r="B7117" s="4">
        <v>45397.40949074074</v>
      </c>
      <c r="C7117" s="3" t="s">
        <v>7</v>
      </c>
    </row>
    <row r="7118">
      <c r="A7118" s="3">
        <v>416.0</v>
      </c>
      <c r="B7118" s="4">
        <v>45397.42934027778</v>
      </c>
      <c r="C7118" s="3" t="s">
        <v>3</v>
      </c>
    </row>
    <row r="7119">
      <c r="A7119" s="3">
        <v>673.0</v>
      </c>
      <c r="B7119" s="4">
        <v>45397.430613425924</v>
      </c>
      <c r="C7119" s="3" t="s">
        <v>5</v>
      </c>
    </row>
    <row r="7120">
      <c r="A7120" s="3">
        <v>4291.0</v>
      </c>
      <c r="B7120" s="4">
        <v>45397.44314814815</v>
      </c>
      <c r="C7120" s="3" t="s">
        <v>3</v>
      </c>
    </row>
    <row r="7121">
      <c r="A7121" s="3">
        <v>6677.0</v>
      </c>
      <c r="B7121" s="4">
        <v>45397.45203703704</v>
      </c>
      <c r="C7121" s="3" t="s">
        <v>4</v>
      </c>
    </row>
    <row r="7122">
      <c r="A7122" s="3">
        <v>3743.0</v>
      </c>
      <c r="B7122" s="4">
        <v>45397.470821759256</v>
      </c>
      <c r="C7122" s="3" t="s">
        <v>3</v>
      </c>
    </row>
    <row r="7123">
      <c r="A7123" s="3">
        <v>3762.0</v>
      </c>
      <c r="B7123" s="4">
        <v>45397.48917824074</v>
      </c>
      <c r="C7123" s="3" t="s">
        <v>4</v>
      </c>
    </row>
    <row r="7124">
      <c r="A7124" s="3">
        <v>5373.0</v>
      </c>
      <c r="B7124" s="4">
        <v>45397.50508101852</v>
      </c>
      <c r="C7124" s="3" t="s">
        <v>3</v>
      </c>
    </row>
    <row r="7125">
      <c r="A7125" s="3">
        <v>7923.0</v>
      </c>
      <c r="B7125" s="4">
        <v>45397.51552083333</v>
      </c>
      <c r="C7125" s="3" t="s">
        <v>6</v>
      </c>
    </row>
    <row r="7126">
      <c r="A7126" s="3">
        <v>5373.0</v>
      </c>
      <c r="B7126" s="4">
        <v>45397.53025462963</v>
      </c>
      <c r="C7126" s="3" t="s">
        <v>5</v>
      </c>
    </row>
    <row r="7127">
      <c r="A7127" s="3">
        <v>2112.0</v>
      </c>
      <c r="B7127" s="4">
        <v>45397.53420138889</v>
      </c>
      <c r="C7127" s="3" t="s">
        <v>3</v>
      </c>
    </row>
    <row r="7128">
      <c r="A7128" s="3">
        <v>1200.0</v>
      </c>
      <c r="B7128" s="4">
        <v>45397.53459490741</v>
      </c>
      <c r="C7128" s="3" t="s">
        <v>6</v>
      </c>
    </row>
    <row r="7129">
      <c r="A7129" s="3">
        <v>625.0</v>
      </c>
      <c r="B7129" s="4">
        <v>45397.54474537037</v>
      </c>
      <c r="C7129" s="3" t="s">
        <v>4</v>
      </c>
    </row>
    <row r="7130">
      <c r="A7130" s="3">
        <v>6483.0</v>
      </c>
      <c r="B7130" s="4">
        <v>45397.54635416667</v>
      </c>
      <c r="C7130" s="3" t="s">
        <v>7</v>
      </c>
    </row>
    <row r="7131">
      <c r="A7131" s="3">
        <v>446.0</v>
      </c>
      <c r="B7131" s="4">
        <v>45397.548993055556</v>
      </c>
      <c r="C7131" s="3" t="s">
        <v>3</v>
      </c>
    </row>
    <row r="7132">
      <c r="A7132" s="3">
        <v>6419.0</v>
      </c>
      <c r="B7132" s="4">
        <v>45397.55873842593</v>
      </c>
      <c r="C7132" s="3" t="s">
        <v>5</v>
      </c>
    </row>
    <row r="7133">
      <c r="A7133" s="3">
        <v>6585.0</v>
      </c>
      <c r="B7133" s="4">
        <v>45397.5759837963</v>
      </c>
      <c r="C7133" s="3" t="s">
        <v>7</v>
      </c>
    </row>
    <row r="7134">
      <c r="A7134" s="3">
        <v>6229.0</v>
      </c>
      <c r="B7134" s="4">
        <v>45397.57834490741</v>
      </c>
      <c r="C7134" s="3" t="s">
        <v>5</v>
      </c>
    </row>
    <row r="7135">
      <c r="A7135" s="3">
        <v>1169.0</v>
      </c>
      <c r="B7135" s="4">
        <v>45397.590891203705</v>
      </c>
      <c r="C7135" s="3" t="s">
        <v>7</v>
      </c>
    </row>
    <row r="7136">
      <c r="A7136" s="3">
        <v>2265.0</v>
      </c>
      <c r="B7136" s="4">
        <v>45397.599652777775</v>
      </c>
      <c r="C7136" s="3" t="s">
        <v>3</v>
      </c>
    </row>
    <row r="7137">
      <c r="A7137" s="3">
        <v>6419.0</v>
      </c>
      <c r="B7137" s="4">
        <v>45397.64869212963</v>
      </c>
      <c r="C7137" s="3" t="s">
        <v>3</v>
      </c>
    </row>
    <row r="7138">
      <c r="A7138" s="3">
        <v>2614.0</v>
      </c>
      <c r="B7138" s="4">
        <v>45397.663981481484</v>
      </c>
      <c r="C7138" s="3" t="s">
        <v>3</v>
      </c>
    </row>
    <row r="7139">
      <c r="A7139" s="3">
        <v>6862.0</v>
      </c>
      <c r="B7139" s="4">
        <v>45397.693333333336</v>
      </c>
      <c r="C7139" s="3" t="s">
        <v>3</v>
      </c>
    </row>
    <row r="7140">
      <c r="A7140" s="3">
        <v>2590.0</v>
      </c>
      <c r="B7140" s="4">
        <v>45397.72221064815</v>
      </c>
      <c r="C7140" s="3" t="s">
        <v>4</v>
      </c>
    </row>
    <row r="7141">
      <c r="A7141" s="3">
        <v>1728.0</v>
      </c>
      <c r="B7141" s="4">
        <v>45397.72715277778</v>
      </c>
      <c r="C7141" s="3" t="s">
        <v>4</v>
      </c>
    </row>
    <row r="7142">
      <c r="A7142" s="3">
        <v>774.0</v>
      </c>
      <c r="B7142" s="4">
        <v>45397.732719907406</v>
      </c>
      <c r="C7142" s="3" t="s">
        <v>3</v>
      </c>
    </row>
    <row r="7143">
      <c r="A7143" s="3">
        <v>7823.0</v>
      </c>
      <c r="B7143" s="4">
        <v>45397.73887731481</v>
      </c>
      <c r="C7143" s="3" t="s">
        <v>3</v>
      </c>
    </row>
    <row r="7144">
      <c r="A7144" s="3">
        <v>6884.0</v>
      </c>
      <c r="B7144" s="4">
        <v>45397.76981481481</v>
      </c>
      <c r="C7144" s="3" t="s">
        <v>3</v>
      </c>
    </row>
    <row r="7145">
      <c r="A7145" s="3">
        <v>4291.0</v>
      </c>
      <c r="B7145" s="4">
        <v>45397.77543981482</v>
      </c>
      <c r="C7145" s="3" t="s">
        <v>5</v>
      </c>
    </row>
    <row r="7146">
      <c r="A7146" s="3">
        <v>2555.0</v>
      </c>
      <c r="B7146" s="4">
        <v>45397.78664351852</v>
      </c>
      <c r="C7146" s="3" t="s">
        <v>6</v>
      </c>
    </row>
    <row r="7147">
      <c r="A7147" s="3">
        <v>1013.0</v>
      </c>
      <c r="B7147" s="4">
        <v>45397.79329861111</v>
      </c>
      <c r="C7147" s="3" t="s">
        <v>4</v>
      </c>
    </row>
    <row r="7148">
      <c r="A7148" s="3">
        <v>4514.0</v>
      </c>
      <c r="B7148" s="4">
        <v>45397.8328587963</v>
      </c>
      <c r="C7148" s="3" t="s">
        <v>6</v>
      </c>
    </row>
    <row r="7149">
      <c r="A7149" s="3">
        <v>4319.0</v>
      </c>
      <c r="B7149" s="4">
        <v>45397.83424768518</v>
      </c>
      <c r="C7149" s="3" t="s">
        <v>4</v>
      </c>
    </row>
    <row r="7150">
      <c r="A7150" s="3">
        <v>3614.0</v>
      </c>
      <c r="B7150" s="4">
        <v>45397.843773148146</v>
      </c>
      <c r="C7150" s="3" t="s">
        <v>3</v>
      </c>
    </row>
    <row r="7151">
      <c r="A7151" s="3">
        <v>4542.0</v>
      </c>
      <c r="B7151" s="4">
        <v>45397.86645833333</v>
      </c>
      <c r="C7151" s="3" t="s">
        <v>4</v>
      </c>
    </row>
    <row r="7152">
      <c r="A7152" s="3">
        <v>1019.0</v>
      </c>
      <c r="B7152" s="4">
        <v>45397.88594907407</v>
      </c>
      <c r="C7152" s="3" t="s">
        <v>4</v>
      </c>
    </row>
    <row r="7153">
      <c r="A7153" s="3">
        <v>4542.0</v>
      </c>
      <c r="B7153" s="4">
        <v>45397.890868055554</v>
      </c>
      <c r="C7153" s="3" t="s">
        <v>3</v>
      </c>
    </row>
    <row r="7154">
      <c r="A7154" s="3">
        <v>3335.0</v>
      </c>
      <c r="B7154" s="4">
        <v>45397.91504629629</v>
      </c>
      <c r="C7154" s="3" t="s">
        <v>7</v>
      </c>
    </row>
    <row r="7155">
      <c r="A7155" s="3">
        <v>5353.0</v>
      </c>
      <c r="B7155" s="4">
        <v>45397.92717592593</v>
      </c>
      <c r="C7155" s="3" t="s">
        <v>3</v>
      </c>
    </row>
    <row r="7156">
      <c r="A7156" s="3">
        <v>4943.0</v>
      </c>
      <c r="B7156" s="4">
        <v>45397.94483796296</v>
      </c>
      <c r="C7156" s="3" t="s">
        <v>6</v>
      </c>
    </row>
    <row r="7157">
      <c r="A7157" s="3">
        <v>5159.0</v>
      </c>
      <c r="B7157" s="4">
        <v>45397.95276620371</v>
      </c>
      <c r="C7157" s="3" t="s">
        <v>3</v>
      </c>
    </row>
    <row r="7158">
      <c r="A7158" s="3">
        <v>32.0</v>
      </c>
      <c r="B7158" s="4">
        <v>45397.9528125</v>
      </c>
      <c r="C7158" s="3" t="s">
        <v>6</v>
      </c>
    </row>
    <row r="7159">
      <c r="A7159" s="3">
        <v>1835.0</v>
      </c>
      <c r="B7159" s="4">
        <v>45398.01366898148</v>
      </c>
      <c r="C7159" s="3" t="s">
        <v>3</v>
      </c>
    </row>
    <row r="7160">
      <c r="A7160" s="3">
        <v>3095.0</v>
      </c>
      <c r="B7160" s="4">
        <v>45398.02310185185</v>
      </c>
      <c r="C7160" s="3" t="s">
        <v>3</v>
      </c>
    </row>
    <row r="7161">
      <c r="A7161" s="3">
        <v>4087.0</v>
      </c>
      <c r="B7161" s="4">
        <v>45398.03003472222</v>
      </c>
      <c r="C7161" s="3" t="s">
        <v>5</v>
      </c>
    </row>
    <row r="7162">
      <c r="A7162" s="3">
        <v>382.0</v>
      </c>
      <c r="B7162" s="4">
        <v>45398.044537037036</v>
      </c>
      <c r="C7162" s="3" t="s">
        <v>7</v>
      </c>
    </row>
    <row r="7163">
      <c r="A7163" s="3">
        <v>1195.0</v>
      </c>
      <c r="B7163" s="4">
        <v>45398.05359953704</v>
      </c>
      <c r="C7163" s="3" t="s">
        <v>3</v>
      </c>
    </row>
    <row r="7164">
      <c r="A7164" s="3">
        <v>32.0</v>
      </c>
      <c r="B7164" s="4">
        <v>45398.06636574074</v>
      </c>
      <c r="C7164" s="3" t="s">
        <v>7</v>
      </c>
    </row>
    <row r="7165">
      <c r="A7165" s="3">
        <v>5526.0</v>
      </c>
      <c r="B7165" s="4">
        <v>45398.071875</v>
      </c>
      <c r="C7165" s="3" t="s">
        <v>3</v>
      </c>
    </row>
    <row r="7166">
      <c r="A7166" s="3">
        <v>4465.0</v>
      </c>
      <c r="B7166" s="4">
        <v>45398.09857638889</v>
      </c>
      <c r="C7166" s="3" t="s">
        <v>3</v>
      </c>
    </row>
    <row r="7167">
      <c r="A7167" s="3">
        <v>4003.0</v>
      </c>
      <c r="B7167" s="4">
        <v>45398.10542824074</v>
      </c>
      <c r="C7167" s="3" t="s">
        <v>4</v>
      </c>
    </row>
    <row r="7168">
      <c r="A7168" s="3">
        <v>70.0</v>
      </c>
      <c r="B7168" s="4">
        <v>45398.10675925926</v>
      </c>
      <c r="C7168" s="3" t="s">
        <v>7</v>
      </c>
    </row>
    <row r="7169">
      <c r="A7169" s="3">
        <v>229.0</v>
      </c>
      <c r="B7169" s="4">
        <v>45398.11607638889</v>
      </c>
      <c r="C7169" s="3" t="s">
        <v>7</v>
      </c>
    </row>
    <row r="7170">
      <c r="A7170" s="3">
        <v>5875.0</v>
      </c>
      <c r="B7170" s="4">
        <v>45398.12462962963</v>
      </c>
      <c r="C7170" s="3" t="s">
        <v>3</v>
      </c>
    </row>
    <row r="7171">
      <c r="A7171" s="3">
        <v>5445.0</v>
      </c>
      <c r="B7171" s="4">
        <v>45398.17265046296</v>
      </c>
      <c r="C7171" s="3" t="s">
        <v>6</v>
      </c>
    </row>
    <row r="7172">
      <c r="A7172" s="3">
        <v>5282.0</v>
      </c>
      <c r="B7172" s="4">
        <v>45398.209074074075</v>
      </c>
      <c r="C7172" s="3" t="s">
        <v>7</v>
      </c>
    </row>
    <row r="7173">
      <c r="A7173" s="3">
        <v>3249.0</v>
      </c>
      <c r="B7173" s="4">
        <v>45398.21653935185</v>
      </c>
      <c r="C7173" s="3" t="s">
        <v>5</v>
      </c>
    </row>
    <row r="7174">
      <c r="A7174" s="3">
        <v>6516.0</v>
      </c>
      <c r="B7174" s="4">
        <v>45398.23365740741</v>
      </c>
      <c r="C7174" s="3" t="s">
        <v>6</v>
      </c>
    </row>
    <row r="7175">
      <c r="A7175" s="3">
        <v>5526.0</v>
      </c>
      <c r="B7175" s="4">
        <v>45398.24118055555</v>
      </c>
      <c r="C7175" s="3" t="s">
        <v>4</v>
      </c>
    </row>
    <row r="7176">
      <c r="A7176" s="3">
        <v>5373.0</v>
      </c>
      <c r="B7176" s="4">
        <v>45398.32761574074</v>
      </c>
      <c r="C7176" s="3" t="s">
        <v>4</v>
      </c>
    </row>
    <row r="7177">
      <c r="A7177" s="3">
        <v>4478.0</v>
      </c>
      <c r="B7177" s="4">
        <v>45398.332280092596</v>
      </c>
      <c r="C7177" s="3" t="s">
        <v>3</v>
      </c>
    </row>
    <row r="7178">
      <c r="A7178" s="3">
        <v>1256.0</v>
      </c>
      <c r="B7178" s="4">
        <v>45398.33597222222</v>
      </c>
      <c r="C7178" s="3" t="s">
        <v>3</v>
      </c>
    </row>
    <row r="7179">
      <c r="A7179" s="3">
        <v>3127.0</v>
      </c>
      <c r="B7179" s="4">
        <v>45398.35435185185</v>
      </c>
      <c r="C7179" s="3" t="s">
        <v>4</v>
      </c>
    </row>
    <row r="7180">
      <c r="A7180" s="3">
        <v>2265.0</v>
      </c>
      <c r="B7180" s="4">
        <v>45398.35805555555</v>
      </c>
      <c r="C7180" s="3" t="s">
        <v>4</v>
      </c>
    </row>
    <row r="7181">
      <c r="A7181" s="3">
        <v>1155.0</v>
      </c>
      <c r="B7181" s="4">
        <v>45398.367256944446</v>
      </c>
      <c r="C7181" s="3" t="s">
        <v>3</v>
      </c>
    </row>
    <row r="7182">
      <c r="A7182" s="3">
        <v>1917.0</v>
      </c>
      <c r="B7182" s="4">
        <v>45398.38721064815</v>
      </c>
      <c r="C7182" s="3" t="s">
        <v>3</v>
      </c>
    </row>
    <row r="7183">
      <c r="A7183" s="3">
        <v>3249.0</v>
      </c>
      <c r="B7183" s="4">
        <v>45398.40178240741</v>
      </c>
      <c r="C7183" s="3" t="s">
        <v>6</v>
      </c>
    </row>
    <row r="7184">
      <c r="A7184" s="3">
        <v>580.0</v>
      </c>
      <c r="B7184" s="4">
        <v>45398.408796296295</v>
      </c>
      <c r="C7184" s="3" t="s">
        <v>3</v>
      </c>
    </row>
    <row r="7185">
      <c r="A7185" s="3">
        <v>416.0</v>
      </c>
      <c r="B7185" s="4">
        <v>45398.431539351855</v>
      </c>
      <c r="C7185" s="3" t="s">
        <v>4</v>
      </c>
    </row>
    <row r="7186">
      <c r="A7186" s="3">
        <v>6851.0</v>
      </c>
      <c r="B7186" s="4">
        <v>45398.45892361111</v>
      </c>
      <c r="C7186" s="3" t="s">
        <v>3</v>
      </c>
    </row>
    <row r="7187">
      <c r="A7187" s="3">
        <v>3335.0</v>
      </c>
      <c r="B7187" s="4">
        <v>45398.461481481485</v>
      </c>
      <c r="C7187" s="3" t="s">
        <v>6</v>
      </c>
    </row>
    <row r="7188">
      <c r="A7188" s="3">
        <v>6154.0</v>
      </c>
      <c r="B7188" s="4">
        <v>45398.46710648148</v>
      </c>
      <c r="C7188" s="3" t="s">
        <v>5</v>
      </c>
    </row>
    <row r="7189">
      <c r="A7189" s="3">
        <v>4962.0</v>
      </c>
      <c r="B7189" s="4">
        <v>45398.48809027778</v>
      </c>
      <c r="C7189" s="3" t="s">
        <v>7</v>
      </c>
    </row>
    <row r="7190">
      <c r="A7190" s="3">
        <v>1150.0</v>
      </c>
      <c r="B7190" s="4">
        <v>45398.506585648145</v>
      </c>
      <c r="C7190" s="3" t="s">
        <v>6</v>
      </c>
    </row>
    <row r="7191">
      <c r="A7191" s="3">
        <v>4465.0</v>
      </c>
      <c r="B7191" s="4">
        <v>45398.50680555555</v>
      </c>
      <c r="C7191" s="3" t="s">
        <v>4</v>
      </c>
    </row>
    <row r="7192">
      <c r="A7192" s="3">
        <v>2112.0</v>
      </c>
      <c r="B7192" s="4">
        <v>45398.507743055554</v>
      </c>
      <c r="C7192" s="3" t="s">
        <v>4</v>
      </c>
    </row>
    <row r="7193">
      <c r="A7193" s="3">
        <v>2590.0</v>
      </c>
      <c r="B7193" s="4">
        <v>45398.522777777776</v>
      </c>
      <c r="C7193" s="3" t="s">
        <v>5</v>
      </c>
    </row>
    <row r="7194">
      <c r="A7194" s="3">
        <v>645.0</v>
      </c>
      <c r="B7194" s="4">
        <v>45398.52460648148</v>
      </c>
      <c r="C7194" s="3" t="s">
        <v>3</v>
      </c>
    </row>
    <row r="7195">
      <c r="A7195" s="3">
        <v>6887.0</v>
      </c>
      <c r="B7195" s="4">
        <v>45398.53202546296</v>
      </c>
      <c r="C7195" s="3" t="s">
        <v>4</v>
      </c>
    </row>
    <row r="7196">
      <c r="A7196" s="3">
        <v>443.0</v>
      </c>
      <c r="B7196" s="4">
        <v>45398.53303240741</v>
      </c>
      <c r="C7196" s="3" t="s">
        <v>4</v>
      </c>
    </row>
    <row r="7197">
      <c r="A7197" s="3">
        <v>6763.0</v>
      </c>
      <c r="B7197" s="4">
        <v>45398.53959490741</v>
      </c>
      <c r="C7197" s="3" t="s">
        <v>3</v>
      </c>
    </row>
    <row r="7198">
      <c r="A7198" s="3">
        <v>6512.0</v>
      </c>
      <c r="B7198" s="4">
        <v>45398.55304398148</v>
      </c>
      <c r="C7198" s="3" t="s">
        <v>3</v>
      </c>
    </row>
    <row r="7199">
      <c r="A7199" s="3">
        <v>382.0</v>
      </c>
      <c r="B7199" s="4">
        <v>45398.553715277776</v>
      </c>
      <c r="C7199" s="3" t="s">
        <v>6</v>
      </c>
    </row>
    <row r="7200">
      <c r="A7200" s="3">
        <v>4291.0</v>
      </c>
      <c r="B7200" s="4">
        <v>45398.58767361111</v>
      </c>
      <c r="C7200" s="3" t="s">
        <v>4</v>
      </c>
    </row>
    <row r="7201">
      <c r="A7201" s="3">
        <v>2756.0</v>
      </c>
      <c r="B7201" s="4">
        <v>45398.622083333335</v>
      </c>
      <c r="C7201" s="3" t="s">
        <v>7</v>
      </c>
    </row>
    <row r="7202">
      <c r="A7202" s="3">
        <v>1019.0</v>
      </c>
      <c r="B7202" s="4">
        <v>45398.62633101852</v>
      </c>
      <c r="C7202" s="3" t="s">
        <v>7</v>
      </c>
    </row>
    <row r="7203">
      <c r="A7203" s="3">
        <v>3133.0</v>
      </c>
      <c r="B7203" s="4">
        <v>45398.64380787037</v>
      </c>
      <c r="C7203" s="3" t="s">
        <v>3</v>
      </c>
    </row>
    <row r="7204">
      <c r="A7204" s="3">
        <v>4478.0</v>
      </c>
      <c r="B7204" s="4">
        <v>45398.65914351852</v>
      </c>
      <c r="C7204" s="3" t="s">
        <v>4</v>
      </c>
    </row>
    <row r="7205">
      <c r="A7205" s="3">
        <v>1237.0</v>
      </c>
      <c r="B7205" s="4">
        <v>45398.66092592593</v>
      </c>
      <c r="C7205" s="3" t="s">
        <v>3</v>
      </c>
    </row>
    <row r="7206">
      <c r="A7206" s="3">
        <v>5894.0</v>
      </c>
      <c r="B7206" s="4">
        <v>45398.66097222222</v>
      </c>
      <c r="C7206" s="3" t="s">
        <v>7</v>
      </c>
    </row>
    <row r="7207">
      <c r="A7207" s="3">
        <v>217.0</v>
      </c>
      <c r="B7207" s="4">
        <v>45398.66849537037</v>
      </c>
      <c r="C7207" s="3" t="s">
        <v>5</v>
      </c>
    </row>
    <row r="7208">
      <c r="A7208" s="3">
        <v>4962.0</v>
      </c>
      <c r="B7208" s="4">
        <v>45398.67648148148</v>
      </c>
      <c r="C7208" s="3" t="s">
        <v>4</v>
      </c>
    </row>
    <row r="7209">
      <c r="A7209" s="3">
        <v>3743.0</v>
      </c>
      <c r="B7209" s="4">
        <v>45398.681180555555</v>
      </c>
      <c r="C7209" s="3" t="s">
        <v>6</v>
      </c>
    </row>
    <row r="7210">
      <c r="A7210" s="3">
        <v>774.0</v>
      </c>
      <c r="B7210" s="4">
        <v>45398.69950231481</v>
      </c>
      <c r="C7210" s="3" t="s">
        <v>4</v>
      </c>
    </row>
    <row r="7211">
      <c r="A7211" s="3">
        <v>7956.0</v>
      </c>
      <c r="B7211" s="4">
        <v>45398.70633101852</v>
      </c>
      <c r="C7211" s="3" t="s">
        <v>3</v>
      </c>
    </row>
    <row r="7212">
      <c r="A7212" s="3">
        <v>6280.0</v>
      </c>
      <c r="B7212" s="4">
        <v>45398.71061342592</v>
      </c>
      <c r="C7212" s="3" t="s">
        <v>5</v>
      </c>
    </row>
    <row r="7213">
      <c r="A7213" s="3">
        <v>3192.0</v>
      </c>
      <c r="B7213" s="4">
        <v>45398.75791666667</v>
      </c>
      <c r="C7213" s="3" t="s">
        <v>3</v>
      </c>
    </row>
    <row r="7214">
      <c r="A7214" s="3">
        <v>3127.0</v>
      </c>
      <c r="B7214" s="4">
        <v>45398.759108796294</v>
      </c>
      <c r="C7214" s="3" t="s">
        <v>7</v>
      </c>
    </row>
    <row r="7215">
      <c r="A7215" s="3">
        <v>5618.0</v>
      </c>
      <c r="B7215" s="4">
        <v>45398.75917824074</v>
      </c>
      <c r="C7215" s="3" t="s">
        <v>5</v>
      </c>
    </row>
    <row r="7216">
      <c r="A7216" s="3">
        <v>6862.0</v>
      </c>
      <c r="B7216" s="4">
        <v>45398.777708333335</v>
      </c>
      <c r="C7216" s="3" t="s">
        <v>5</v>
      </c>
    </row>
    <row r="7217">
      <c r="A7217" s="3">
        <v>2910.0</v>
      </c>
      <c r="B7217" s="4">
        <v>45398.78341435185</v>
      </c>
      <c r="C7217" s="3" t="s">
        <v>3</v>
      </c>
    </row>
    <row r="7218">
      <c r="A7218" s="3">
        <v>1575.0</v>
      </c>
      <c r="B7218" s="4">
        <v>45398.80236111111</v>
      </c>
      <c r="C7218" s="3" t="s">
        <v>3</v>
      </c>
    </row>
    <row r="7219">
      <c r="A7219" s="3">
        <v>6603.0</v>
      </c>
      <c r="B7219" s="4">
        <v>45398.81815972222</v>
      </c>
      <c r="C7219" s="3" t="s">
        <v>3</v>
      </c>
    </row>
    <row r="7220">
      <c r="A7220" s="3">
        <v>4087.0</v>
      </c>
      <c r="B7220" s="4">
        <v>45398.84884259259</v>
      </c>
      <c r="C7220" s="3" t="s">
        <v>3</v>
      </c>
    </row>
    <row r="7221">
      <c r="A7221" s="3">
        <v>5875.0</v>
      </c>
      <c r="B7221" s="4">
        <v>45398.911458333336</v>
      </c>
      <c r="C7221" s="3" t="s">
        <v>4</v>
      </c>
    </row>
    <row r="7222">
      <c r="A7222" s="3">
        <v>6677.0</v>
      </c>
      <c r="B7222" s="4">
        <v>45398.913668981484</v>
      </c>
      <c r="C7222" s="3" t="s">
        <v>5</v>
      </c>
    </row>
    <row r="7223">
      <c r="A7223" s="3">
        <v>3374.0</v>
      </c>
      <c r="B7223" s="4">
        <v>45398.937627314815</v>
      </c>
      <c r="C7223" s="3" t="s">
        <v>3</v>
      </c>
    </row>
    <row r="7224">
      <c r="A7224" s="3">
        <v>2686.0</v>
      </c>
      <c r="B7224" s="4">
        <v>45398.95391203704</v>
      </c>
      <c r="C7224" s="3" t="s">
        <v>3</v>
      </c>
    </row>
    <row r="7225">
      <c r="A7225" s="3">
        <v>6419.0</v>
      </c>
      <c r="B7225" s="4">
        <v>45398.959375</v>
      </c>
      <c r="C7225" s="3" t="s">
        <v>4</v>
      </c>
    </row>
    <row r="7226">
      <c r="A7226" s="3">
        <v>4909.0</v>
      </c>
      <c r="B7226" s="4">
        <v>45398.96761574074</v>
      </c>
      <c r="C7226" s="3" t="s">
        <v>7</v>
      </c>
    </row>
    <row r="7227">
      <c r="A7227" s="3">
        <v>2977.0</v>
      </c>
      <c r="B7227" s="4">
        <v>45398.97976851852</v>
      </c>
      <c r="C7227" s="3" t="s">
        <v>3</v>
      </c>
    </row>
    <row r="7228">
      <c r="A7228" s="3">
        <v>1388.0</v>
      </c>
      <c r="B7228" s="4">
        <v>45398.98255787037</v>
      </c>
      <c r="C7228" s="3" t="s">
        <v>3</v>
      </c>
    </row>
    <row r="7229">
      <c r="A7229" s="3">
        <v>3798.0</v>
      </c>
      <c r="B7229" s="4">
        <v>45398.984502314815</v>
      </c>
      <c r="C7229" s="3" t="s">
        <v>3</v>
      </c>
    </row>
    <row r="7230">
      <c r="A7230" s="3">
        <v>3127.0</v>
      </c>
      <c r="B7230" s="4">
        <v>45399.03291666666</v>
      </c>
      <c r="C7230" s="3" t="s">
        <v>6</v>
      </c>
    </row>
    <row r="7231">
      <c r="A7231" s="3">
        <v>4962.0</v>
      </c>
      <c r="B7231" s="4">
        <v>45399.06799768518</v>
      </c>
      <c r="C7231" s="3" t="s">
        <v>6</v>
      </c>
    </row>
    <row r="7232">
      <c r="A7232" s="3">
        <v>749.0</v>
      </c>
      <c r="B7232" s="4">
        <v>45399.07861111111</v>
      </c>
      <c r="C7232" s="3" t="s">
        <v>7</v>
      </c>
    </row>
    <row r="7233">
      <c r="A7233" s="3">
        <v>3940.0</v>
      </c>
      <c r="B7233" s="4">
        <v>45399.08427083334</v>
      </c>
      <c r="C7233" s="3" t="s">
        <v>6</v>
      </c>
    </row>
    <row r="7234">
      <c r="A7234" s="3">
        <v>6862.0</v>
      </c>
      <c r="B7234" s="4">
        <v>45399.08672453704</v>
      </c>
      <c r="C7234" s="3" t="s">
        <v>4</v>
      </c>
    </row>
    <row r="7235">
      <c r="A7235" s="3">
        <v>5906.0</v>
      </c>
      <c r="B7235" s="4">
        <v>45399.097962962966</v>
      </c>
      <c r="C7235" s="3" t="s">
        <v>3</v>
      </c>
    </row>
    <row r="7236">
      <c r="A7236" s="3">
        <v>1756.0</v>
      </c>
      <c r="B7236" s="4">
        <v>45399.10240740741</v>
      </c>
      <c r="C7236" s="3" t="s">
        <v>3</v>
      </c>
    </row>
    <row r="7237">
      <c r="A7237" s="3">
        <v>1782.0</v>
      </c>
      <c r="B7237" s="4">
        <v>45399.14009259259</v>
      </c>
      <c r="C7237" s="3" t="s">
        <v>3</v>
      </c>
    </row>
    <row r="7238">
      <c r="A7238" s="3">
        <v>1035.0</v>
      </c>
      <c r="B7238" s="4">
        <v>45399.16018518519</v>
      </c>
      <c r="C7238" s="3" t="s">
        <v>6</v>
      </c>
    </row>
    <row r="7239">
      <c r="A7239" s="3">
        <v>7166.0</v>
      </c>
      <c r="B7239" s="4">
        <v>45399.18313657407</v>
      </c>
      <c r="C7239" s="3" t="s">
        <v>3</v>
      </c>
    </row>
    <row r="7240">
      <c r="A7240" s="3">
        <v>2214.0</v>
      </c>
      <c r="B7240" s="4">
        <v>45399.18662037037</v>
      </c>
      <c r="C7240" s="3" t="s">
        <v>3</v>
      </c>
    </row>
    <row r="7241">
      <c r="A7241" s="3">
        <v>6489.0</v>
      </c>
      <c r="B7241" s="4">
        <v>45399.19797453703</v>
      </c>
      <c r="C7241" s="3" t="s">
        <v>3</v>
      </c>
    </row>
    <row r="7242">
      <c r="A7242" s="3">
        <v>5839.0</v>
      </c>
      <c r="B7242" s="4">
        <v>45399.20303240741</v>
      </c>
      <c r="C7242" s="3" t="s">
        <v>5</v>
      </c>
    </row>
    <row r="7243">
      <c r="A7243" s="3">
        <v>3095.0</v>
      </c>
      <c r="B7243" s="4">
        <v>45399.22634259259</v>
      </c>
      <c r="C7243" s="3" t="s">
        <v>4</v>
      </c>
    </row>
    <row r="7244">
      <c r="A7244" s="3">
        <v>1776.0</v>
      </c>
      <c r="B7244" s="4">
        <v>45399.23537037037</v>
      </c>
      <c r="C7244" s="3" t="s">
        <v>6</v>
      </c>
    </row>
    <row r="7245">
      <c r="A7245" s="3">
        <v>4337.0</v>
      </c>
      <c r="B7245" s="4">
        <v>45399.238287037035</v>
      </c>
      <c r="C7245" s="3" t="s">
        <v>6</v>
      </c>
    </row>
    <row r="7246">
      <c r="A7246" s="3">
        <v>5899.0</v>
      </c>
      <c r="B7246" s="4">
        <v>45399.25488425926</v>
      </c>
      <c r="C7246" s="3" t="s">
        <v>3</v>
      </c>
    </row>
    <row r="7247">
      <c r="A7247" s="3">
        <v>4962.0</v>
      </c>
      <c r="B7247" s="4">
        <v>45399.261967592596</v>
      </c>
      <c r="C7247" s="3" t="s">
        <v>5</v>
      </c>
    </row>
    <row r="7248">
      <c r="A7248" s="3">
        <v>5282.0</v>
      </c>
      <c r="B7248" s="4">
        <v>45399.27815972222</v>
      </c>
      <c r="C7248" s="3" t="s">
        <v>6</v>
      </c>
    </row>
    <row r="7249">
      <c r="A7249" s="3">
        <v>6365.0</v>
      </c>
      <c r="B7249" s="4">
        <v>45399.31898148148</v>
      </c>
      <c r="C7249" s="3" t="s">
        <v>7</v>
      </c>
    </row>
    <row r="7250">
      <c r="A7250" s="3">
        <v>4003.0</v>
      </c>
      <c r="B7250" s="4">
        <v>45399.32297453703</v>
      </c>
      <c r="C7250" s="3" t="s">
        <v>6</v>
      </c>
    </row>
    <row r="7251">
      <c r="A7251" s="3">
        <v>5894.0</v>
      </c>
      <c r="B7251" s="4">
        <v>45399.33399305555</v>
      </c>
      <c r="C7251" s="3" t="s">
        <v>6</v>
      </c>
    </row>
    <row r="7252">
      <c r="A7252" s="3">
        <v>2843.0</v>
      </c>
      <c r="B7252" s="4">
        <v>45399.33715277778</v>
      </c>
      <c r="C7252" s="3" t="s">
        <v>7</v>
      </c>
    </row>
    <row r="7253">
      <c r="A7253" s="3">
        <v>2686.0</v>
      </c>
      <c r="B7253" s="4">
        <v>45399.359872685185</v>
      </c>
      <c r="C7253" s="3" t="s">
        <v>6</v>
      </c>
    </row>
    <row r="7254">
      <c r="A7254" s="3">
        <v>3743.0</v>
      </c>
      <c r="B7254" s="4">
        <v>45399.382581018515</v>
      </c>
      <c r="C7254" s="3" t="s">
        <v>5</v>
      </c>
    </row>
    <row r="7255">
      <c r="A7255" s="3">
        <v>1874.0</v>
      </c>
      <c r="B7255" s="4">
        <v>45399.41491898148</v>
      </c>
      <c r="C7255" s="3" t="s">
        <v>4</v>
      </c>
    </row>
    <row r="7256">
      <c r="A7256" s="3">
        <v>4074.0</v>
      </c>
      <c r="B7256" s="4">
        <v>45399.461597222224</v>
      </c>
      <c r="C7256" s="3" t="s">
        <v>3</v>
      </c>
    </row>
    <row r="7257">
      <c r="A7257" s="3">
        <v>381.0</v>
      </c>
      <c r="B7257" s="4">
        <v>45399.46349537037</v>
      </c>
      <c r="C7257" s="3" t="s">
        <v>3</v>
      </c>
    </row>
    <row r="7258">
      <c r="A7258" s="3">
        <v>5276.0</v>
      </c>
      <c r="B7258" s="4">
        <v>45399.46769675926</v>
      </c>
      <c r="C7258" s="3" t="s">
        <v>4</v>
      </c>
    </row>
    <row r="7259">
      <c r="A7259" s="3">
        <v>5839.0</v>
      </c>
      <c r="B7259" s="4">
        <v>45399.479097222225</v>
      </c>
      <c r="C7259" s="3" t="s">
        <v>3</v>
      </c>
    </row>
    <row r="7260">
      <c r="A7260" s="3">
        <v>1131.0</v>
      </c>
      <c r="B7260" s="4">
        <v>45399.53989583333</v>
      </c>
      <c r="C7260" s="3" t="s">
        <v>3</v>
      </c>
    </row>
    <row r="7261">
      <c r="A7261" s="3">
        <v>7563.0</v>
      </c>
      <c r="B7261" s="4">
        <v>45399.55409722222</v>
      </c>
      <c r="C7261" s="3" t="s">
        <v>3</v>
      </c>
    </row>
    <row r="7262">
      <c r="A7262" s="3">
        <v>2686.0</v>
      </c>
      <c r="B7262" s="4">
        <v>45399.58368055556</v>
      </c>
      <c r="C7262" s="3" t="s">
        <v>4</v>
      </c>
    </row>
    <row r="7263">
      <c r="A7263" s="3">
        <v>2593.0</v>
      </c>
      <c r="B7263" s="4">
        <v>45399.59150462963</v>
      </c>
      <c r="C7263" s="3" t="s">
        <v>7</v>
      </c>
    </row>
    <row r="7264">
      <c r="A7264" s="3">
        <v>3785.0</v>
      </c>
      <c r="B7264" s="4">
        <v>45399.63077546296</v>
      </c>
      <c r="C7264" s="3" t="s">
        <v>3</v>
      </c>
    </row>
    <row r="7265">
      <c r="A7265" s="3">
        <v>5778.0</v>
      </c>
      <c r="B7265" s="4">
        <v>45399.64152777778</v>
      </c>
      <c r="C7265" s="3" t="s">
        <v>3</v>
      </c>
    </row>
    <row r="7266">
      <c r="A7266" s="3">
        <v>5839.0</v>
      </c>
      <c r="B7266" s="4">
        <v>45399.646157407406</v>
      </c>
      <c r="C7266" s="3" t="s">
        <v>4</v>
      </c>
    </row>
    <row r="7267">
      <c r="A7267" s="3">
        <v>6097.0</v>
      </c>
      <c r="B7267" s="4">
        <v>45399.675844907404</v>
      </c>
      <c r="C7267" s="3" t="s">
        <v>4</v>
      </c>
    </row>
    <row r="7268">
      <c r="A7268" s="3">
        <v>4821.0</v>
      </c>
      <c r="B7268" s="4">
        <v>45399.692766203705</v>
      </c>
      <c r="C7268" s="3" t="s">
        <v>3</v>
      </c>
    </row>
    <row r="7269">
      <c r="A7269" s="3">
        <v>5778.0</v>
      </c>
      <c r="B7269" s="4">
        <v>45399.70070601852</v>
      </c>
      <c r="C7269" s="3" t="s">
        <v>4</v>
      </c>
    </row>
    <row r="7270">
      <c r="A7270" s="3">
        <v>3762.0</v>
      </c>
      <c r="B7270" s="4">
        <v>45399.702002314814</v>
      </c>
      <c r="C7270" s="3" t="s">
        <v>7</v>
      </c>
    </row>
    <row r="7271">
      <c r="A7271" s="3">
        <v>186.0</v>
      </c>
      <c r="B7271" s="4">
        <v>45399.7175</v>
      </c>
      <c r="C7271" s="3" t="s">
        <v>6</v>
      </c>
    </row>
    <row r="7272">
      <c r="A7272" s="3">
        <v>7134.0</v>
      </c>
      <c r="B7272" s="4">
        <v>45399.72446759259</v>
      </c>
      <c r="C7272" s="3" t="s">
        <v>3</v>
      </c>
    </row>
    <row r="7273">
      <c r="A7273" s="3">
        <v>7407.0</v>
      </c>
      <c r="B7273" s="4">
        <v>45399.758101851854</v>
      </c>
      <c r="C7273" s="3" t="s">
        <v>6</v>
      </c>
    </row>
    <row r="7274">
      <c r="A7274" s="3">
        <v>2080.0</v>
      </c>
      <c r="B7274" s="4">
        <v>45399.76055555556</v>
      </c>
      <c r="C7274" s="3" t="s">
        <v>3</v>
      </c>
    </row>
    <row r="7275">
      <c r="A7275" s="3">
        <v>5799.0</v>
      </c>
      <c r="B7275" s="4">
        <v>45399.77616898148</v>
      </c>
      <c r="C7275" s="3" t="s">
        <v>6</v>
      </c>
    </row>
    <row r="7276">
      <c r="A7276" s="3">
        <v>381.0</v>
      </c>
      <c r="B7276" s="4">
        <v>45399.79175925926</v>
      </c>
      <c r="C7276" s="3" t="s">
        <v>4</v>
      </c>
    </row>
    <row r="7277">
      <c r="A7277" s="3">
        <v>7065.0</v>
      </c>
      <c r="B7277" s="4">
        <v>45399.79824074074</v>
      </c>
      <c r="C7277" s="3" t="s">
        <v>6</v>
      </c>
    </row>
    <row r="7278">
      <c r="A7278" s="3">
        <v>5130.0</v>
      </c>
      <c r="B7278" s="4">
        <v>45399.80981481481</v>
      </c>
      <c r="C7278" s="3" t="s">
        <v>4</v>
      </c>
    </row>
    <row r="7279">
      <c r="A7279" s="3">
        <v>5312.0</v>
      </c>
      <c r="B7279" s="4">
        <v>45399.815</v>
      </c>
      <c r="C7279" s="3" t="s">
        <v>3</v>
      </c>
    </row>
    <row r="7280">
      <c r="A7280" s="3">
        <v>6591.0</v>
      </c>
      <c r="B7280" s="4">
        <v>45399.85265046296</v>
      </c>
      <c r="C7280" s="3" t="s">
        <v>5</v>
      </c>
    </row>
    <row r="7281">
      <c r="A7281" s="3">
        <v>6097.0</v>
      </c>
      <c r="B7281" s="4">
        <v>45399.85581018519</v>
      </c>
      <c r="C7281" s="3" t="s">
        <v>3</v>
      </c>
    </row>
    <row r="7282">
      <c r="A7282" s="3">
        <v>4627.0</v>
      </c>
      <c r="B7282" s="4">
        <v>45399.8894212963</v>
      </c>
      <c r="C7282" s="3" t="s">
        <v>7</v>
      </c>
    </row>
    <row r="7283">
      <c r="A7283" s="3">
        <v>1874.0</v>
      </c>
      <c r="B7283" s="4">
        <v>45399.8934375</v>
      </c>
      <c r="C7283" s="3" t="s">
        <v>3</v>
      </c>
    </row>
    <row r="7284">
      <c r="A7284" s="3">
        <v>6677.0</v>
      </c>
      <c r="B7284" s="4">
        <v>45399.922418981485</v>
      </c>
      <c r="C7284" s="3" t="s">
        <v>7</v>
      </c>
    </row>
    <row r="7285">
      <c r="A7285" s="3">
        <v>1431.0</v>
      </c>
      <c r="B7285" s="4">
        <v>45399.94435185185</v>
      </c>
      <c r="C7285" s="3" t="s">
        <v>3</v>
      </c>
    </row>
    <row r="7286">
      <c r="A7286" s="3">
        <v>7407.0</v>
      </c>
      <c r="B7286" s="4">
        <v>45399.97521990741</v>
      </c>
      <c r="C7286" s="3" t="s">
        <v>7</v>
      </c>
    </row>
    <row r="7287">
      <c r="A7287" s="3">
        <v>2591.0</v>
      </c>
      <c r="B7287" s="4">
        <v>45399.98607638889</v>
      </c>
      <c r="C7287" s="3" t="s">
        <v>3</v>
      </c>
    </row>
    <row r="7288">
      <c r="A7288" s="3">
        <v>7954.0</v>
      </c>
      <c r="B7288" s="4">
        <v>45399.990335648145</v>
      </c>
      <c r="C7288" s="3" t="s">
        <v>3</v>
      </c>
    </row>
    <row r="7289">
      <c r="A7289" s="3">
        <v>3133.0</v>
      </c>
      <c r="B7289" s="4">
        <v>45399.998923611114</v>
      </c>
      <c r="C7289" s="3" t="s">
        <v>7</v>
      </c>
    </row>
    <row r="7290">
      <c r="A7290" s="3">
        <v>2058.0</v>
      </c>
      <c r="B7290" s="4">
        <v>45400.000613425924</v>
      </c>
      <c r="C7290" s="3" t="s">
        <v>3</v>
      </c>
    </row>
    <row r="7291">
      <c r="A7291" s="3">
        <v>2515.0</v>
      </c>
      <c r="B7291" s="4">
        <v>45400.004594907405</v>
      </c>
      <c r="C7291" s="3" t="s">
        <v>3</v>
      </c>
    </row>
    <row r="7292">
      <c r="A7292" s="3">
        <v>1863.0</v>
      </c>
      <c r="B7292" s="4">
        <v>45400.01353009259</v>
      </c>
      <c r="C7292" s="3" t="s">
        <v>4</v>
      </c>
    </row>
    <row r="7293">
      <c r="A7293" s="3">
        <v>1863.0</v>
      </c>
      <c r="B7293" s="4">
        <v>45400.01767361111</v>
      </c>
      <c r="C7293" s="3" t="s">
        <v>3</v>
      </c>
    </row>
    <row r="7294">
      <c r="A7294" s="3">
        <v>5131.0</v>
      </c>
      <c r="B7294" s="4">
        <v>45400.02453703704</v>
      </c>
      <c r="C7294" s="3" t="s">
        <v>3</v>
      </c>
    </row>
    <row r="7295">
      <c r="A7295" s="3">
        <v>6419.0</v>
      </c>
      <c r="B7295" s="4">
        <v>45400.02908564815</v>
      </c>
      <c r="C7295" s="3" t="s">
        <v>6</v>
      </c>
    </row>
    <row r="7296">
      <c r="A7296" s="3">
        <v>774.0</v>
      </c>
      <c r="B7296" s="4">
        <v>45400.0340625</v>
      </c>
      <c r="C7296" s="3" t="s">
        <v>5</v>
      </c>
    </row>
    <row r="7297">
      <c r="A7297" s="3">
        <v>4369.0</v>
      </c>
      <c r="B7297" s="4">
        <v>45400.0490162037</v>
      </c>
      <c r="C7297" s="3" t="s">
        <v>5</v>
      </c>
    </row>
    <row r="7298">
      <c r="A7298" s="3">
        <v>475.0</v>
      </c>
      <c r="B7298" s="4">
        <v>45400.05074074074</v>
      </c>
      <c r="C7298" s="3" t="s">
        <v>3</v>
      </c>
    </row>
    <row r="7299">
      <c r="A7299" s="3">
        <v>3496.0</v>
      </c>
      <c r="B7299" s="4">
        <v>45400.06988425926</v>
      </c>
      <c r="C7299" s="3" t="s">
        <v>3</v>
      </c>
    </row>
    <row r="7300">
      <c r="A7300" s="3">
        <v>6512.0</v>
      </c>
      <c r="B7300" s="4">
        <v>45400.07693287037</v>
      </c>
      <c r="C7300" s="3" t="s">
        <v>4</v>
      </c>
    </row>
    <row r="7301">
      <c r="A7301" s="3">
        <v>7227.0</v>
      </c>
      <c r="B7301" s="4">
        <v>45400.14003472222</v>
      </c>
      <c r="C7301" s="3" t="s">
        <v>3</v>
      </c>
    </row>
    <row r="7302">
      <c r="A7302" s="3">
        <v>2299.0</v>
      </c>
      <c r="B7302" s="4">
        <v>45400.16236111111</v>
      </c>
      <c r="C7302" s="3" t="s">
        <v>3</v>
      </c>
    </row>
    <row r="7303">
      <c r="A7303" s="3">
        <v>6419.0</v>
      </c>
      <c r="B7303" s="4">
        <v>45400.167280092595</v>
      </c>
      <c r="C7303" s="3" t="s">
        <v>7</v>
      </c>
    </row>
    <row r="7304">
      <c r="A7304" s="3">
        <v>6862.0</v>
      </c>
      <c r="B7304" s="4">
        <v>45400.17820601852</v>
      </c>
      <c r="C7304" s="3" t="s">
        <v>7</v>
      </c>
    </row>
    <row r="7305">
      <c r="A7305" s="3">
        <v>5473.0</v>
      </c>
      <c r="B7305" s="4">
        <v>45400.25714120371</v>
      </c>
      <c r="C7305" s="3" t="s">
        <v>3</v>
      </c>
    </row>
    <row r="7306">
      <c r="A7306" s="3">
        <v>6097.0</v>
      </c>
      <c r="B7306" s="4">
        <v>45400.26765046296</v>
      </c>
      <c r="C7306" s="3" t="s">
        <v>5</v>
      </c>
    </row>
    <row r="7307">
      <c r="A7307" s="3">
        <v>867.0</v>
      </c>
      <c r="B7307" s="4">
        <v>45400.279016203705</v>
      </c>
      <c r="C7307" s="3" t="s">
        <v>6</v>
      </c>
    </row>
    <row r="7308">
      <c r="A7308" s="3">
        <v>3151.0</v>
      </c>
      <c r="B7308" s="4">
        <v>45400.30017361111</v>
      </c>
      <c r="C7308" s="3" t="s">
        <v>3</v>
      </c>
    </row>
    <row r="7309">
      <c r="A7309" s="3">
        <v>7255.0</v>
      </c>
      <c r="B7309" s="4">
        <v>45400.309745370374</v>
      </c>
      <c r="C7309" s="3" t="s">
        <v>7</v>
      </c>
    </row>
    <row r="7310">
      <c r="A7310" s="3">
        <v>4079.0</v>
      </c>
      <c r="B7310" s="4">
        <v>45400.3134375</v>
      </c>
      <c r="C7310" s="3" t="s">
        <v>4</v>
      </c>
    </row>
    <row r="7311">
      <c r="A7311" s="3">
        <v>4393.0</v>
      </c>
      <c r="B7311" s="4">
        <v>45400.31636574074</v>
      </c>
      <c r="C7311" s="3" t="s">
        <v>6</v>
      </c>
    </row>
    <row r="7312">
      <c r="A7312" s="3">
        <v>4936.0</v>
      </c>
      <c r="B7312" s="4">
        <v>45400.323958333334</v>
      </c>
      <c r="C7312" s="3" t="s">
        <v>3</v>
      </c>
    </row>
    <row r="7313">
      <c r="A7313" s="3">
        <v>4369.0</v>
      </c>
      <c r="B7313" s="4">
        <v>45400.324108796296</v>
      </c>
      <c r="C7313" s="3" t="s">
        <v>3</v>
      </c>
    </row>
    <row r="7314">
      <c r="A7314" s="3">
        <v>2769.0</v>
      </c>
      <c r="B7314" s="4">
        <v>45400.32603009259</v>
      </c>
      <c r="C7314" s="3" t="s">
        <v>3</v>
      </c>
    </row>
    <row r="7315">
      <c r="A7315" s="3">
        <v>4087.0</v>
      </c>
      <c r="B7315" s="4">
        <v>45400.35674768518</v>
      </c>
      <c r="C7315" s="3" t="s">
        <v>6</v>
      </c>
    </row>
    <row r="7316">
      <c r="A7316" s="3">
        <v>3778.0</v>
      </c>
      <c r="B7316" s="4">
        <v>45400.372569444444</v>
      </c>
      <c r="C7316" s="3" t="s">
        <v>3</v>
      </c>
    </row>
    <row r="7317">
      <c r="A7317" s="3">
        <v>4970.0</v>
      </c>
      <c r="B7317" s="4">
        <v>45400.38888888889</v>
      </c>
      <c r="C7317" s="3" t="s">
        <v>3</v>
      </c>
    </row>
    <row r="7318">
      <c r="A7318" s="3">
        <v>6464.0</v>
      </c>
      <c r="B7318" s="4">
        <v>45400.43251157407</v>
      </c>
      <c r="C7318" s="3" t="s">
        <v>6</v>
      </c>
    </row>
    <row r="7319">
      <c r="A7319" s="3">
        <v>4854.0</v>
      </c>
      <c r="B7319" s="4">
        <v>45400.44331018518</v>
      </c>
      <c r="C7319" s="3" t="s">
        <v>3</v>
      </c>
    </row>
    <row r="7320">
      <c r="A7320" s="3">
        <v>2756.0</v>
      </c>
      <c r="B7320" s="4">
        <v>45400.48875</v>
      </c>
      <c r="C7320" s="3" t="s">
        <v>5</v>
      </c>
    </row>
    <row r="7321">
      <c r="A7321" s="3">
        <v>6963.0</v>
      </c>
      <c r="B7321" s="4">
        <v>45400.507731481484</v>
      </c>
      <c r="C7321" s="3" t="s">
        <v>4</v>
      </c>
    </row>
    <row r="7322">
      <c r="A7322" s="3">
        <v>446.0</v>
      </c>
      <c r="B7322" s="4">
        <v>45400.53224537037</v>
      </c>
      <c r="C7322" s="3" t="s">
        <v>5</v>
      </c>
    </row>
    <row r="7323">
      <c r="A7323" s="3">
        <v>4079.0</v>
      </c>
      <c r="B7323" s="4">
        <v>45400.53528935185</v>
      </c>
      <c r="C7323" s="3" t="s">
        <v>3</v>
      </c>
    </row>
    <row r="7324">
      <c r="A7324" s="3">
        <v>3785.0</v>
      </c>
      <c r="B7324" s="4">
        <v>45400.56927083333</v>
      </c>
      <c r="C7324" s="3" t="s">
        <v>5</v>
      </c>
    </row>
    <row r="7325">
      <c r="A7325" s="3">
        <v>352.0</v>
      </c>
      <c r="B7325" s="4">
        <v>45400.571550925924</v>
      </c>
      <c r="C7325" s="3" t="s">
        <v>5</v>
      </c>
    </row>
    <row r="7326">
      <c r="A7326" s="3">
        <v>1650.0</v>
      </c>
      <c r="B7326" s="4">
        <v>45400.5847337963</v>
      </c>
      <c r="C7326" s="3" t="s">
        <v>6</v>
      </c>
    </row>
    <row r="7327">
      <c r="A7327" s="3">
        <v>4978.0</v>
      </c>
      <c r="B7327" s="4">
        <v>45400.643738425926</v>
      </c>
      <c r="C7327" s="3" t="s">
        <v>7</v>
      </c>
    </row>
    <row r="7328">
      <c r="A7328" s="3">
        <v>933.0</v>
      </c>
      <c r="B7328" s="4">
        <v>45400.64677083334</v>
      </c>
      <c r="C7328" s="3" t="s">
        <v>3</v>
      </c>
    </row>
    <row r="7329">
      <c r="A7329" s="3">
        <v>6280.0</v>
      </c>
      <c r="B7329" s="4">
        <v>45400.655856481484</v>
      </c>
      <c r="C7329" s="3" t="s">
        <v>6</v>
      </c>
    </row>
    <row r="7330">
      <c r="A7330" s="3">
        <v>2593.0</v>
      </c>
      <c r="B7330" s="4">
        <v>45400.68444444444</v>
      </c>
      <c r="C7330" s="3" t="s">
        <v>6</v>
      </c>
    </row>
    <row r="7331">
      <c r="A7331" s="3">
        <v>5181.0</v>
      </c>
      <c r="B7331" s="4">
        <v>45400.701689814814</v>
      </c>
      <c r="C7331" s="3" t="s">
        <v>6</v>
      </c>
    </row>
    <row r="7332">
      <c r="A7332" s="3">
        <v>1917.0</v>
      </c>
      <c r="B7332" s="4">
        <v>45400.712847222225</v>
      </c>
      <c r="C7332" s="3" t="s">
        <v>5</v>
      </c>
    </row>
    <row r="7333">
      <c r="A7333" s="3">
        <v>6763.0</v>
      </c>
      <c r="B7333" s="4">
        <v>45400.719351851854</v>
      </c>
      <c r="C7333" s="3" t="s">
        <v>4</v>
      </c>
    </row>
    <row r="7334">
      <c r="A7334" s="3">
        <v>6403.0</v>
      </c>
      <c r="B7334" s="4">
        <v>45400.73395833333</v>
      </c>
      <c r="C7334" s="3" t="s">
        <v>3</v>
      </c>
    </row>
    <row r="7335">
      <c r="A7335" s="3">
        <v>1019.0</v>
      </c>
      <c r="B7335" s="4">
        <v>45400.76246527778</v>
      </c>
      <c r="C7335" s="3" t="s">
        <v>5</v>
      </c>
    </row>
    <row r="7336">
      <c r="A7336" s="3">
        <v>1756.0</v>
      </c>
      <c r="B7336" s="4">
        <v>45400.7646875</v>
      </c>
      <c r="C7336" s="3" t="s">
        <v>5</v>
      </c>
    </row>
    <row r="7337">
      <c r="A7337" s="3">
        <v>1756.0</v>
      </c>
      <c r="B7337" s="4">
        <v>45400.76627314815</v>
      </c>
      <c r="C7337" s="3" t="s">
        <v>7</v>
      </c>
    </row>
    <row r="7338">
      <c r="A7338" s="3">
        <v>352.0</v>
      </c>
      <c r="B7338" s="4">
        <v>45400.81818287037</v>
      </c>
      <c r="C7338" s="3" t="s">
        <v>3</v>
      </c>
    </row>
    <row r="7339">
      <c r="A7339" s="3">
        <v>412.0</v>
      </c>
      <c r="B7339" s="4">
        <v>45400.85839120371</v>
      </c>
      <c r="C7339" s="3" t="s">
        <v>3</v>
      </c>
    </row>
    <row r="7340">
      <c r="A7340" s="3">
        <v>3374.0</v>
      </c>
      <c r="B7340" s="4">
        <v>45400.862546296295</v>
      </c>
      <c r="C7340" s="3" t="s">
        <v>4</v>
      </c>
    </row>
    <row r="7341">
      <c r="A7341" s="3">
        <v>4936.0</v>
      </c>
      <c r="B7341" s="4">
        <v>45400.86423611111</v>
      </c>
      <c r="C7341" s="3" t="s">
        <v>4</v>
      </c>
    </row>
    <row r="7342">
      <c r="A7342" s="3">
        <v>1711.0</v>
      </c>
      <c r="B7342" s="4">
        <v>45400.88144675926</v>
      </c>
      <c r="C7342" s="3" t="s">
        <v>3</v>
      </c>
    </row>
    <row r="7343">
      <c r="A7343" s="3">
        <v>3785.0</v>
      </c>
      <c r="B7343" s="4">
        <v>45400.90804398148</v>
      </c>
      <c r="C7343" s="3" t="s">
        <v>4</v>
      </c>
    </row>
    <row r="7344">
      <c r="A7344" s="3">
        <v>7956.0</v>
      </c>
      <c r="B7344" s="4">
        <v>45400.91800925926</v>
      </c>
      <c r="C7344" s="3" t="s">
        <v>4</v>
      </c>
    </row>
    <row r="7345">
      <c r="A7345" s="3">
        <v>5942.0</v>
      </c>
      <c r="B7345" s="4">
        <v>45400.950277777774</v>
      </c>
      <c r="C7345" s="3" t="s">
        <v>3</v>
      </c>
    </row>
    <row r="7346">
      <c r="A7346" s="3">
        <v>6649.0</v>
      </c>
      <c r="B7346" s="4">
        <v>45400.95425925926</v>
      </c>
      <c r="C7346" s="3" t="s">
        <v>6</v>
      </c>
    </row>
    <row r="7347">
      <c r="A7347" s="3">
        <v>4035.0</v>
      </c>
      <c r="B7347" s="4">
        <v>45400.96335648148</v>
      </c>
      <c r="C7347" s="3" t="s">
        <v>3</v>
      </c>
    </row>
    <row r="7348">
      <c r="A7348" s="3">
        <v>4943.0</v>
      </c>
      <c r="B7348" s="4">
        <v>45400.97570601852</v>
      </c>
      <c r="C7348" s="3" t="s">
        <v>7</v>
      </c>
    </row>
    <row r="7349">
      <c r="A7349" s="3">
        <v>4928.0</v>
      </c>
      <c r="B7349" s="4">
        <v>45401.00488425926</v>
      </c>
      <c r="C7349" s="3" t="s">
        <v>4</v>
      </c>
    </row>
    <row r="7350">
      <c r="A7350" s="3">
        <v>3601.0</v>
      </c>
      <c r="B7350" s="4">
        <v>45401.00915509259</v>
      </c>
      <c r="C7350" s="3" t="s">
        <v>3</v>
      </c>
    </row>
    <row r="7351">
      <c r="A7351" s="3">
        <v>3377.0</v>
      </c>
      <c r="B7351" s="4">
        <v>45401.061944444446</v>
      </c>
      <c r="C7351" s="3" t="s">
        <v>3</v>
      </c>
    </row>
    <row r="7352">
      <c r="A7352" s="3">
        <v>1756.0</v>
      </c>
      <c r="B7352" s="4">
        <v>45401.079409722224</v>
      </c>
      <c r="C7352" s="3" t="s">
        <v>4</v>
      </c>
    </row>
    <row r="7353">
      <c r="A7353" s="3">
        <v>2660.0</v>
      </c>
      <c r="B7353" s="4">
        <v>45401.11917824074</v>
      </c>
      <c r="C7353" s="3" t="s">
        <v>4</v>
      </c>
    </row>
    <row r="7354">
      <c r="A7354" s="3">
        <v>458.0</v>
      </c>
      <c r="B7354" s="4">
        <v>45401.136666666665</v>
      </c>
      <c r="C7354" s="3" t="s">
        <v>3</v>
      </c>
    </row>
    <row r="7355">
      <c r="A7355" s="3">
        <v>2940.0</v>
      </c>
      <c r="B7355" s="4">
        <v>45401.161041666666</v>
      </c>
      <c r="C7355" s="3" t="s">
        <v>3</v>
      </c>
    </row>
    <row r="7356">
      <c r="A7356" s="3">
        <v>352.0</v>
      </c>
      <c r="B7356" s="4">
        <v>45401.17738425926</v>
      </c>
      <c r="C7356" s="3" t="s">
        <v>4</v>
      </c>
    </row>
    <row r="7357">
      <c r="A7357" s="3">
        <v>7782.0</v>
      </c>
      <c r="B7357" s="4">
        <v>45401.18152777778</v>
      </c>
      <c r="C7357" s="3" t="s">
        <v>3</v>
      </c>
    </row>
    <row r="7358">
      <c r="A7358" s="3">
        <v>933.0</v>
      </c>
      <c r="B7358" s="4">
        <v>45401.19173611111</v>
      </c>
      <c r="C7358" s="3" t="s">
        <v>7</v>
      </c>
    </row>
    <row r="7359">
      <c r="A7359" s="3">
        <v>7083.0</v>
      </c>
      <c r="B7359" s="4">
        <v>45401.20693287037</v>
      </c>
      <c r="C7359" s="3" t="s">
        <v>3</v>
      </c>
    </row>
    <row r="7360">
      <c r="A7360" s="3">
        <v>5778.0</v>
      </c>
      <c r="B7360" s="4">
        <v>45401.21393518519</v>
      </c>
      <c r="C7360" s="3" t="s">
        <v>6</v>
      </c>
    </row>
    <row r="7361">
      <c r="A7361" s="3">
        <v>779.0</v>
      </c>
      <c r="B7361" s="4">
        <v>45401.217627314814</v>
      </c>
      <c r="C7361" s="3" t="s">
        <v>3</v>
      </c>
    </row>
    <row r="7362">
      <c r="A7362" s="3">
        <v>3377.0</v>
      </c>
      <c r="B7362" s="4">
        <v>45401.223032407404</v>
      </c>
      <c r="C7362" s="3" t="s">
        <v>4</v>
      </c>
    </row>
    <row r="7363">
      <c r="A7363" s="3">
        <v>1811.0</v>
      </c>
      <c r="B7363" s="4">
        <v>45401.23212962963</v>
      </c>
      <c r="C7363" s="3" t="s">
        <v>3</v>
      </c>
    </row>
    <row r="7364">
      <c r="A7364" s="3">
        <v>6551.0</v>
      </c>
      <c r="B7364" s="4">
        <v>45401.24170138889</v>
      </c>
      <c r="C7364" s="3" t="s">
        <v>3</v>
      </c>
    </row>
    <row r="7365">
      <c r="A7365" s="3">
        <v>6903.0</v>
      </c>
      <c r="B7365" s="4">
        <v>45401.28954861111</v>
      </c>
      <c r="C7365" s="3" t="s">
        <v>6</v>
      </c>
    </row>
    <row r="7366">
      <c r="A7366" s="3">
        <v>4079.0</v>
      </c>
      <c r="B7366" s="4">
        <v>45401.31790509259</v>
      </c>
      <c r="C7366" s="3" t="s">
        <v>5</v>
      </c>
    </row>
    <row r="7367">
      <c r="A7367" s="3">
        <v>5130.0</v>
      </c>
      <c r="B7367" s="4">
        <v>45401.32225694445</v>
      </c>
      <c r="C7367" s="3" t="s">
        <v>7</v>
      </c>
    </row>
    <row r="7368">
      <c r="A7368" s="3">
        <v>2058.0</v>
      </c>
      <c r="B7368" s="4">
        <v>45401.33855324074</v>
      </c>
      <c r="C7368" s="3" t="s">
        <v>4</v>
      </c>
    </row>
    <row r="7369">
      <c r="A7369" s="3">
        <v>7227.0</v>
      </c>
      <c r="B7369" s="4">
        <v>45401.34049768518</v>
      </c>
      <c r="C7369" s="3" t="s">
        <v>4</v>
      </c>
    </row>
    <row r="7370">
      <c r="A7370" s="3">
        <v>6551.0</v>
      </c>
      <c r="B7370" s="4">
        <v>45401.35457175926</v>
      </c>
      <c r="C7370" s="3" t="s">
        <v>4</v>
      </c>
    </row>
    <row r="7371">
      <c r="A7371" s="3">
        <v>7648.0</v>
      </c>
      <c r="B7371" s="4">
        <v>45401.37155092593</v>
      </c>
      <c r="C7371" s="3" t="s">
        <v>4</v>
      </c>
    </row>
    <row r="7372">
      <c r="A7372" s="3">
        <v>1431.0</v>
      </c>
      <c r="B7372" s="4">
        <v>45401.379849537036</v>
      </c>
      <c r="C7372" s="3" t="s">
        <v>6</v>
      </c>
    </row>
    <row r="7373">
      <c r="A7373" s="3">
        <v>5155.0</v>
      </c>
      <c r="B7373" s="4">
        <v>45401.39119212963</v>
      </c>
      <c r="C7373" s="3" t="s">
        <v>3</v>
      </c>
    </row>
    <row r="7374">
      <c r="A7374" s="3">
        <v>7134.0</v>
      </c>
      <c r="B7374" s="4">
        <v>45401.393912037034</v>
      </c>
      <c r="C7374" s="3" t="s">
        <v>7</v>
      </c>
    </row>
    <row r="7375">
      <c r="A7375" s="3">
        <v>7648.0</v>
      </c>
      <c r="B7375" s="4">
        <v>45401.419386574074</v>
      </c>
      <c r="C7375" s="3" t="s">
        <v>3</v>
      </c>
    </row>
    <row r="7376">
      <c r="A7376" s="3">
        <v>6365.0</v>
      </c>
      <c r="B7376" s="4">
        <v>45401.45361111111</v>
      </c>
      <c r="C7376" s="3" t="s">
        <v>6</v>
      </c>
    </row>
    <row r="7377">
      <c r="A7377" s="3">
        <v>1863.0</v>
      </c>
      <c r="B7377" s="4">
        <v>45401.45835648148</v>
      </c>
      <c r="C7377" s="3" t="s">
        <v>7</v>
      </c>
    </row>
    <row r="7378">
      <c r="A7378" s="3">
        <v>2660.0</v>
      </c>
      <c r="B7378" s="4">
        <v>45401.46357638889</v>
      </c>
      <c r="C7378" s="3" t="s">
        <v>3</v>
      </c>
    </row>
    <row r="7379">
      <c r="A7379" s="3">
        <v>7134.0</v>
      </c>
      <c r="B7379" s="4">
        <v>45401.49324074074</v>
      </c>
      <c r="C7379" s="3" t="s">
        <v>4</v>
      </c>
    </row>
    <row r="7380">
      <c r="A7380" s="3">
        <v>4324.0</v>
      </c>
      <c r="B7380" s="4">
        <v>45401.4972337963</v>
      </c>
      <c r="C7380" s="3" t="s">
        <v>3</v>
      </c>
    </row>
    <row r="7381">
      <c r="A7381" s="3">
        <v>1431.0</v>
      </c>
      <c r="B7381" s="4">
        <v>45401.50971064815</v>
      </c>
      <c r="C7381" s="3" t="s">
        <v>5</v>
      </c>
    </row>
    <row r="7382">
      <c r="A7382" s="3">
        <v>3380.0</v>
      </c>
      <c r="B7382" s="4">
        <v>45401.517013888886</v>
      </c>
      <c r="C7382" s="3" t="s">
        <v>3</v>
      </c>
    </row>
    <row r="7383">
      <c r="A7383" s="3">
        <v>4035.0</v>
      </c>
      <c r="B7383" s="4">
        <v>45401.52208333334</v>
      </c>
      <c r="C7383" s="3" t="s">
        <v>6</v>
      </c>
    </row>
    <row r="7384">
      <c r="A7384" s="3">
        <v>4978.0</v>
      </c>
      <c r="B7384" s="4">
        <v>45401.53936342592</v>
      </c>
      <c r="C7384" s="3" t="s">
        <v>6</v>
      </c>
    </row>
    <row r="7385">
      <c r="A7385" s="3">
        <v>7227.0</v>
      </c>
      <c r="B7385" s="4">
        <v>45401.55945601852</v>
      </c>
      <c r="C7385" s="3" t="s">
        <v>5</v>
      </c>
    </row>
    <row r="7386">
      <c r="A7386" s="3">
        <v>6763.0</v>
      </c>
      <c r="B7386" s="4">
        <v>45401.582650462966</v>
      </c>
      <c r="C7386" s="3" t="s">
        <v>7</v>
      </c>
    </row>
    <row r="7387">
      <c r="A7387" s="3">
        <v>4074.0</v>
      </c>
      <c r="B7387" s="4">
        <v>45401.61618055555</v>
      </c>
      <c r="C7387" s="3" t="s">
        <v>4</v>
      </c>
    </row>
    <row r="7388">
      <c r="A7388" s="3">
        <v>4928.0</v>
      </c>
      <c r="B7388" s="4">
        <v>45401.624560185184</v>
      </c>
      <c r="C7388" s="3" t="s">
        <v>3</v>
      </c>
    </row>
    <row r="7389">
      <c r="A7389" s="3">
        <v>6409.0</v>
      </c>
      <c r="B7389" s="4">
        <v>45401.62625</v>
      </c>
      <c r="C7389" s="3" t="s">
        <v>3</v>
      </c>
    </row>
    <row r="7390">
      <c r="A7390" s="3">
        <v>3517.0</v>
      </c>
      <c r="B7390" s="4">
        <v>45401.63523148148</v>
      </c>
      <c r="C7390" s="3" t="s">
        <v>3</v>
      </c>
    </row>
    <row r="7391">
      <c r="A7391" s="3">
        <v>3743.0</v>
      </c>
      <c r="B7391" s="4">
        <v>45401.64346064815</v>
      </c>
      <c r="C7391" s="3" t="s">
        <v>7</v>
      </c>
    </row>
    <row r="7392">
      <c r="A7392" s="3">
        <v>5265.0</v>
      </c>
      <c r="B7392" s="4">
        <v>45401.660405092596</v>
      </c>
      <c r="C7392" s="3" t="s">
        <v>3</v>
      </c>
    </row>
    <row r="7393">
      <c r="A7393" s="3">
        <v>4320.0</v>
      </c>
      <c r="B7393" s="4">
        <v>45401.66587962963</v>
      </c>
      <c r="C7393" s="3" t="s">
        <v>3</v>
      </c>
    </row>
    <row r="7394">
      <c r="A7394" s="3">
        <v>2245.0</v>
      </c>
      <c r="B7394" s="4">
        <v>45401.684583333335</v>
      </c>
      <c r="C7394" s="3" t="s">
        <v>4</v>
      </c>
    </row>
    <row r="7395">
      <c r="A7395" s="3">
        <v>6115.0</v>
      </c>
      <c r="B7395" s="4">
        <v>45401.688043981485</v>
      </c>
      <c r="C7395" s="3" t="s">
        <v>3</v>
      </c>
    </row>
    <row r="7396">
      <c r="A7396" s="3">
        <v>4410.0</v>
      </c>
      <c r="B7396" s="4">
        <v>45401.689675925925</v>
      </c>
      <c r="C7396" s="3" t="s">
        <v>3</v>
      </c>
    </row>
    <row r="7397">
      <c r="A7397" s="3">
        <v>4003.0</v>
      </c>
      <c r="B7397" s="4">
        <v>45401.69291666667</v>
      </c>
      <c r="C7397" s="3" t="s">
        <v>7</v>
      </c>
    </row>
    <row r="7398">
      <c r="A7398" s="3">
        <v>4320.0</v>
      </c>
      <c r="B7398" s="4">
        <v>45401.69462962963</v>
      </c>
      <c r="C7398" s="3" t="s">
        <v>4</v>
      </c>
    </row>
    <row r="7399">
      <c r="A7399" s="3">
        <v>222.0</v>
      </c>
      <c r="B7399" s="4">
        <v>45401.696597222224</v>
      </c>
      <c r="C7399" s="3" t="s">
        <v>6</v>
      </c>
    </row>
    <row r="7400">
      <c r="A7400" s="3">
        <v>458.0</v>
      </c>
      <c r="B7400" s="4">
        <v>45401.73385416667</v>
      </c>
      <c r="C7400" s="3" t="s">
        <v>5</v>
      </c>
    </row>
    <row r="7401">
      <c r="A7401" s="3">
        <v>5490.0</v>
      </c>
      <c r="B7401" s="4">
        <v>45401.73556712963</v>
      </c>
      <c r="C7401" s="3" t="s">
        <v>3</v>
      </c>
    </row>
    <row r="7402">
      <c r="A7402" s="3">
        <v>5839.0</v>
      </c>
      <c r="B7402" s="4">
        <v>45401.77611111111</v>
      </c>
      <c r="C7402" s="3" t="s">
        <v>6</v>
      </c>
    </row>
    <row r="7403">
      <c r="A7403" s="3">
        <v>690.0</v>
      </c>
      <c r="B7403" s="4">
        <v>45401.78115740741</v>
      </c>
      <c r="C7403" s="3" t="s">
        <v>3</v>
      </c>
    </row>
    <row r="7404">
      <c r="A7404" s="3">
        <v>4312.0</v>
      </c>
      <c r="B7404" s="4">
        <v>45401.79670138889</v>
      </c>
      <c r="C7404" s="3" t="s">
        <v>3</v>
      </c>
    </row>
    <row r="7405">
      <c r="A7405" s="3">
        <v>933.0</v>
      </c>
      <c r="B7405" s="4">
        <v>45401.802824074075</v>
      </c>
      <c r="C7405" s="3" t="s">
        <v>5</v>
      </c>
    </row>
    <row r="7406">
      <c r="A7406" s="3">
        <v>5669.0</v>
      </c>
      <c r="B7406" s="4">
        <v>45401.80918981481</v>
      </c>
      <c r="C7406" s="3" t="s">
        <v>3</v>
      </c>
    </row>
    <row r="7407">
      <c r="A7407" s="3">
        <v>5521.0</v>
      </c>
      <c r="B7407" s="4">
        <v>45401.850648148145</v>
      </c>
      <c r="C7407" s="3" t="s">
        <v>6</v>
      </c>
    </row>
    <row r="7408">
      <c r="A7408" s="3">
        <v>2769.0</v>
      </c>
      <c r="B7408" s="4">
        <v>45401.91548611111</v>
      </c>
      <c r="C7408" s="3" t="s">
        <v>4</v>
      </c>
    </row>
    <row r="7409">
      <c r="A7409" s="3">
        <v>4079.0</v>
      </c>
      <c r="B7409" s="4">
        <v>45401.951875</v>
      </c>
      <c r="C7409" s="3" t="s">
        <v>7</v>
      </c>
    </row>
    <row r="7410">
      <c r="A7410" s="3">
        <v>6825.0</v>
      </c>
      <c r="B7410" s="4">
        <v>45401.95826388889</v>
      </c>
      <c r="C7410" s="3" t="s">
        <v>3</v>
      </c>
    </row>
    <row r="7411">
      <c r="A7411" s="3">
        <v>7847.0</v>
      </c>
      <c r="B7411" s="4">
        <v>45401.958599537036</v>
      </c>
      <c r="C7411" s="3" t="s">
        <v>3</v>
      </c>
    </row>
    <row r="7412">
      <c r="A7412" s="3">
        <v>5181.0</v>
      </c>
      <c r="B7412" s="4">
        <v>45401.96958333333</v>
      </c>
      <c r="C7412" s="3" t="s">
        <v>7</v>
      </c>
    </row>
    <row r="7413">
      <c r="A7413" s="3">
        <v>7134.0</v>
      </c>
      <c r="B7413" s="4">
        <v>45401.983831018515</v>
      </c>
      <c r="C7413" s="3" t="s">
        <v>6</v>
      </c>
    </row>
    <row r="7414">
      <c r="A7414" s="3">
        <v>2245.0</v>
      </c>
      <c r="B7414" s="4">
        <v>45401.98694444444</v>
      </c>
      <c r="C7414" s="3" t="s">
        <v>3</v>
      </c>
    </row>
    <row r="7415">
      <c r="A7415" s="3">
        <v>7956.0</v>
      </c>
      <c r="B7415" s="4">
        <v>45401.99487268519</v>
      </c>
      <c r="C7415" s="3" t="s">
        <v>5</v>
      </c>
    </row>
    <row r="7416">
      <c r="A7416" s="3">
        <v>1570.0</v>
      </c>
      <c r="B7416" s="4">
        <v>45402.01667824074</v>
      </c>
      <c r="C7416" s="3" t="s">
        <v>5</v>
      </c>
    </row>
    <row r="7417">
      <c r="A7417" s="3">
        <v>7166.0</v>
      </c>
      <c r="B7417" s="4">
        <v>45402.03021990741</v>
      </c>
      <c r="C7417" s="3" t="s">
        <v>6</v>
      </c>
    </row>
    <row r="7418">
      <c r="A7418" s="3">
        <v>4689.0</v>
      </c>
      <c r="B7418" s="4">
        <v>45402.03223379629</v>
      </c>
      <c r="C7418" s="3" t="s">
        <v>3</v>
      </c>
    </row>
    <row r="7419">
      <c r="A7419" s="3">
        <v>749.0</v>
      </c>
      <c r="B7419" s="4">
        <v>45402.053078703706</v>
      </c>
      <c r="C7419" s="3" t="s">
        <v>6</v>
      </c>
    </row>
    <row r="7420">
      <c r="A7420" s="3">
        <v>5434.0</v>
      </c>
      <c r="B7420" s="4">
        <v>45402.08583333333</v>
      </c>
      <c r="C7420" s="3" t="s">
        <v>3</v>
      </c>
    </row>
    <row r="7421">
      <c r="A7421" s="3">
        <v>1935.0</v>
      </c>
      <c r="B7421" s="4">
        <v>45402.08954861111</v>
      </c>
      <c r="C7421" s="3" t="s">
        <v>4</v>
      </c>
    </row>
    <row r="7422">
      <c r="A7422" s="3">
        <v>6154.0</v>
      </c>
      <c r="B7422" s="4">
        <v>45402.110300925924</v>
      </c>
      <c r="C7422" s="3" t="s">
        <v>6</v>
      </c>
    </row>
    <row r="7423">
      <c r="A7423" s="3">
        <v>458.0</v>
      </c>
      <c r="B7423" s="4">
        <v>45402.11314814815</v>
      </c>
      <c r="C7423" s="3" t="s">
        <v>4</v>
      </c>
    </row>
    <row r="7424">
      <c r="A7424" s="3">
        <v>580.0</v>
      </c>
      <c r="B7424" s="4">
        <v>45402.11510416667</v>
      </c>
      <c r="C7424" s="3" t="s">
        <v>4</v>
      </c>
    </row>
    <row r="7425">
      <c r="A7425" s="3">
        <v>2855.0</v>
      </c>
      <c r="B7425" s="4">
        <v>45402.12755787037</v>
      </c>
      <c r="C7425" s="3" t="s">
        <v>3</v>
      </c>
    </row>
    <row r="7426">
      <c r="A7426" s="3">
        <v>4872.0</v>
      </c>
      <c r="B7426" s="4">
        <v>45402.15384259259</v>
      </c>
      <c r="C7426" s="3" t="s">
        <v>4</v>
      </c>
    </row>
    <row r="7427">
      <c r="A7427" s="3">
        <v>3971.0</v>
      </c>
      <c r="B7427" s="4">
        <v>45402.180185185185</v>
      </c>
      <c r="C7427" s="3" t="s">
        <v>3</v>
      </c>
    </row>
    <row r="7428">
      <c r="A7428" s="3">
        <v>2590.0</v>
      </c>
      <c r="B7428" s="4">
        <v>45402.18172453704</v>
      </c>
      <c r="C7428" s="3" t="s">
        <v>6</v>
      </c>
    </row>
    <row r="7429">
      <c r="A7429" s="3">
        <v>6961.0</v>
      </c>
      <c r="B7429" s="4">
        <v>45402.18293981482</v>
      </c>
      <c r="C7429" s="3" t="s">
        <v>3</v>
      </c>
    </row>
    <row r="7430">
      <c r="A7430" s="3">
        <v>4872.0</v>
      </c>
      <c r="B7430" s="4">
        <v>45402.18887731482</v>
      </c>
      <c r="C7430" s="3" t="s">
        <v>3</v>
      </c>
    </row>
    <row r="7431">
      <c r="A7431" s="3">
        <v>4369.0</v>
      </c>
      <c r="B7431" s="4">
        <v>45402.19237268518</v>
      </c>
      <c r="C7431" s="3" t="s">
        <v>4</v>
      </c>
    </row>
    <row r="7432">
      <c r="A7432" s="3">
        <v>1935.0</v>
      </c>
      <c r="B7432" s="4">
        <v>45402.20429398148</v>
      </c>
      <c r="C7432" s="3" t="s">
        <v>3</v>
      </c>
    </row>
    <row r="7433">
      <c r="A7433" s="3">
        <v>5373.0</v>
      </c>
      <c r="B7433" s="4">
        <v>45402.20554398148</v>
      </c>
      <c r="C7433" s="3" t="s">
        <v>6</v>
      </c>
    </row>
    <row r="7434">
      <c r="A7434" s="3">
        <v>933.0</v>
      </c>
      <c r="B7434" s="4">
        <v>45402.20916666667</v>
      </c>
      <c r="C7434" s="3" t="s">
        <v>6</v>
      </c>
    </row>
    <row r="7435">
      <c r="A7435" s="3">
        <v>1323.0</v>
      </c>
      <c r="B7435" s="4">
        <v>45402.238645833335</v>
      </c>
      <c r="C7435" s="3" t="s">
        <v>3</v>
      </c>
    </row>
    <row r="7436">
      <c r="A7436" s="3">
        <v>3750.0</v>
      </c>
      <c r="B7436" s="4">
        <v>45402.2437037037</v>
      </c>
      <c r="C7436" s="3" t="s">
        <v>3</v>
      </c>
    </row>
    <row r="7437">
      <c r="A7437" s="3">
        <v>3380.0</v>
      </c>
      <c r="B7437" s="4">
        <v>45402.246400462966</v>
      </c>
      <c r="C7437" s="3" t="s">
        <v>6</v>
      </c>
    </row>
    <row r="7438">
      <c r="A7438" s="3">
        <v>4065.0</v>
      </c>
      <c r="B7438" s="4">
        <v>45402.26671296296</v>
      </c>
      <c r="C7438" s="3" t="s">
        <v>3</v>
      </c>
    </row>
    <row r="7439">
      <c r="A7439" s="3">
        <v>1591.0</v>
      </c>
      <c r="B7439" s="4">
        <v>45402.27686342593</v>
      </c>
      <c r="C7439" s="3" t="s">
        <v>3</v>
      </c>
    </row>
    <row r="7440">
      <c r="A7440" s="3">
        <v>4324.0</v>
      </c>
      <c r="B7440" s="4">
        <v>45402.290243055555</v>
      </c>
      <c r="C7440" s="3" t="s">
        <v>4</v>
      </c>
    </row>
    <row r="7441">
      <c r="A7441" s="3">
        <v>2686.0</v>
      </c>
      <c r="B7441" s="4">
        <v>45402.29116898148</v>
      </c>
      <c r="C7441" s="3" t="s">
        <v>7</v>
      </c>
    </row>
    <row r="7442">
      <c r="A7442" s="3">
        <v>7956.0</v>
      </c>
      <c r="B7442" s="4">
        <v>45402.29153935185</v>
      </c>
      <c r="C7442" s="3" t="s">
        <v>7</v>
      </c>
    </row>
    <row r="7443">
      <c r="A7443" s="3">
        <v>4324.0</v>
      </c>
      <c r="B7443" s="4">
        <v>45402.29372685185</v>
      </c>
      <c r="C7443" s="3" t="s">
        <v>7</v>
      </c>
    </row>
    <row r="7444">
      <c r="A7444" s="3">
        <v>4909.0</v>
      </c>
      <c r="B7444" s="4">
        <v>45402.29655092592</v>
      </c>
      <c r="C7444" s="3" t="s">
        <v>6</v>
      </c>
    </row>
    <row r="7445">
      <c r="A7445" s="3">
        <v>2454.0</v>
      </c>
      <c r="B7445" s="4">
        <v>45402.299895833334</v>
      </c>
      <c r="C7445" s="3" t="s">
        <v>3</v>
      </c>
    </row>
    <row r="7446">
      <c r="A7446" s="3">
        <v>4536.0</v>
      </c>
      <c r="B7446" s="4">
        <v>45402.30918981481</v>
      </c>
      <c r="C7446" s="3" t="s">
        <v>3</v>
      </c>
    </row>
    <row r="7447">
      <c r="A7447" s="3">
        <v>4928.0</v>
      </c>
      <c r="B7447" s="4">
        <v>45402.31150462963</v>
      </c>
      <c r="C7447" s="3" t="s">
        <v>7</v>
      </c>
    </row>
    <row r="7448">
      <c r="A7448" s="3">
        <v>2036.0</v>
      </c>
      <c r="B7448" s="4">
        <v>45402.33876157407</v>
      </c>
      <c r="C7448" s="3" t="s">
        <v>3</v>
      </c>
    </row>
    <row r="7449">
      <c r="A7449" s="3">
        <v>7166.0</v>
      </c>
      <c r="B7449" s="4">
        <v>45402.36444444444</v>
      </c>
      <c r="C7449" s="3" t="s">
        <v>5</v>
      </c>
    </row>
    <row r="7450">
      <c r="A7450" s="3">
        <v>5778.0</v>
      </c>
      <c r="B7450" s="4">
        <v>45402.42827546296</v>
      </c>
      <c r="C7450" s="3" t="s">
        <v>7</v>
      </c>
    </row>
    <row r="7451">
      <c r="A7451" s="3">
        <v>5926.0</v>
      </c>
      <c r="B7451" s="4">
        <v>45402.44515046296</v>
      </c>
      <c r="C7451" s="3" t="s">
        <v>3</v>
      </c>
    </row>
    <row r="7452">
      <c r="A7452" s="3">
        <v>1323.0</v>
      </c>
      <c r="B7452" s="4">
        <v>45402.45245370371</v>
      </c>
      <c r="C7452" s="3" t="s">
        <v>5</v>
      </c>
    </row>
    <row r="7453">
      <c r="A7453" s="3">
        <v>6643.0</v>
      </c>
      <c r="B7453" s="4">
        <v>45402.454675925925</v>
      </c>
      <c r="C7453" s="3" t="s">
        <v>3</v>
      </c>
    </row>
    <row r="7454">
      <c r="A7454" s="3">
        <v>5839.0</v>
      </c>
      <c r="B7454" s="4">
        <v>45402.4596875</v>
      </c>
      <c r="C7454" s="3" t="s">
        <v>7</v>
      </c>
    </row>
    <row r="7455">
      <c r="A7455" s="3">
        <v>7429.0</v>
      </c>
      <c r="B7455" s="4">
        <v>45402.46424768519</v>
      </c>
      <c r="C7455" s="3" t="s">
        <v>3</v>
      </c>
    </row>
    <row r="7456">
      <c r="A7456" s="3">
        <v>352.0</v>
      </c>
      <c r="B7456" s="4">
        <v>45402.514375</v>
      </c>
      <c r="C7456" s="3" t="s">
        <v>6</v>
      </c>
    </row>
    <row r="7457">
      <c r="A7457" s="3">
        <v>1570.0</v>
      </c>
      <c r="B7457" s="4">
        <v>45402.54017361111</v>
      </c>
      <c r="C7457" s="3" t="s">
        <v>3</v>
      </c>
    </row>
    <row r="7458">
      <c r="A7458" s="3">
        <v>4928.0</v>
      </c>
      <c r="B7458" s="4">
        <v>45402.586851851855</v>
      </c>
      <c r="C7458" s="3" t="s">
        <v>5</v>
      </c>
    </row>
    <row r="7459">
      <c r="A7459" s="3">
        <v>4536.0</v>
      </c>
      <c r="B7459" s="4">
        <v>45402.6147337963</v>
      </c>
      <c r="C7459" s="3" t="s">
        <v>4</v>
      </c>
    </row>
    <row r="7460">
      <c r="A7460" s="3">
        <v>2276.0</v>
      </c>
      <c r="B7460" s="4">
        <v>45402.61854166666</v>
      </c>
      <c r="C7460" s="3" t="s">
        <v>3</v>
      </c>
    </row>
    <row r="7461">
      <c r="A7461" s="3">
        <v>381.0</v>
      </c>
      <c r="B7461" s="4">
        <v>45402.630162037036</v>
      </c>
      <c r="C7461" s="3" t="s">
        <v>6</v>
      </c>
    </row>
    <row r="7462">
      <c r="A7462" s="3">
        <v>458.0</v>
      </c>
      <c r="B7462" s="4">
        <v>45402.632569444446</v>
      </c>
      <c r="C7462" s="3" t="s">
        <v>7</v>
      </c>
    </row>
    <row r="7463">
      <c r="A7463" s="3">
        <v>5526.0</v>
      </c>
      <c r="B7463" s="4">
        <v>45402.67030092593</v>
      </c>
      <c r="C7463" s="3" t="s">
        <v>6</v>
      </c>
    </row>
    <row r="7464">
      <c r="A7464" s="3">
        <v>4291.0</v>
      </c>
      <c r="B7464" s="4">
        <v>45402.684270833335</v>
      </c>
      <c r="C7464" s="3" t="s">
        <v>6</v>
      </c>
    </row>
    <row r="7465">
      <c r="A7465" s="3">
        <v>5926.0</v>
      </c>
      <c r="B7465" s="4">
        <v>45402.685752314814</v>
      </c>
      <c r="C7465" s="3" t="s">
        <v>4</v>
      </c>
    </row>
    <row r="7466">
      <c r="A7466" s="3">
        <v>309.0</v>
      </c>
      <c r="B7466" s="4">
        <v>45402.68619212963</v>
      </c>
      <c r="C7466" s="3" t="s">
        <v>3</v>
      </c>
    </row>
    <row r="7467">
      <c r="A7467" s="3">
        <v>1496.0</v>
      </c>
      <c r="B7467" s="4">
        <v>45402.692291666666</v>
      </c>
      <c r="C7467" s="3" t="s">
        <v>3</v>
      </c>
    </row>
    <row r="7468">
      <c r="A7468" s="3">
        <v>2685.0</v>
      </c>
      <c r="B7468" s="4">
        <v>45402.70446759259</v>
      </c>
      <c r="C7468" s="3" t="s">
        <v>3</v>
      </c>
    </row>
    <row r="7469">
      <c r="A7469" s="3">
        <v>4306.0</v>
      </c>
      <c r="B7469" s="4">
        <v>45402.71179398148</v>
      </c>
      <c r="C7469" s="3" t="s">
        <v>3</v>
      </c>
    </row>
    <row r="7470">
      <c r="A7470" s="3">
        <v>3860.0</v>
      </c>
      <c r="B7470" s="4">
        <v>45402.713472222225</v>
      </c>
      <c r="C7470" s="3" t="s">
        <v>3</v>
      </c>
    </row>
    <row r="7471">
      <c r="A7471" s="3">
        <v>2012.0</v>
      </c>
      <c r="B7471" s="4">
        <v>45402.80164351852</v>
      </c>
      <c r="C7471" s="3" t="s">
        <v>3</v>
      </c>
    </row>
    <row r="7472">
      <c r="A7472" s="3">
        <v>774.0</v>
      </c>
      <c r="B7472" s="4">
        <v>45402.81662037037</v>
      </c>
      <c r="C7472" s="3" t="s">
        <v>7</v>
      </c>
    </row>
    <row r="7473">
      <c r="A7473" s="3">
        <v>3834.0</v>
      </c>
      <c r="B7473" s="4">
        <v>45402.853101851855</v>
      </c>
      <c r="C7473" s="3" t="s">
        <v>6</v>
      </c>
    </row>
    <row r="7474">
      <c r="A7474" s="3">
        <v>2112.0</v>
      </c>
      <c r="B7474" s="4">
        <v>45402.88681712963</v>
      </c>
      <c r="C7474" s="3" t="s">
        <v>7</v>
      </c>
    </row>
    <row r="7475">
      <c r="A7475" s="3">
        <v>1141.0</v>
      </c>
      <c r="B7475" s="4">
        <v>45402.89525462963</v>
      </c>
      <c r="C7475" s="3" t="s">
        <v>3</v>
      </c>
    </row>
    <row r="7476">
      <c r="A7476" s="3">
        <v>729.0</v>
      </c>
      <c r="B7476" s="4">
        <v>45402.93258101852</v>
      </c>
      <c r="C7476" s="3" t="s">
        <v>3</v>
      </c>
    </row>
    <row r="7477">
      <c r="A7477" s="3">
        <v>5669.0</v>
      </c>
      <c r="B7477" s="4">
        <v>45402.93980324074</v>
      </c>
      <c r="C7477" s="3" t="s">
        <v>4</v>
      </c>
    </row>
    <row r="7478">
      <c r="A7478" s="3">
        <v>5373.0</v>
      </c>
      <c r="B7478" s="4">
        <v>45402.96113425926</v>
      </c>
      <c r="C7478" s="3" t="s">
        <v>7</v>
      </c>
    </row>
    <row r="7479">
      <c r="A7479" s="3">
        <v>1570.0</v>
      </c>
      <c r="B7479" s="4">
        <v>45402.98556712963</v>
      </c>
      <c r="C7479" s="3" t="s">
        <v>4</v>
      </c>
    </row>
    <row r="7480">
      <c r="A7480" s="3">
        <v>4486.0</v>
      </c>
      <c r="B7480" s="4">
        <v>45403.032326388886</v>
      </c>
      <c r="C7480" s="3" t="s">
        <v>3</v>
      </c>
    </row>
    <row r="7481">
      <c r="A7481" s="3">
        <v>7227.0</v>
      </c>
      <c r="B7481" s="4">
        <v>45403.04163194444</v>
      </c>
      <c r="C7481" s="3" t="s">
        <v>6</v>
      </c>
    </row>
    <row r="7482">
      <c r="A7482" s="3">
        <v>1935.0</v>
      </c>
      <c r="B7482" s="4">
        <v>45403.05719907407</v>
      </c>
      <c r="C7482" s="3" t="s">
        <v>5</v>
      </c>
    </row>
    <row r="7483">
      <c r="A7483" s="3">
        <v>309.0</v>
      </c>
      <c r="B7483" s="4">
        <v>45403.059166666666</v>
      </c>
      <c r="C7483" s="3" t="s">
        <v>4</v>
      </c>
    </row>
    <row r="7484">
      <c r="A7484" s="3">
        <v>381.0</v>
      </c>
      <c r="B7484" s="4">
        <v>45403.06600694444</v>
      </c>
      <c r="C7484" s="3" t="s">
        <v>5</v>
      </c>
    </row>
    <row r="7485">
      <c r="A7485" s="3">
        <v>673.0</v>
      </c>
      <c r="B7485" s="4">
        <v>45403.078668981485</v>
      </c>
      <c r="C7485" s="3" t="s">
        <v>6</v>
      </c>
    </row>
    <row r="7486">
      <c r="A7486" s="3">
        <v>2454.0</v>
      </c>
      <c r="B7486" s="4">
        <v>45403.08037037037</v>
      </c>
      <c r="C7486" s="3" t="s">
        <v>4</v>
      </c>
    </row>
    <row r="7487">
      <c r="A7487" s="3">
        <v>3664.0</v>
      </c>
      <c r="B7487" s="4">
        <v>45403.08476851852</v>
      </c>
      <c r="C7487" s="3" t="s">
        <v>3</v>
      </c>
    </row>
    <row r="7488">
      <c r="A7488" s="3">
        <v>774.0</v>
      </c>
      <c r="B7488" s="4">
        <v>45403.08731481482</v>
      </c>
      <c r="C7488" s="3" t="s">
        <v>6</v>
      </c>
    </row>
    <row r="7489">
      <c r="A7489" s="3">
        <v>3860.0</v>
      </c>
      <c r="B7489" s="4">
        <v>45403.10071759259</v>
      </c>
      <c r="C7489" s="3" t="s">
        <v>4</v>
      </c>
    </row>
    <row r="7490">
      <c r="A7490" s="3">
        <v>4320.0</v>
      </c>
      <c r="B7490" s="4">
        <v>45403.10344907407</v>
      </c>
      <c r="C7490" s="3" t="s">
        <v>5</v>
      </c>
    </row>
    <row r="7491">
      <c r="A7491" s="3">
        <v>6774.0</v>
      </c>
      <c r="B7491" s="4">
        <v>45403.11314814815</v>
      </c>
      <c r="C7491" s="3" t="s">
        <v>3</v>
      </c>
    </row>
    <row r="7492">
      <c r="A7492" s="3">
        <v>4936.0</v>
      </c>
      <c r="B7492" s="4">
        <v>45403.11491898148</v>
      </c>
      <c r="C7492" s="3" t="s">
        <v>6</v>
      </c>
    </row>
    <row r="7493">
      <c r="A7493" s="3">
        <v>5906.0</v>
      </c>
      <c r="B7493" s="4">
        <v>45403.117743055554</v>
      </c>
      <c r="C7493" s="3" t="s">
        <v>4</v>
      </c>
    </row>
    <row r="7494">
      <c r="A7494" s="3">
        <v>7648.0</v>
      </c>
      <c r="B7494" s="4">
        <v>45403.146527777775</v>
      </c>
      <c r="C7494" s="3" t="s">
        <v>5</v>
      </c>
    </row>
    <row r="7495">
      <c r="A7495" s="3">
        <v>4384.0</v>
      </c>
      <c r="B7495" s="4">
        <v>45403.16200231481</v>
      </c>
      <c r="C7495" s="3" t="s">
        <v>3</v>
      </c>
    </row>
    <row r="7496">
      <c r="A7496" s="3">
        <v>5129.0</v>
      </c>
      <c r="B7496" s="4">
        <v>45403.16747685185</v>
      </c>
      <c r="C7496" s="3" t="s">
        <v>3</v>
      </c>
    </row>
    <row r="7497">
      <c r="A7497" s="3">
        <v>6585.0</v>
      </c>
      <c r="B7497" s="4">
        <v>45403.171006944445</v>
      </c>
      <c r="C7497" s="3" t="s">
        <v>6</v>
      </c>
    </row>
    <row r="7498">
      <c r="A7498" s="3">
        <v>6512.0</v>
      </c>
      <c r="B7498" s="4">
        <v>45403.171122685184</v>
      </c>
      <c r="C7498" s="3" t="s">
        <v>6</v>
      </c>
    </row>
    <row r="7499">
      <c r="A7499" s="3">
        <v>2685.0</v>
      </c>
      <c r="B7499" s="4">
        <v>45403.182708333334</v>
      </c>
      <c r="C7499" s="3" t="s">
        <v>4</v>
      </c>
    </row>
    <row r="7500">
      <c r="A7500" s="3">
        <v>147.0</v>
      </c>
      <c r="B7500" s="4">
        <v>45403.18884259259</v>
      </c>
      <c r="C7500" s="3" t="s">
        <v>3</v>
      </c>
    </row>
    <row r="7501">
      <c r="A7501" s="3">
        <v>1401.0</v>
      </c>
      <c r="B7501" s="4">
        <v>45403.19342592593</v>
      </c>
      <c r="C7501" s="3" t="s">
        <v>5</v>
      </c>
    </row>
    <row r="7502">
      <c r="A7502" s="3">
        <v>3380.0</v>
      </c>
      <c r="B7502" s="4">
        <v>45403.19751157407</v>
      </c>
      <c r="C7502" s="3" t="s">
        <v>5</v>
      </c>
    </row>
    <row r="7503">
      <c r="A7503" s="3">
        <v>4018.0</v>
      </c>
      <c r="B7503" s="4">
        <v>45403.207650462966</v>
      </c>
      <c r="C7503" s="3" t="s">
        <v>3</v>
      </c>
    </row>
    <row r="7504">
      <c r="A7504" s="3">
        <v>1401.0</v>
      </c>
      <c r="B7504" s="4">
        <v>45403.26833333333</v>
      </c>
      <c r="C7504" s="3" t="s">
        <v>3</v>
      </c>
    </row>
    <row r="7505">
      <c r="A7505" s="3">
        <v>3130.0</v>
      </c>
      <c r="B7505" s="4">
        <v>45403.28134259259</v>
      </c>
      <c r="C7505" s="3" t="s">
        <v>3</v>
      </c>
    </row>
    <row r="7506">
      <c r="A7506" s="3">
        <v>7134.0</v>
      </c>
      <c r="B7506" s="4">
        <v>45403.30200231481</v>
      </c>
      <c r="C7506" s="3" t="s">
        <v>5</v>
      </c>
    </row>
    <row r="7507">
      <c r="A7507" s="3">
        <v>4320.0</v>
      </c>
      <c r="B7507" s="4">
        <v>45403.30479166667</v>
      </c>
      <c r="C7507" s="3" t="s">
        <v>6</v>
      </c>
    </row>
    <row r="7508">
      <c r="A7508" s="3">
        <v>3727.0</v>
      </c>
      <c r="B7508" s="4">
        <v>45403.31787037037</v>
      </c>
      <c r="C7508" s="3" t="s">
        <v>3</v>
      </c>
    </row>
    <row r="7509">
      <c r="A7509" s="3">
        <v>4928.0</v>
      </c>
      <c r="B7509" s="4">
        <v>45403.324641203704</v>
      </c>
      <c r="C7509" s="3" t="s">
        <v>6</v>
      </c>
    </row>
    <row r="7510">
      <c r="A7510" s="3">
        <v>3084.0</v>
      </c>
      <c r="B7510" s="4">
        <v>45403.37458333333</v>
      </c>
      <c r="C7510" s="3" t="s">
        <v>3</v>
      </c>
    </row>
    <row r="7511">
      <c r="A7511" s="3">
        <v>2940.0</v>
      </c>
      <c r="B7511" s="4">
        <v>45403.38203703704</v>
      </c>
      <c r="C7511" s="3" t="s">
        <v>4</v>
      </c>
    </row>
    <row r="7512">
      <c r="A7512" s="3">
        <v>6115.0</v>
      </c>
      <c r="B7512" s="4">
        <v>45403.39398148148</v>
      </c>
      <c r="C7512" s="3" t="s">
        <v>4</v>
      </c>
    </row>
    <row r="7513">
      <c r="A7513" s="3">
        <v>2151.0</v>
      </c>
      <c r="B7513" s="4">
        <v>45403.423310185186</v>
      </c>
      <c r="C7513" s="3" t="s">
        <v>3</v>
      </c>
    </row>
    <row r="7514">
      <c r="A7514" s="3">
        <v>1756.0</v>
      </c>
      <c r="B7514" s="4">
        <v>45403.42841435185</v>
      </c>
      <c r="C7514" s="3" t="s">
        <v>6</v>
      </c>
    </row>
    <row r="7515">
      <c r="A7515" s="3">
        <v>7200.0</v>
      </c>
      <c r="B7515" s="4">
        <v>45403.43256944444</v>
      </c>
      <c r="C7515" s="3" t="s">
        <v>3</v>
      </c>
    </row>
    <row r="7516">
      <c r="A7516" s="3">
        <v>4536.0</v>
      </c>
      <c r="B7516" s="4">
        <v>45403.4458912037</v>
      </c>
      <c r="C7516" s="3" t="s">
        <v>6</v>
      </c>
    </row>
    <row r="7517">
      <c r="A7517" s="3">
        <v>1534.0</v>
      </c>
      <c r="B7517" s="4">
        <v>45403.490439814814</v>
      </c>
      <c r="C7517" s="3" t="s">
        <v>3</v>
      </c>
    </row>
    <row r="7518">
      <c r="A7518" s="3">
        <v>475.0</v>
      </c>
      <c r="B7518" s="4">
        <v>45403.512766203705</v>
      </c>
      <c r="C7518" s="3" t="s">
        <v>4</v>
      </c>
    </row>
    <row r="7519">
      <c r="A7519" s="3">
        <v>1935.0</v>
      </c>
      <c r="B7519" s="4">
        <v>45403.51905092593</v>
      </c>
      <c r="C7519" s="3" t="s">
        <v>7</v>
      </c>
    </row>
    <row r="7520">
      <c r="A7520" s="3">
        <v>5129.0</v>
      </c>
      <c r="B7520" s="4">
        <v>45403.53420138889</v>
      </c>
      <c r="C7520" s="3" t="s">
        <v>4</v>
      </c>
    </row>
    <row r="7521">
      <c r="A7521" s="3">
        <v>4234.0</v>
      </c>
      <c r="B7521" s="4">
        <v>45403.552349537036</v>
      </c>
      <c r="C7521" s="3" t="s">
        <v>3</v>
      </c>
    </row>
    <row r="7522">
      <c r="A7522" s="3">
        <v>531.0</v>
      </c>
      <c r="B7522" s="4">
        <v>45403.57282407407</v>
      </c>
      <c r="C7522" s="3" t="s">
        <v>3</v>
      </c>
    </row>
    <row r="7523">
      <c r="A7523" s="3">
        <v>2967.0</v>
      </c>
      <c r="B7523" s="4">
        <v>45403.58730324074</v>
      </c>
      <c r="C7523" s="3" t="s">
        <v>3</v>
      </c>
    </row>
    <row r="7524">
      <c r="A7524" s="3">
        <v>309.0</v>
      </c>
      <c r="B7524" s="4">
        <v>45403.59885416667</v>
      </c>
      <c r="C7524" s="3" t="s">
        <v>7</v>
      </c>
    </row>
    <row r="7525">
      <c r="A7525" s="3">
        <v>4843.0</v>
      </c>
      <c r="B7525" s="4">
        <v>45403.600069444445</v>
      </c>
      <c r="C7525" s="3" t="s">
        <v>4</v>
      </c>
    </row>
    <row r="7526">
      <c r="A7526" s="3">
        <v>7174.0</v>
      </c>
      <c r="B7526" s="4">
        <v>45403.61913194445</v>
      </c>
      <c r="C7526" s="3" t="s">
        <v>3</v>
      </c>
    </row>
    <row r="7527">
      <c r="A7527" s="3">
        <v>2843.0</v>
      </c>
      <c r="B7527" s="4">
        <v>45403.63251157408</v>
      </c>
      <c r="C7527" s="3" t="s">
        <v>6</v>
      </c>
    </row>
    <row r="7528">
      <c r="A7528" s="3">
        <v>18.0</v>
      </c>
      <c r="B7528" s="4">
        <v>45403.63680555556</v>
      </c>
      <c r="C7528" s="3" t="s">
        <v>6</v>
      </c>
    </row>
    <row r="7529">
      <c r="A7529" s="3">
        <v>218.0</v>
      </c>
      <c r="B7529" s="4">
        <v>45403.639699074076</v>
      </c>
      <c r="C7529" s="3" t="s">
        <v>3</v>
      </c>
    </row>
    <row r="7530">
      <c r="A7530" s="3">
        <v>4765.0</v>
      </c>
      <c r="B7530" s="4">
        <v>45403.641238425924</v>
      </c>
      <c r="C7530" s="3" t="s">
        <v>3</v>
      </c>
    </row>
    <row r="7531">
      <c r="A7531" s="3">
        <v>1401.0</v>
      </c>
      <c r="B7531" s="4">
        <v>45403.69494212963</v>
      </c>
      <c r="C7531" s="3" t="s">
        <v>4</v>
      </c>
    </row>
    <row r="7532">
      <c r="A7532" s="3">
        <v>1548.0</v>
      </c>
      <c r="B7532" s="4">
        <v>45403.70275462963</v>
      </c>
      <c r="C7532" s="3" t="s">
        <v>3</v>
      </c>
    </row>
    <row r="7533">
      <c r="A7533" s="3">
        <v>1384.0</v>
      </c>
      <c r="B7533" s="4">
        <v>45403.72421296296</v>
      </c>
      <c r="C7533" s="3" t="s">
        <v>3</v>
      </c>
    </row>
    <row r="7534">
      <c r="A7534" s="3">
        <v>416.0</v>
      </c>
      <c r="B7534" s="4">
        <v>45403.734768518516</v>
      </c>
      <c r="C7534" s="3" t="s">
        <v>7</v>
      </c>
    </row>
    <row r="7535">
      <c r="A7535" s="3">
        <v>5131.0</v>
      </c>
      <c r="B7535" s="4">
        <v>45403.74829861111</v>
      </c>
      <c r="C7535" s="3" t="s">
        <v>6</v>
      </c>
    </row>
    <row r="7536">
      <c r="A7536" s="3">
        <v>4843.0</v>
      </c>
      <c r="B7536" s="4">
        <v>45403.76</v>
      </c>
      <c r="C7536" s="3" t="s">
        <v>3</v>
      </c>
    </row>
    <row r="7537">
      <c r="A7537" s="3">
        <v>7670.0</v>
      </c>
      <c r="B7537" s="4">
        <v>45403.815729166665</v>
      </c>
      <c r="C7537" s="3" t="s">
        <v>3</v>
      </c>
    </row>
    <row r="7538">
      <c r="A7538" s="3">
        <v>2756.0</v>
      </c>
      <c r="B7538" s="4">
        <v>45403.817824074074</v>
      </c>
      <c r="C7538" s="3" t="s">
        <v>6</v>
      </c>
    </row>
    <row r="7539">
      <c r="A7539" s="3">
        <v>1424.0</v>
      </c>
      <c r="B7539" s="4">
        <v>45403.84153935185</v>
      </c>
      <c r="C7539" s="3" t="s">
        <v>3</v>
      </c>
    </row>
    <row r="7540">
      <c r="A7540" s="3">
        <v>4486.0</v>
      </c>
      <c r="B7540" s="4">
        <v>45403.84385416667</v>
      </c>
      <c r="C7540" s="3" t="s">
        <v>4</v>
      </c>
    </row>
    <row r="7541">
      <c r="A7541" s="3">
        <v>2276.0</v>
      </c>
      <c r="B7541" s="4">
        <v>45403.85115740741</v>
      </c>
      <c r="C7541" s="3" t="s">
        <v>4</v>
      </c>
    </row>
    <row r="7542">
      <c r="A7542" s="3">
        <v>6961.0</v>
      </c>
      <c r="B7542" s="4">
        <v>45403.862222222226</v>
      </c>
      <c r="C7542" s="3" t="s">
        <v>4</v>
      </c>
    </row>
    <row r="7543">
      <c r="A7543" s="3">
        <v>7069.0</v>
      </c>
      <c r="B7543" s="4">
        <v>45403.86866898148</v>
      </c>
      <c r="C7543" s="3" t="s">
        <v>3</v>
      </c>
    </row>
    <row r="7544">
      <c r="A7544" s="3">
        <v>6677.0</v>
      </c>
      <c r="B7544" s="4">
        <v>45403.87207175926</v>
      </c>
      <c r="C7544" s="3" t="s">
        <v>6</v>
      </c>
    </row>
    <row r="7545">
      <c r="A7545" s="3">
        <v>4324.0</v>
      </c>
      <c r="B7545" s="4">
        <v>45403.87744212963</v>
      </c>
      <c r="C7545" s="3" t="s">
        <v>6</v>
      </c>
    </row>
    <row r="7546">
      <c r="A7546" s="3">
        <v>3078.0</v>
      </c>
      <c r="B7546" s="4">
        <v>45403.885879629626</v>
      </c>
      <c r="C7546" s="3" t="s">
        <v>3</v>
      </c>
    </row>
    <row r="7547">
      <c r="A7547" s="3">
        <v>2265.0</v>
      </c>
      <c r="B7547" s="4">
        <v>45403.90608796296</v>
      </c>
      <c r="C7547" s="3" t="s">
        <v>6</v>
      </c>
    </row>
    <row r="7548">
      <c r="A7548" s="3">
        <v>3496.0</v>
      </c>
      <c r="B7548" s="4">
        <v>45403.910532407404</v>
      </c>
      <c r="C7548" s="3" t="s">
        <v>4</v>
      </c>
    </row>
    <row r="7549">
      <c r="A7549" s="3">
        <v>2265.0</v>
      </c>
      <c r="B7549" s="4">
        <v>45403.92760416667</v>
      </c>
      <c r="C7549" s="3" t="s">
        <v>7</v>
      </c>
    </row>
    <row r="7550">
      <c r="A7550" s="3">
        <v>3785.0</v>
      </c>
      <c r="B7550" s="4">
        <v>45403.94027777778</v>
      </c>
      <c r="C7550" s="3" t="s">
        <v>7</v>
      </c>
    </row>
    <row r="7551">
      <c r="A7551" s="3">
        <v>7174.0</v>
      </c>
      <c r="B7551" s="4">
        <v>45403.96844907408</v>
      </c>
      <c r="C7551" s="3" t="s">
        <v>5</v>
      </c>
    </row>
    <row r="7552">
      <c r="A7552" s="3">
        <v>1570.0</v>
      </c>
      <c r="B7552" s="4">
        <v>45403.97460648148</v>
      </c>
      <c r="C7552" s="3" t="s">
        <v>6</v>
      </c>
    </row>
    <row r="7553">
      <c r="A7553" s="3">
        <v>5618.0</v>
      </c>
      <c r="B7553" s="4">
        <v>45404.00274305556</v>
      </c>
      <c r="C7553" s="3" t="s">
        <v>6</v>
      </c>
    </row>
    <row r="7554">
      <c r="A7554" s="3">
        <v>1019.0</v>
      </c>
      <c r="B7554" s="4">
        <v>45404.00325231482</v>
      </c>
      <c r="C7554" s="3" t="s">
        <v>6</v>
      </c>
    </row>
    <row r="7555">
      <c r="A7555" s="3">
        <v>1591.0</v>
      </c>
      <c r="B7555" s="4">
        <v>45404.01368055555</v>
      </c>
      <c r="C7555" s="3" t="s">
        <v>4</v>
      </c>
    </row>
    <row r="7556">
      <c r="A7556" s="3">
        <v>4324.0</v>
      </c>
      <c r="B7556" s="4">
        <v>45404.03372685185</v>
      </c>
      <c r="C7556" s="3" t="s">
        <v>5</v>
      </c>
    </row>
    <row r="7557">
      <c r="A7557" s="3">
        <v>6450.0</v>
      </c>
      <c r="B7557" s="4">
        <v>45404.03696759259</v>
      </c>
      <c r="C7557" s="3" t="s">
        <v>3</v>
      </c>
    </row>
    <row r="7558">
      <c r="A7558" s="3">
        <v>2058.0</v>
      </c>
      <c r="B7558" s="4">
        <v>45404.06402777778</v>
      </c>
      <c r="C7558" s="3" t="s">
        <v>7</v>
      </c>
    </row>
    <row r="7559">
      <c r="A7559" s="3">
        <v>2183.0</v>
      </c>
      <c r="B7559" s="4">
        <v>45404.06565972222</v>
      </c>
      <c r="C7559" s="3" t="s">
        <v>6</v>
      </c>
    </row>
    <row r="7560">
      <c r="A7560" s="3">
        <v>4122.0</v>
      </c>
      <c r="B7560" s="4">
        <v>45404.0771875</v>
      </c>
      <c r="C7560" s="3" t="s">
        <v>3</v>
      </c>
    </row>
    <row r="7561">
      <c r="A7561" s="3">
        <v>6763.0</v>
      </c>
      <c r="B7561" s="4">
        <v>45404.11770833333</v>
      </c>
      <c r="C7561" s="3" t="s">
        <v>6</v>
      </c>
    </row>
    <row r="7562">
      <c r="A7562" s="3">
        <v>4789.0</v>
      </c>
      <c r="B7562" s="4">
        <v>45404.12056712963</v>
      </c>
      <c r="C7562" s="3" t="s">
        <v>3</v>
      </c>
    </row>
    <row r="7563">
      <c r="A7563" s="3">
        <v>7083.0</v>
      </c>
      <c r="B7563" s="4">
        <v>45404.13275462963</v>
      </c>
      <c r="C7563" s="3" t="s">
        <v>5</v>
      </c>
    </row>
    <row r="7564">
      <c r="A7564" s="3">
        <v>2454.0</v>
      </c>
      <c r="B7564" s="4">
        <v>45404.15887731482</v>
      </c>
      <c r="C7564" s="3" t="s">
        <v>5</v>
      </c>
    </row>
    <row r="7565">
      <c r="A7565" s="3">
        <v>3262.0</v>
      </c>
      <c r="B7565" s="4">
        <v>45404.174421296295</v>
      </c>
      <c r="C7565" s="3" t="s">
        <v>3</v>
      </c>
    </row>
    <row r="7566">
      <c r="A7566" s="3">
        <v>2448.0</v>
      </c>
      <c r="B7566" s="4">
        <v>45404.19957175926</v>
      </c>
      <c r="C7566" s="3" t="s">
        <v>3</v>
      </c>
    </row>
    <row r="7567">
      <c r="A7567" s="3">
        <v>1716.0</v>
      </c>
      <c r="B7567" s="4">
        <v>45404.209861111114</v>
      </c>
      <c r="C7567" s="3" t="s">
        <v>3</v>
      </c>
    </row>
    <row r="7568">
      <c r="A7568" s="3">
        <v>4536.0</v>
      </c>
      <c r="B7568" s="4">
        <v>45404.24171296296</v>
      </c>
      <c r="C7568" s="3" t="s">
        <v>5</v>
      </c>
    </row>
    <row r="7569">
      <c r="A7569" s="3">
        <v>3023.0</v>
      </c>
      <c r="B7569" s="4">
        <v>45404.27379629629</v>
      </c>
      <c r="C7569" s="3" t="s">
        <v>3</v>
      </c>
    </row>
    <row r="7570">
      <c r="A7570" s="3">
        <v>4872.0</v>
      </c>
      <c r="B7570" s="4">
        <v>45404.28505787037</v>
      </c>
      <c r="C7570" s="3" t="s">
        <v>7</v>
      </c>
    </row>
    <row r="7571">
      <c r="A7571" s="3">
        <v>4018.0</v>
      </c>
      <c r="B7571" s="4">
        <v>45404.29107638889</v>
      </c>
      <c r="C7571" s="3" t="s">
        <v>4</v>
      </c>
    </row>
    <row r="7572">
      <c r="A7572" s="3">
        <v>5457.0</v>
      </c>
      <c r="B7572" s="4">
        <v>45404.29384259259</v>
      </c>
      <c r="C7572" s="3" t="s">
        <v>3</v>
      </c>
    </row>
    <row r="7573">
      <c r="A7573" s="3">
        <v>7429.0</v>
      </c>
      <c r="B7573" s="4">
        <v>45404.31416666666</v>
      </c>
      <c r="C7573" s="3" t="s">
        <v>4</v>
      </c>
    </row>
    <row r="7574">
      <c r="A7574" s="3">
        <v>4493.0</v>
      </c>
      <c r="B7574" s="4">
        <v>45404.34174768518</v>
      </c>
      <c r="C7574" s="3" t="s">
        <v>3</v>
      </c>
    </row>
    <row r="7575">
      <c r="A7575" s="3">
        <v>1323.0</v>
      </c>
      <c r="B7575" s="4">
        <v>45404.371782407405</v>
      </c>
      <c r="C7575" s="3" t="s">
        <v>6</v>
      </c>
    </row>
    <row r="7576">
      <c r="A7576" s="3">
        <v>377.0</v>
      </c>
      <c r="B7576" s="4">
        <v>45404.376122685186</v>
      </c>
      <c r="C7576" s="3" t="s">
        <v>3</v>
      </c>
    </row>
    <row r="7577">
      <c r="A7577" s="3">
        <v>1350.0</v>
      </c>
      <c r="B7577" s="4">
        <v>45404.4425462963</v>
      </c>
      <c r="C7577" s="3" t="s">
        <v>3</v>
      </c>
    </row>
    <row r="7578">
      <c r="A7578" s="3">
        <v>2967.0</v>
      </c>
      <c r="B7578" s="4">
        <v>45404.462013888886</v>
      </c>
      <c r="C7578" s="3" t="s">
        <v>6</v>
      </c>
    </row>
    <row r="7579">
      <c r="A7579" s="3">
        <v>4745.0</v>
      </c>
      <c r="B7579" s="4">
        <v>45404.5021875</v>
      </c>
      <c r="C7579" s="3" t="s">
        <v>3</v>
      </c>
    </row>
    <row r="7580">
      <c r="A7580" s="3">
        <v>1141.0</v>
      </c>
      <c r="B7580" s="4">
        <v>45404.50896990741</v>
      </c>
      <c r="C7580" s="3" t="s">
        <v>4</v>
      </c>
    </row>
    <row r="7581">
      <c r="A7581" s="3">
        <v>1917.0</v>
      </c>
      <c r="B7581" s="4">
        <v>45404.519467592596</v>
      </c>
      <c r="C7581" s="3" t="s">
        <v>6</v>
      </c>
    </row>
    <row r="7582">
      <c r="A7582" s="3">
        <v>6416.0</v>
      </c>
      <c r="B7582" s="4">
        <v>45404.55121527778</v>
      </c>
      <c r="C7582" s="3" t="s">
        <v>5</v>
      </c>
    </row>
    <row r="7583">
      <c r="A7583" s="3">
        <v>3095.0</v>
      </c>
      <c r="B7583" s="4">
        <v>45404.61859953704</v>
      </c>
      <c r="C7583" s="3" t="s">
        <v>7</v>
      </c>
    </row>
    <row r="7584">
      <c r="A7584" s="3">
        <v>7590.0</v>
      </c>
      <c r="B7584" s="4">
        <v>45404.63143518518</v>
      </c>
      <c r="C7584" s="3" t="s">
        <v>3</v>
      </c>
    </row>
    <row r="7585">
      <c r="A7585" s="3">
        <v>5811.0</v>
      </c>
      <c r="B7585" s="4">
        <v>45404.63606481482</v>
      </c>
      <c r="C7585" s="3" t="s">
        <v>3</v>
      </c>
    </row>
    <row r="7586">
      <c r="A7586" s="3">
        <v>3676.0</v>
      </c>
      <c r="B7586" s="4">
        <v>45404.64732638889</v>
      </c>
      <c r="C7586" s="3" t="s">
        <v>3</v>
      </c>
    </row>
    <row r="7587">
      <c r="A7587" s="3">
        <v>2644.0</v>
      </c>
      <c r="B7587" s="4">
        <v>45404.65519675926</v>
      </c>
      <c r="C7587" s="3" t="s">
        <v>3</v>
      </c>
    </row>
    <row r="7588">
      <c r="A7588" s="3">
        <v>7221.0</v>
      </c>
      <c r="B7588" s="4">
        <v>45404.65755787037</v>
      </c>
      <c r="C7588" s="3" t="s">
        <v>3</v>
      </c>
    </row>
    <row r="7589">
      <c r="A7589" s="3">
        <v>668.0</v>
      </c>
      <c r="B7589" s="4">
        <v>45404.71462962963</v>
      </c>
      <c r="C7589" s="3" t="s">
        <v>3</v>
      </c>
    </row>
    <row r="7590">
      <c r="A7590" s="3">
        <v>6416.0</v>
      </c>
      <c r="B7590" s="4">
        <v>45404.729583333334</v>
      </c>
      <c r="C7590" s="3" t="s">
        <v>3</v>
      </c>
    </row>
    <row r="7591">
      <c r="A7591" s="3">
        <v>4306.0</v>
      </c>
      <c r="B7591" s="4">
        <v>45404.790127314816</v>
      </c>
      <c r="C7591" s="3" t="s">
        <v>4</v>
      </c>
    </row>
    <row r="7592">
      <c r="A7592" s="3">
        <v>4872.0</v>
      </c>
      <c r="B7592" s="4">
        <v>45404.81831018518</v>
      </c>
      <c r="C7592" s="3" t="s">
        <v>6</v>
      </c>
    </row>
    <row r="7593">
      <c r="A7593" s="3">
        <v>3823.0</v>
      </c>
      <c r="B7593" s="4">
        <v>45404.84165509259</v>
      </c>
      <c r="C7593" s="3" t="s">
        <v>3</v>
      </c>
    </row>
    <row r="7594">
      <c r="A7594" s="3">
        <v>4843.0</v>
      </c>
      <c r="B7594" s="4">
        <v>45404.84428240741</v>
      </c>
      <c r="C7594" s="3" t="s">
        <v>5</v>
      </c>
    </row>
    <row r="7595">
      <c r="A7595" s="3">
        <v>668.0</v>
      </c>
      <c r="B7595" s="4">
        <v>45404.84475694445</v>
      </c>
      <c r="C7595" s="3" t="s">
        <v>4</v>
      </c>
    </row>
    <row r="7596">
      <c r="A7596" s="3">
        <v>523.0</v>
      </c>
      <c r="B7596" s="4">
        <v>45404.84519675926</v>
      </c>
      <c r="C7596" s="3" t="s">
        <v>3</v>
      </c>
    </row>
    <row r="7597">
      <c r="A7597" s="3">
        <v>5486.0</v>
      </c>
      <c r="B7597" s="4">
        <v>45404.86201388889</v>
      </c>
      <c r="C7597" s="3" t="s">
        <v>3</v>
      </c>
    </row>
    <row r="7598">
      <c r="A7598" s="3">
        <v>5199.0</v>
      </c>
      <c r="B7598" s="4">
        <v>45404.86515046296</v>
      </c>
      <c r="C7598" s="3" t="s">
        <v>3</v>
      </c>
    </row>
    <row r="7599">
      <c r="A7599" s="3">
        <v>6591.0</v>
      </c>
      <c r="B7599" s="4">
        <v>45404.881631944445</v>
      </c>
      <c r="C7599" s="3" t="s">
        <v>6</v>
      </c>
    </row>
    <row r="7600">
      <c r="A7600" s="3">
        <v>3327.0</v>
      </c>
      <c r="B7600" s="4">
        <v>45404.90998842593</v>
      </c>
      <c r="C7600" s="3" t="s">
        <v>3</v>
      </c>
    </row>
    <row r="7601">
      <c r="A7601" s="3">
        <v>631.0</v>
      </c>
      <c r="B7601" s="4">
        <v>45404.91887731481</v>
      </c>
      <c r="C7601" s="3" t="s">
        <v>3</v>
      </c>
    </row>
    <row r="7602">
      <c r="A7602" s="3">
        <v>6735.0</v>
      </c>
      <c r="B7602" s="4">
        <v>45404.94616898148</v>
      </c>
      <c r="C7602" s="3" t="s">
        <v>5</v>
      </c>
    </row>
    <row r="7603">
      <c r="A7603" s="3">
        <v>7006.0</v>
      </c>
      <c r="B7603" s="4">
        <v>45404.953622685185</v>
      </c>
      <c r="C7603" s="3" t="s">
        <v>3</v>
      </c>
    </row>
    <row r="7604">
      <c r="A7604" s="3">
        <v>6735.0</v>
      </c>
      <c r="B7604" s="4">
        <v>45404.96827546296</v>
      </c>
      <c r="C7604" s="3" t="s">
        <v>3</v>
      </c>
    </row>
    <row r="7605">
      <c r="A7605" s="3">
        <v>3676.0</v>
      </c>
      <c r="B7605" s="4">
        <v>45404.99943287037</v>
      </c>
      <c r="C7605" s="3" t="s">
        <v>4</v>
      </c>
    </row>
    <row r="7606">
      <c r="A7606" s="3">
        <v>170.0</v>
      </c>
      <c r="B7606" s="4">
        <v>45405.00418981481</v>
      </c>
      <c r="C7606" s="3" t="s">
        <v>3</v>
      </c>
    </row>
    <row r="7607">
      <c r="A7607" s="3">
        <v>5811.0</v>
      </c>
      <c r="B7607" s="4">
        <v>45405.019155092596</v>
      </c>
      <c r="C7607" s="3" t="s">
        <v>6</v>
      </c>
    </row>
    <row r="7608">
      <c r="A7608" s="3">
        <v>4825.0</v>
      </c>
      <c r="B7608" s="4">
        <v>45405.02930555555</v>
      </c>
      <c r="C7608" s="3" t="s">
        <v>3</v>
      </c>
    </row>
    <row r="7609">
      <c r="A7609" s="3">
        <v>7429.0</v>
      </c>
      <c r="B7609" s="4">
        <v>45405.03125</v>
      </c>
      <c r="C7609" s="3" t="s">
        <v>7</v>
      </c>
    </row>
    <row r="7610">
      <c r="A7610" s="3">
        <v>3762.0</v>
      </c>
      <c r="B7610" s="4">
        <v>45405.04861111111</v>
      </c>
      <c r="C7610" s="3" t="s">
        <v>6</v>
      </c>
    </row>
    <row r="7611">
      <c r="A7611" s="3">
        <v>7221.0</v>
      </c>
      <c r="B7611" s="4">
        <v>45405.06159722222</v>
      </c>
      <c r="C7611" s="3" t="s">
        <v>4</v>
      </c>
    </row>
    <row r="7612">
      <c r="A7612" s="3">
        <v>6416.0</v>
      </c>
      <c r="B7612" s="4">
        <v>45405.07701388889</v>
      </c>
      <c r="C7612" s="3" t="s">
        <v>4</v>
      </c>
    </row>
    <row r="7613">
      <c r="A7613" s="3">
        <v>2448.0</v>
      </c>
      <c r="B7613" s="4">
        <v>45405.08693287037</v>
      </c>
      <c r="C7613" s="3" t="s">
        <v>4</v>
      </c>
    </row>
    <row r="7614">
      <c r="A7614" s="3">
        <v>1271.0</v>
      </c>
      <c r="B7614" s="4">
        <v>45405.09202546296</v>
      </c>
      <c r="C7614" s="3" t="s">
        <v>4</v>
      </c>
    </row>
    <row r="7615">
      <c r="A7615" s="3">
        <v>2971.0</v>
      </c>
      <c r="B7615" s="4">
        <v>45405.10826388889</v>
      </c>
      <c r="C7615" s="3" t="s">
        <v>4</v>
      </c>
    </row>
    <row r="7616">
      <c r="A7616" s="3">
        <v>4563.0</v>
      </c>
      <c r="B7616" s="4">
        <v>45405.133368055554</v>
      </c>
      <c r="C7616" s="3" t="s">
        <v>5</v>
      </c>
    </row>
    <row r="7617">
      <c r="A7617" s="3">
        <v>6450.0</v>
      </c>
      <c r="B7617" s="4">
        <v>45405.184965277775</v>
      </c>
      <c r="C7617" s="3" t="s">
        <v>4</v>
      </c>
    </row>
    <row r="7618">
      <c r="A7618" s="3">
        <v>1384.0</v>
      </c>
      <c r="B7618" s="4">
        <v>45405.21115740741</v>
      </c>
      <c r="C7618" s="3" t="s">
        <v>6</v>
      </c>
    </row>
    <row r="7619">
      <c r="A7619" s="3">
        <v>2175.0</v>
      </c>
      <c r="B7619" s="4">
        <v>45405.224652777775</v>
      </c>
      <c r="C7619" s="3" t="s">
        <v>3</v>
      </c>
    </row>
    <row r="7620">
      <c r="A7620" s="3">
        <v>458.0</v>
      </c>
      <c r="B7620" s="4">
        <v>45405.22491898148</v>
      </c>
      <c r="C7620" s="3" t="s">
        <v>6</v>
      </c>
    </row>
    <row r="7621">
      <c r="A7621" s="3">
        <v>5663.0</v>
      </c>
      <c r="B7621" s="4">
        <v>45405.24920138889</v>
      </c>
      <c r="C7621" s="3" t="s">
        <v>3</v>
      </c>
    </row>
    <row r="7622">
      <c r="A7622" s="3">
        <v>6450.0</v>
      </c>
      <c r="B7622" s="4">
        <v>45405.25157407407</v>
      </c>
      <c r="C7622" s="3" t="s">
        <v>5</v>
      </c>
    </row>
    <row r="7623">
      <c r="A7623" s="3">
        <v>487.0</v>
      </c>
      <c r="B7623" s="4">
        <v>45405.264444444445</v>
      </c>
      <c r="C7623" s="3" t="s">
        <v>3</v>
      </c>
    </row>
    <row r="7624">
      <c r="A7624" s="3">
        <v>7956.0</v>
      </c>
      <c r="B7624" s="4">
        <v>45405.2725462963</v>
      </c>
      <c r="C7624" s="3" t="s">
        <v>6</v>
      </c>
    </row>
    <row r="7625">
      <c r="A7625" s="3">
        <v>729.0</v>
      </c>
      <c r="B7625" s="4">
        <v>45405.28055555555</v>
      </c>
      <c r="C7625" s="3" t="s">
        <v>4</v>
      </c>
    </row>
    <row r="7626">
      <c r="A7626" s="3">
        <v>194.0</v>
      </c>
      <c r="B7626" s="4">
        <v>45405.28262731482</v>
      </c>
      <c r="C7626" s="3" t="s">
        <v>3</v>
      </c>
    </row>
    <row r="7627">
      <c r="A7627" s="3">
        <v>7847.0</v>
      </c>
      <c r="B7627" s="4">
        <v>45405.32144675926</v>
      </c>
      <c r="C7627" s="3" t="s">
        <v>5</v>
      </c>
    </row>
    <row r="7628">
      <c r="A7628" s="3">
        <v>1384.0</v>
      </c>
      <c r="B7628" s="4">
        <v>45405.335694444446</v>
      </c>
      <c r="C7628" s="3" t="s">
        <v>4</v>
      </c>
    </row>
    <row r="7629">
      <c r="A7629" s="3">
        <v>1995.0</v>
      </c>
      <c r="B7629" s="4">
        <v>45405.35349537037</v>
      </c>
      <c r="C7629" s="3" t="s">
        <v>3</v>
      </c>
    </row>
    <row r="7630">
      <c r="A7630" s="3">
        <v>5199.0</v>
      </c>
      <c r="B7630" s="4">
        <v>45405.35569444444</v>
      </c>
      <c r="C7630" s="3" t="s">
        <v>5</v>
      </c>
    </row>
    <row r="7631">
      <c r="A7631" s="3">
        <v>2227.0</v>
      </c>
      <c r="B7631" s="4">
        <v>45405.38644675926</v>
      </c>
      <c r="C7631" s="3" t="s">
        <v>3</v>
      </c>
    </row>
    <row r="7632">
      <c r="A7632" s="3">
        <v>3521.0</v>
      </c>
      <c r="B7632" s="4">
        <v>45405.388020833336</v>
      </c>
      <c r="C7632" s="3" t="s">
        <v>3</v>
      </c>
    </row>
    <row r="7633">
      <c r="A7633" s="3">
        <v>2603.0</v>
      </c>
      <c r="B7633" s="4">
        <v>45405.39171296296</v>
      </c>
      <c r="C7633" s="3" t="s">
        <v>3</v>
      </c>
    </row>
    <row r="7634">
      <c r="A7634" s="3">
        <v>3521.0</v>
      </c>
      <c r="B7634" s="4">
        <v>45405.39365740741</v>
      </c>
      <c r="C7634" s="3" t="s">
        <v>5</v>
      </c>
    </row>
    <row r="7635">
      <c r="A7635" s="3">
        <v>3078.0</v>
      </c>
      <c r="B7635" s="4">
        <v>45405.39454861111</v>
      </c>
      <c r="C7635" s="3" t="s">
        <v>4</v>
      </c>
    </row>
    <row r="7636">
      <c r="A7636" s="3">
        <v>4234.0</v>
      </c>
      <c r="B7636" s="4">
        <v>45405.39884259259</v>
      </c>
      <c r="C7636" s="3" t="s">
        <v>6</v>
      </c>
    </row>
    <row r="7637">
      <c r="A7637" s="3">
        <v>3781.0</v>
      </c>
      <c r="B7637" s="4">
        <v>45405.41259259259</v>
      </c>
      <c r="C7637" s="3" t="s">
        <v>3</v>
      </c>
    </row>
    <row r="7638">
      <c r="A7638" s="3">
        <v>5811.0</v>
      </c>
      <c r="B7638" s="4">
        <v>45405.41457175926</v>
      </c>
      <c r="C7638" s="3" t="s">
        <v>5</v>
      </c>
    </row>
    <row r="7639">
      <c r="A7639" s="3">
        <v>2454.0</v>
      </c>
      <c r="B7639" s="4">
        <v>45405.42113425926</v>
      </c>
      <c r="C7639" s="3" t="s">
        <v>7</v>
      </c>
    </row>
    <row r="7640">
      <c r="A7640" s="3">
        <v>6774.0</v>
      </c>
      <c r="B7640" s="4">
        <v>45405.441030092596</v>
      </c>
      <c r="C7640" s="3" t="s">
        <v>6</v>
      </c>
    </row>
    <row r="7641">
      <c r="A7641" s="3">
        <v>7847.0</v>
      </c>
      <c r="B7641" s="4">
        <v>45405.4721412037</v>
      </c>
      <c r="C7641" s="3" t="s">
        <v>7</v>
      </c>
    </row>
    <row r="7642">
      <c r="A7642" s="3">
        <v>2124.0</v>
      </c>
      <c r="B7642" s="4">
        <v>45405.48961805556</v>
      </c>
      <c r="C7642" s="3" t="s">
        <v>3</v>
      </c>
    </row>
    <row r="7643">
      <c r="A7643" s="3">
        <v>4546.0</v>
      </c>
      <c r="B7643" s="4">
        <v>45405.50510416667</v>
      </c>
      <c r="C7643" s="3" t="s">
        <v>4</v>
      </c>
    </row>
    <row r="7644">
      <c r="A7644" s="3">
        <v>4234.0</v>
      </c>
      <c r="B7644" s="4">
        <v>45405.507627314815</v>
      </c>
      <c r="C7644" s="3" t="s">
        <v>4</v>
      </c>
    </row>
    <row r="7645">
      <c r="A7645" s="3">
        <v>162.0</v>
      </c>
      <c r="B7645" s="4">
        <v>45405.52836805556</v>
      </c>
      <c r="C7645" s="3" t="s">
        <v>3</v>
      </c>
    </row>
    <row r="7646">
      <c r="A7646" s="3">
        <v>4745.0</v>
      </c>
      <c r="B7646" s="4">
        <v>45405.54100694445</v>
      </c>
      <c r="C7646" s="3" t="s">
        <v>4</v>
      </c>
    </row>
    <row r="7647">
      <c r="A7647" s="3">
        <v>2227.0</v>
      </c>
      <c r="B7647" s="4">
        <v>45405.561875</v>
      </c>
      <c r="C7647" s="3" t="s">
        <v>4</v>
      </c>
    </row>
    <row r="7648">
      <c r="A7648" s="3">
        <v>4540.0</v>
      </c>
      <c r="B7648" s="4">
        <v>45405.57770833333</v>
      </c>
      <c r="C7648" s="3" t="s">
        <v>3</v>
      </c>
    </row>
    <row r="7649">
      <c r="A7649" s="3">
        <v>4563.0</v>
      </c>
      <c r="B7649" s="4">
        <v>45405.59359953704</v>
      </c>
      <c r="C7649" s="3" t="s">
        <v>3</v>
      </c>
    </row>
    <row r="7650">
      <c r="A7650" s="3">
        <v>4546.0</v>
      </c>
      <c r="B7650" s="4">
        <v>45405.59908564815</v>
      </c>
      <c r="C7650" s="3" t="s">
        <v>3</v>
      </c>
    </row>
    <row r="7651">
      <c r="A7651" s="3">
        <v>2448.0</v>
      </c>
      <c r="B7651" s="4">
        <v>45405.61953703704</v>
      </c>
      <c r="C7651" s="3" t="s">
        <v>7</v>
      </c>
    </row>
    <row r="7652">
      <c r="A7652" s="3">
        <v>6416.0</v>
      </c>
      <c r="B7652" s="4">
        <v>45405.644479166665</v>
      </c>
      <c r="C7652" s="3" t="s">
        <v>6</v>
      </c>
    </row>
    <row r="7653">
      <c r="A7653" s="3">
        <v>446.0</v>
      </c>
      <c r="B7653" s="4">
        <v>45405.644837962966</v>
      </c>
      <c r="C7653" s="3" t="s">
        <v>6</v>
      </c>
    </row>
    <row r="7654">
      <c r="A7654" s="3">
        <v>2276.0</v>
      </c>
      <c r="B7654" s="4">
        <v>45405.64884259259</v>
      </c>
      <c r="C7654" s="3" t="s">
        <v>7</v>
      </c>
    </row>
    <row r="7655">
      <c r="A7655" s="3">
        <v>4825.0</v>
      </c>
      <c r="B7655" s="4">
        <v>45405.65418981481</v>
      </c>
      <c r="C7655" s="3" t="s">
        <v>4</v>
      </c>
    </row>
    <row r="7656">
      <c r="A7656" s="3">
        <v>4929.0</v>
      </c>
      <c r="B7656" s="4">
        <v>45405.67361111111</v>
      </c>
      <c r="C7656" s="3" t="s">
        <v>3</v>
      </c>
    </row>
    <row r="7657">
      <c r="A7657" s="3">
        <v>5669.0</v>
      </c>
      <c r="B7657" s="4">
        <v>45405.68050925926</v>
      </c>
      <c r="C7657" s="3" t="s">
        <v>5</v>
      </c>
    </row>
    <row r="7658">
      <c r="A7658" s="3">
        <v>2603.0</v>
      </c>
      <c r="B7658" s="4">
        <v>45405.68072916667</v>
      </c>
      <c r="C7658" s="3" t="s">
        <v>5</v>
      </c>
    </row>
    <row r="7659">
      <c r="A7659" s="3">
        <v>4018.0</v>
      </c>
      <c r="B7659" s="4">
        <v>45405.68237268519</v>
      </c>
      <c r="C7659" s="3" t="s">
        <v>6</v>
      </c>
    </row>
    <row r="7660">
      <c r="A7660" s="3">
        <v>2454.0</v>
      </c>
      <c r="B7660" s="4">
        <v>45405.68848379629</v>
      </c>
      <c r="C7660" s="3" t="s">
        <v>6</v>
      </c>
    </row>
    <row r="7661">
      <c r="A7661" s="3">
        <v>3860.0</v>
      </c>
      <c r="B7661" s="4">
        <v>45405.69228009259</v>
      </c>
      <c r="C7661" s="3" t="s">
        <v>6</v>
      </c>
    </row>
    <row r="7662">
      <c r="A7662" s="3">
        <v>7069.0</v>
      </c>
      <c r="B7662" s="4">
        <v>45405.70763888889</v>
      </c>
      <c r="C7662" s="3" t="s">
        <v>6</v>
      </c>
    </row>
    <row r="7663">
      <c r="A7663" s="3">
        <v>218.0</v>
      </c>
      <c r="B7663" s="4">
        <v>45405.71501157407</v>
      </c>
      <c r="C7663" s="3" t="s">
        <v>4</v>
      </c>
    </row>
    <row r="7664">
      <c r="A7664" s="3">
        <v>6735.0</v>
      </c>
      <c r="B7664" s="4">
        <v>45405.721400462964</v>
      </c>
      <c r="C7664" s="3" t="s">
        <v>6</v>
      </c>
    </row>
    <row r="7665">
      <c r="A7665" s="3">
        <v>1431.0</v>
      </c>
      <c r="B7665" s="4">
        <v>45405.74355324074</v>
      </c>
      <c r="C7665" s="3" t="s">
        <v>7</v>
      </c>
    </row>
    <row r="7666">
      <c r="A7666" s="3">
        <v>7166.0</v>
      </c>
      <c r="B7666" s="4">
        <v>45405.754837962966</v>
      </c>
      <c r="C7666" s="3" t="s">
        <v>7</v>
      </c>
    </row>
    <row r="7667">
      <c r="A7667" s="3">
        <v>1271.0</v>
      </c>
      <c r="B7667" s="4">
        <v>45405.77079861111</v>
      </c>
      <c r="C7667" s="3" t="s">
        <v>3</v>
      </c>
    </row>
    <row r="7668">
      <c r="A7668" s="3">
        <v>5199.0</v>
      </c>
      <c r="B7668" s="4">
        <v>45405.77373842592</v>
      </c>
      <c r="C7668" s="3" t="s">
        <v>4</v>
      </c>
    </row>
    <row r="7669">
      <c r="A7669" s="3">
        <v>7590.0</v>
      </c>
      <c r="B7669" s="4">
        <v>45405.781851851854</v>
      </c>
      <c r="C7669" s="3" t="s">
        <v>4</v>
      </c>
    </row>
    <row r="7670">
      <c r="A7670" s="3">
        <v>1935.0</v>
      </c>
      <c r="B7670" s="4">
        <v>45405.80320601852</v>
      </c>
      <c r="C7670" s="3" t="s">
        <v>6</v>
      </c>
    </row>
    <row r="7671">
      <c r="A7671" s="3">
        <v>5811.0</v>
      </c>
      <c r="B7671" s="4">
        <v>45405.81533564815</v>
      </c>
      <c r="C7671" s="3" t="s">
        <v>4</v>
      </c>
    </row>
    <row r="7672">
      <c r="A7672" s="3">
        <v>162.0</v>
      </c>
      <c r="B7672" s="4">
        <v>45405.83818287037</v>
      </c>
      <c r="C7672" s="3" t="s">
        <v>4</v>
      </c>
    </row>
    <row r="7673">
      <c r="A7673" s="3">
        <v>3517.0</v>
      </c>
      <c r="B7673" s="4">
        <v>45405.86494212963</v>
      </c>
      <c r="C7673" s="3" t="s">
        <v>4</v>
      </c>
    </row>
    <row r="7674">
      <c r="A7674" s="3">
        <v>416.0</v>
      </c>
      <c r="B7674" s="4">
        <v>45405.86592592593</v>
      </c>
      <c r="C7674" s="3" t="s">
        <v>6</v>
      </c>
    </row>
    <row r="7675">
      <c r="A7675" s="3">
        <v>4065.0</v>
      </c>
      <c r="B7675" s="4">
        <v>45405.87337962963</v>
      </c>
      <c r="C7675" s="3" t="s">
        <v>4</v>
      </c>
    </row>
    <row r="7676">
      <c r="A7676" s="3">
        <v>3781.0</v>
      </c>
      <c r="B7676" s="4">
        <v>45405.88597222222</v>
      </c>
      <c r="C7676" s="3" t="s">
        <v>4</v>
      </c>
    </row>
    <row r="7677">
      <c r="A7677" s="3">
        <v>6551.0</v>
      </c>
      <c r="B7677" s="4">
        <v>45405.905810185184</v>
      </c>
      <c r="C7677" s="3" t="s">
        <v>5</v>
      </c>
    </row>
    <row r="7678">
      <c r="A7678" s="3">
        <v>2940.0</v>
      </c>
      <c r="B7678" s="4">
        <v>45405.914872685185</v>
      </c>
      <c r="C7678" s="3" t="s">
        <v>5</v>
      </c>
    </row>
    <row r="7679">
      <c r="A7679" s="3">
        <v>218.0</v>
      </c>
      <c r="B7679" s="4">
        <v>45405.92736111111</v>
      </c>
      <c r="C7679" s="3" t="s">
        <v>7</v>
      </c>
    </row>
    <row r="7680">
      <c r="A7680" s="3">
        <v>2826.0</v>
      </c>
      <c r="B7680" s="4">
        <v>45405.93513888889</v>
      </c>
      <c r="C7680" s="3" t="s">
        <v>3</v>
      </c>
    </row>
    <row r="7681">
      <c r="A7681" s="3">
        <v>2971.0</v>
      </c>
      <c r="B7681" s="4">
        <v>45405.93790509259</v>
      </c>
      <c r="C7681" s="3" t="s">
        <v>3</v>
      </c>
    </row>
    <row r="7682">
      <c r="A7682" s="3">
        <v>3284.0</v>
      </c>
      <c r="B7682" s="4">
        <v>45405.96571759259</v>
      </c>
      <c r="C7682" s="3" t="s">
        <v>3</v>
      </c>
    </row>
    <row r="7683">
      <c r="A7683" s="3">
        <v>5040.0</v>
      </c>
      <c r="B7683" s="4">
        <v>45405.97431712963</v>
      </c>
      <c r="C7683" s="3" t="s">
        <v>3</v>
      </c>
    </row>
    <row r="7684">
      <c r="A7684" s="3">
        <v>3280.0</v>
      </c>
      <c r="B7684" s="4">
        <v>45406.00555555556</v>
      </c>
      <c r="C7684" s="3" t="s">
        <v>3</v>
      </c>
    </row>
    <row r="7685">
      <c r="A7685" s="3">
        <v>1238.0</v>
      </c>
      <c r="B7685" s="4">
        <v>45406.05090277778</v>
      </c>
      <c r="C7685" s="3" t="s">
        <v>3</v>
      </c>
    </row>
    <row r="7686">
      <c r="A7686" s="3">
        <v>2227.0</v>
      </c>
      <c r="B7686" s="4">
        <v>45406.07982638889</v>
      </c>
      <c r="C7686" s="3" t="s">
        <v>7</v>
      </c>
    </row>
    <row r="7687">
      <c r="A7687" s="3">
        <v>2826.0</v>
      </c>
      <c r="B7687" s="4">
        <v>45406.10417824074</v>
      </c>
      <c r="C7687" s="3" t="s">
        <v>4</v>
      </c>
    </row>
    <row r="7688">
      <c r="A7688" s="3">
        <v>4929.0</v>
      </c>
      <c r="B7688" s="4">
        <v>45406.11813657408</v>
      </c>
      <c r="C7688" s="3" t="s">
        <v>6</v>
      </c>
    </row>
    <row r="7689">
      <c r="A7689" s="3">
        <v>2112.0</v>
      </c>
      <c r="B7689" s="4">
        <v>45406.12042824074</v>
      </c>
      <c r="C7689" s="3" t="s">
        <v>6</v>
      </c>
    </row>
    <row r="7690">
      <c r="A7690" s="3">
        <v>7227.0</v>
      </c>
      <c r="B7690" s="4">
        <v>45406.120891203704</v>
      </c>
      <c r="C7690" s="3" t="s">
        <v>7</v>
      </c>
    </row>
    <row r="7691">
      <c r="A7691" s="3">
        <v>2419.0</v>
      </c>
      <c r="B7691" s="4">
        <v>45406.12267361111</v>
      </c>
      <c r="C7691" s="3" t="s">
        <v>5</v>
      </c>
    </row>
    <row r="7692">
      <c r="A7692" s="3">
        <v>170.0</v>
      </c>
      <c r="B7692" s="4">
        <v>45406.13350694445</v>
      </c>
      <c r="C7692" s="3" t="s">
        <v>4</v>
      </c>
    </row>
    <row r="7693">
      <c r="A7693" s="3">
        <v>1179.0</v>
      </c>
      <c r="B7693" s="4">
        <v>45406.13748842593</v>
      </c>
      <c r="C7693" s="3" t="s">
        <v>3</v>
      </c>
    </row>
    <row r="7694">
      <c r="A7694" s="3">
        <v>2855.0</v>
      </c>
      <c r="B7694" s="4">
        <v>45406.14113425926</v>
      </c>
      <c r="C7694" s="3" t="s">
        <v>4</v>
      </c>
    </row>
    <row r="7695">
      <c r="A7695" s="3">
        <v>5926.0</v>
      </c>
      <c r="B7695" s="4">
        <v>45406.15101851852</v>
      </c>
      <c r="C7695" s="3" t="s">
        <v>5</v>
      </c>
    </row>
    <row r="7696">
      <c r="A7696" s="3">
        <v>7369.0</v>
      </c>
      <c r="B7696" s="4">
        <v>45406.15846064815</v>
      </c>
      <c r="C7696" s="3" t="s">
        <v>3</v>
      </c>
    </row>
    <row r="7697">
      <c r="A7697" s="3">
        <v>3521.0</v>
      </c>
      <c r="B7697" s="4">
        <v>45406.161678240744</v>
      </c>
      <c r="C7697" s="3" t="s">
        <v>4</v>
      </c>
    </row>
    <row r="7698">
      <c r="A7698" s="3">
        <v>2685.0</v>
      </c>
      <c r="B7698" s="4">
        <v>45406.16908564815</v>
      </c>
      <c r="C7698" s="3" t="s">
        <v>5</v>
      </c>
    </row>
    <row r="7699">
      <c r="A7699" s="3">
        <v>5663.0</v>
      </c>
      <c r="B7699" s="4">
        <v>45406.17439814815</v>
      </c>
      <c r="C7699" s="3" t="s">
        <v>4</v>
      </c>
    </row>
    <row r="7700">
      <c r="A7700" s="3">
        <v>2071.0</v>
      </c>
      <c r="B7700" s="4">
        <v>45406.21548611111</v>
      </c>
      <c r="C7700" s="3" t="s">
        <v>3</v>
      </c>
    </row>
    <row r="7701">
      <c r="A7701" s="3">
        <v>7083.0</v>
      </c>
      <c r="B7701" s="4">
        <v>45406.221030092594</v>
      </c>
      <c r="C7701" s="3" t="s">
        <v>6</v>
      </c>
    </row>
    <row r="7702">
      <c r="A7702" s="3">
        <v>2826.0</v>
      </c>
      <c r="B7702" s="4">
        <v>45406.221180555556</v>
      </c>
      <c r="C7702" s="3" t="s">
        <v>5</v>
      </c>
    </row>
    <row r="7703">
      <c r="A7703" s="3">
        <v>2971.0</v>
      </c>
      <c r="B7703" s="4">
        <v>45406.248715277776</v>
      </c>
      <c r="C7703" s="3" t="s">
        <v>6</v>
      </c>
    </row>
    <row r="7704">
      <c r="A7704" s="3">
        <v>4465.0</v>
      </c>
      <c r="B7704" s="4">
        <v>45406.281493055554</v>
      </c>
      <c r="C7704" s="3" t="s">
        <v>6</v>
      </c>
    </row>
    <row r="7705">
      <c r="A7705" s="3">
        <v>2226.0</v>
      </c>
      <c r="B7705" s="4">
        <v>45406.28269675926</v>
      </c>
      <c r="C7705" s="3" t="s">
        <v>3</v>
      </c>
    </row>
    <row r="7706">
      <c r="A7706" s="3">
        <v>1023.0</v>
      </c>
      <c r="B7706" s="4">
        <v>45406.28417824074</v>
      </c>
      <c r="C7706" s="3" t="s">
        <v>3</v>
      </c>
    </row>
    <row r="7707">
      <c r="A7707" s="3">
        <v>2448.0</v>
      </c>
      <c r="B7707" s="4">
        <v>45406.29056712963</v>
      </c>
      <c r="C7707" s="3" t="s">
        <v>5</v>
      </c>
    </row>
    <row r="7708">
      <c r="A7708" s="3">
        <v>6735.0</v>
      </c>
      <c r="B7708" s="4">
        <v>45406.31994212963</v>
      </c>
      <c r="C7708" s="3" t="s">
        <v>4</v>
      </c>
    </row>
    <row r="7709">
      <c r="A7709" s="3">
        <v>5130.0</v>
      </c>
      <c r="B7709" s="4">
        <v>45406.34811342593</v>
      </c>
      <c r="C7709" s="3" t="s">
        <v>6</v>
      </c>
    </row>
    <row r="7710">
      <c r="A7710" s="3">
        <v>2124.0</v>
      </c>
      <c r="B7710" s="4">
        <v>45406.35349537037</v>
      </c>
      <c r="C7710" s="3" t="s">
        <v>4</v>
      </c>
    </row>
    <row r="7711">
      <c r="A7711" s="3">
        <v>4825.0</v>
      </c>
      <c r="B7711" s="4">
        <v>45406.36665509259</v>
      </c>
      <c r="C7711" s="3" t="s">
        <v>7</v>
      </c>
    </row>
    <row r="7712">
      <c r="A7712" s="3">
        <v>4546.0</v>
      </c>
      <c r="B7712" s="4">
        <v>45406.36733796296</v>
      </c>
      <c r="C7712" s="3" t="s">
        <v>5</v>
      </c>
    </row>
    <row r="7713">
      <c r="A7713" s="3">
        <v>377.0</v>
      </c>
      <c r="B7713" s="4">
        <v>45406.368263888886</v>
      </c>
      <c r="C7713" s="3" t="s">
        <v>4</v>
      </c>
    </row>
    <row r="7714">
      <c r="A7714" s="3">
        <v>7286.0</v>
      </c>
      <c r="B7714" s="4">
        <v>45406.38333333333</v>
      </c>
      <c r="C7714" s="3" t="s">
        <v>3</v>
      </c>
    </row>
    <row r="7715">
      <c r="A7715" s="3">
        <v>6433.0</v>
      </c>
      <c r="B7715" s="4">
        <v>45406.38418981482</v>
      </c>
      <c r="C7715" s="3" t="s">
        <v>3</v>
      </c>
    </row>
    <row r="7716">
      <c r="A7716" s="3">
        <v>4018.0</v>
      </c>
      <c r="B7716" s="4">
        <v>45406.39607638889</v>
      </c>
      <c r="C7716" s="3" t="s">
        <v>5</v>
      </c>
    </row>
    <row r="7717">
      <c r="A7717" s="3">
        <v>6433.0</v>
      </c>
      <c r="B7717" s="4">
        <v>45406.40068287037</v>
      </c>
      <c r="C7717" s="3" t="s">
        <v>4</v>
      </c>
    </row>
    <row r="7718">
      <c r="A7718" s="3">
        <v>501.0</v>
      </c>
      <c r="B7718" s="4">
        <v>45406.41054398148</v>
      </c>
      <c r="C7718" s="3" t="s">
        <v>3</v>
      </c>
    </row>
    <row r="7719">
      <c r="A7719" s="3">
        <v>4536.0</v>
      </c>
      <c r="B7719" s="4">
        <v>45406.419756944444</v>
      </c>
      <c r="C7719" s="3" t="s">
        <v>7</v>
      </c>
    </row>
    <row r="7720">
      <c r="A7720" s="3">
        <v>506.0</v>
      </c>
      <c r="B7720" s="4">
        <v>45406.42728009259</v>
      </c>
      <c r="C7720" s="3" t="s">
        <v>3</v>
      </c>
    </row>
    <row r="7721">
      <c r="A7721" s="3">
        <v>1023.0</v>
      </c>
      <c r="B7721" s="4">
        <v>45406.4350462963</v>
      </c>
      <c r="C7721" s="3" t="s">
        <v>5</v>
      </c>
    </row>
    <row r="7722">
      <c r="A7722" s="3">
        <v>6961.0</v>
      </c>
      <c r="B7722" s="4">
        <v>45406.452523148146</v>
      </c>
      <c r="C7722" s="3" t="s">
        <v>6</v>
      </c>
    </row>
    <row r="7723">
      <c r="A7723" s="3">
        <v>4546.0</v>
      </c>
      <c r="B7723" s="4">
        <v>45406.47211805556</v>
      </c>
      <c r="C7723" s="3" t="s">
        <v>6</v>
      </c>
    </row>
    <row r="7724">
      <c r="A7724" s="3">
        <v>6405.0</v>
      </c>
      <c r="B7724" s="4">
        <v>45406.57177083333</v>
      </c>
      <c r="C7724" s="3" t="s">
        <v>3</v>
      </c>
    </row>
    <row r="7725">
      <c r="A7725" s="3">
        <v>5040.0</v>
      </c>
      <c r="B7725" s="4">
        <v>45406.58613425926</v>
      </c>
      <c r="C7725" s="3" t="s">
        <v>4</v>
      </c>
    </row>
    <row r="7726">
      <c r="A7726" s="3">
        <v>1534.0</v>
      </c>
      <c r="B7726" s="4">
        <v>45406.59412037037</v>
      </c>
      <c r="C7726" s="3" t="s">
        <v>5</v>
      </c>
    </row>
    <row r="7727">
      <c r="A7727" s="3">
        <v>958.0</v>
      </c>
      <c r="B7727" s="4">
        <v>45406.60854166667</v>
      </c>
      <c r="C7727" s="3" t="s">
        <v>3</v>
      </c>
    </row>
    <row r="7728">
      <c r="A7728" s="3">
        <v>3133.0</v>
      </c>
      <c r="B7728" s="4">
        <v>45406.610289351855</v>
      </c>
      <c r="C7728" s="3" t="s">
        <v>6</v>
      </c>
    </row>
    <row r="7729">
      <c r="A7729" s="3">
        <v>6961.0</v>
      </c>
      <c r="B7729" s="4">
        <v>45406.61788194445</v>
      </c>
      <c r="C7729" s="3" t="s">
        <v>5</v>
      </c>
    </row>
    <row r="7730">
      <c r="A7730" s="3">
        <v>2419.0</v>
      </c>
      <c r="B7730" s="4">
        <v>45406.62032407407</v>
      </c>
      <c r="C7730" s="3" t="s">
        <v>3</v>
      </c>
    </row>
    <row r="7731">
      <c r="A7731" s="3">
        <v>3319.0</v>
      </c>
      <c r="B7731" s="4">
        <v>45406.63964120371</v>
      </c>
      <c r="C7731" s="3" t="s">
        <v>3</v>
      </c>
    </row>
    <row r="7732">
      <c r="A7732" s="3">
        <v>2419.0</v>
      </c>
      <c r="B7732" s="4">
        <v>45406.64071759259</v>
      </c>
      <c r="C7732" s="3" t="s">
        <v>4</v>
      </c>
    </row>
    <row r="7733">
      <c r="A7733" s="3">
        <v>1467.0</v>
      </c>
      <c r="B7733" s="4">
        <v>45406.646319444444</v>
      </c>
      <c r="C7733" s="3" t="s">
        <v>3</v>
      </c>
    </row>
    <row r="7734">
      <c r="A7734" s="3">
        <v>5486.0</v>
      </c>
      <c r="B7734" s="4">
        <v>45406.64934027778</v>
      </c>
      <c r="C7734" s="3" t="s">
        <v>4</v>
      </c>
    </row>
    <row r="7735">
      <c r="A7735" s="3">
        <v>7289.0</v>
      </c>
      <c r="B7735" s="4">
        <v>45406.65149305556</v>
      </c>
      <c r="C7735" s="3" t="s">
        <v>3</v>
      </c>
    </row>
    <row r="7736">
      <c r="A7736" s="3">
        <v>2266.0</v>
      </c>
      <c r="B7736" s="4">
        <v>45406.6562037037</v>
      </c>
      <c r="C7736" s="3" t="s">
        <v>3</v>
      </c>
    </row>
    <row r="7737">
      <c r="A7737" s="3">
        <v>6551.0</v>
      </c>
      <c r="B7737" s="4">
        <v>45406.6805787037</v>
      </c>
      <c r="C7737" s="3" t="s">
        <v>7</v>
      </c>
    </row>
    <row r="7738">
      <c r="A7738" s="3">
        <v>958.0</v>
      </c>
      <c r="B7738" s="4">
        <v>45406.69534722222</v>
      </c>
      <c r="C7738" s="3" t="s">
        <v>5</v>
      </c>
    </row>
    <row r="7739">
      <c r="A7739" s="3">
        <v>4825.0</v>
      </c>
      <c r="B7739" s="4">
        <v>45406.6953587963</v>
      </c>
      <c r="C7739" s="3" t="s">
        <v>6</v>
      </c>
    </row>
    <row r="7740">
      <c r="A7740" s="3">
        <v>2996.0</v>
      </c>
      <c r="B7740" s="4">
        <v>45406.745254629626</v>
      </c>
      <c r="C7740" s="3" t="s">
        <v>3</v>
      </c>
    </row>
    <row r="7741">
      <c r="A7741" s="3">
        <v>2465.0</v>
      </c>
      <c r="B7741" s="4">
        <v>45406.74748842593</v>
      </c>
      <c r="C7741" s="3" t="s">
        <v>4</v>
      </c>
    </row>
    <row r="7742">
      <c r="A7742" s="3">
        <v>1236.0</v>
      </c>
      <c r="B7742" s="4">
        <v>45406.74916666667</v>
      </c>
      <c r="C7742" s="3" t="s">
        <v>3</v>
      </c>
    </row>
    <row r="7743">
      <c r="A7743" s="3">
        <v>3546.0</v>
      </c>
      <c r="B7743" s="4">
        <v>45406.75116898148</v>
      </c>
      <c r="C7743" s="3" t="s">
        <v>3</v>
      </c>
    </row>
    <row r="7744">
      <c r="A7744" s="3">
        <v>1651.0</v>
      </c>
      <c r="B7744" s="4">
        <v>45406.77488425926</v>
      </c>
      <c r="C7744" s="3" t="s">
        <v>3</v>
      </c>
    </row>
    <row r="7745">
      <c r="A7745" s="3">
        <v>2227.0</v>
      </c>
      <c r="B7745" s="4">
        <v>45406.77680555556</v>
      </c>
      <c r="C7745" s="3" t="s">
        <v>5</v>
      </c>
    </row>
    <row r="7746">
      <c r="A7746" s="3">
        <v>2826.0</v>
      </c>
      <c r="B7746" s="4">
        <v>45406.78111111111</v>
      </c>
      <c r="C7746" s="3" t="s">
        <v>7</v>
      </c>
    </row>
    <row r="7747">
      <c r="A7747" s="3">
        <v>3860.0</v>
      </c>
      <c r="B7747" s="4">
        <v>45406.799733796295</v>
      </c>
      <c r="C7747" s="3" t="s">
        <v>5</v>
      </c>
    </row>
    <row r="7748">
      <c r="A7748" s="3">
        <v>7379.0</v>
      </c>
      <c r="B7748" s="4">
        <v>45406.833287037036</v>
      </c>
      <c r="C7748" s="3" t="s">
        <v>3</v>
      </c>
    </row>
    <row r="7749">
      <c r="A7749" s="3">
        <v>2940.0</v>
      </c>
      <c r="B7749" s="4">
        <v>45406.83819444444</v>
      </c>
      <c r="C7749" s="3" t="s">
        <v>6</v>
      </c>
    </row>
    <row r="7750">
      <c r="A7750" s="3">
        <v>5330.0</v>
      </c>
      <c r="B7750" s="4">
        <v>45406.85402777778</v>
      </c>
      <c r="C7750" s="3" t="s">
        <v>3</v>
      </c>
    </row>
    <row r="7751">
      <c r="A7751" s="3">
        <v>7154.0</v>
      </c>
      <c r="B7751" s="4">
        <v>45406.877962962964</v>
      </c>
      <c r="C7751" s="3" t="s">
        <v>3</v>
      </c>
    </row>
    <row r="7752">
      <c r="A7752" s="3">
        <v>287.0</v>
      </c>
      <c r="B7752" s="4">
        <v>45406.87837962963</v>
      </c>
      <c r="C7752" s="3" t="s">
        <v>3</v>
      </c>
    </row>
    <row r="7753">
      <c r="A7753" s="3">
        <v>2465.0</v>
      </c>
      <c r="B7753" s="4">
        <v>45406.89417824074</v>
      </c>
      <c r="C7753" s="3" t="s">
        <v>3</v>
      </c>
    </row>
    <row r="7754">
      <c r="A7754" s="3">
        <v>4035.0</v>
      </c>
      <c r="B7754" s="4">
        <v>45406.92300925926</v>
      </c>
      <c r="C7754" s="3" t="s">
        <v>7</v>
      </c>
    </row>
    <row r="7755">
      <c r="A7755" s="3">
        <v>4540.0</v>
      </c>
      <c r="B7755" s="4">
        <v>45406.92465277778</v>
      </c>
      <c r="C7755" s="3" t="s">
        <v>4</v>
      </c>
    </row>
    <row r="7756">
      <c r="A7756" s="3">
        <v>487.0</v>
      </c>
      <c r="B7756" s="4">
        <v>45406.949895833335</v>
      </c>
      <c r="C7756" s="3" t="s">
        <v>4</v>
      </c>
    </row>
    <row r="7757">
      <c r="A7757" s="3">
        <v>6862.0</v>
      </c>
      <c r="B7757" s="4">
        <v>45406.96644675926</v>
      </c>
      <c r="C7757" s="3" t="s">
        <v>6</v>
      </c>
    </row>
    <row r="7758">
      <c r="A7758" s="3">
        <v>4369.0</v>
      </c>
      <c r="B7758" s="4">
        <v>45406.98190972222</v>
      </c>
      <c r="C7758" s="3" t="s">
        <v>6</v>
      </c>
    </row>
    <row r="7759">
      <c r="A7759" s="3">
        <v>5811.0</v>
      </c>
      <c r="B7759" s="4">
        <v>45406.997083333335</v>
      </c>
      <c r="C7759" s="3" t="s">
        <v>7</v>
      </c>
    </row>
    <row r="7760">
      <c r="A7760" s="3">
        <v>3688.0</v>
      </c>
      <c r="B7760" s="4">
        <v>45407.00378472222</v>
      </c>
      <c r="C7760" s="3" t="s">
        <v>3</v>
      </c>
    </row>
    <row r="7761">
      <c r="A7761" s="3">
        <v>4660.0</v>
      </c>
      <c r="B7761" s="4">
        <v>45407.012719907405</v>
      </c>
      <c r="C7761" s="3" t="s">
        <v>3</v>
      </c>
    </row>
    <row r="7762">
      <c r="A7762" s="3">
        <v>4789.0</v>
      </c>
      <c r="B7762" s="4">
        <v>45407.044652777775</v>
      </c>
      <c r="C7762" s="3" t="s">
        <v>4</v>
      </c>
    </row>
    <row r="7763">
      <c r="A7763" s="3">
        <v>1127.0</v>
      </c>
      <c r="B7763" s="4">
        <v>45407.06613425926</v>
      </c>
      <c r="C7763" s="3" t="s">
        <v>3</v>
      </c>
    </row>
    <row r="7764">
      <c r="A7764" s="3">
        <v>2566.0</v>
      </c>
      <c r="B7764" s="4">
        <v>45407.09837962963</v>
      </c>
      <c r="C7764" s="3" t="s">
        <v>3</v>
      </c>
    </row>
    <row r="7765">
      <c r="A7765" s="3">
        <v>1462.0</v>
      </c>
      <c r="B7765" s="4">
        <v>45407.12774305556</v>
      </c>
      <c r="C7765" s="3" t="s">
        <v>3</v>
      </c>
    </row>
    <row r="7766">
      <c r="A7766" s="3">
        <v>4013.0</v>
      </c>
      <c r="B7766" s="4">
        <v>45407.14753472222</v>
      </c>
      <c r="C7766" s="3" t="s">
        <v>3</v>
      </c>
    </row>
    <row r="7767">
      <c r="A7767" s="3">
        <v>7289.0</v>
      </c>
      <c r="B7767" s="4">
        <v>45407.159108796295</v>
      </c>
      <c r="C7767" s="3" t="s">
        <v>6</v>
      </c>
    </row>
    <row r="7768">
      <c r="A7768" s="3">
        <v>1384.0</v>
      </c>
      <c r="B7768" s="4">
        <v>45407.160104166665</v>
      </c>
      <c r="C7768" s="3" t="s">
        <v>5</v>
      </c>
    </row>
    <row r="7769">
      <c r="A7769" s="3">
        <v>5541.0</v>
      </c>
      <c r="B7769" s="4">
        <v>45407.16303240741</v>
      </c>
      <c r="C7769" s="3" t="s">
        <v>3</v>
      </c>
    </row>
    <row r="7770">
      <c r="A7770" s="3">
        <v>2603.0</v>
      </c>
      <c r="B7770" s="4">
        <v>45407.17700231481</v>
      </c>
      <c r="C7770" s="3" t="s">
        <v>4</v>
      </c>
    </row>
    <row r="7771">
      <c r="A7771" s="3">
        <v>4665.0</v>
      </c>
      <c r="B7771" s="4">
        <v>45407.181921296295</v>
      </c>
      <c r="C7771" s="3" t="s">
        <v>5</v>
      </c>
    </row>
    <row r="7772">
      <c r="A7772" s="3">
        <v>3078.0</v>
      </c>
      <c r="B7772" s="4">
        <v>45407.189791666664</v>
      </c>
      <c r="C7772" s="3" t="s">
        <v>6</v>
      </c>
    </row>
    <row r="7773">
      <c r="A7773" s="3">
        <v>5290.0</v>
      </c>
      <c r="B7773" s="4">
        <v>45407.192511574074</v>
      </c>
      <c r="C7773" s="3" t="s">
        <v>3</v>
      </c>
    </row>
    <row r="7774">
      <c r="A7774" s="3">
        <v>3826.0</v>
      </c>
      <c r="B7774" s="4">
        <v>45407.196122685185</v>
      </c>
      <c r="C7774" s="3" t="s">
        <v>3</v>
      </c>
    </row>
    <row r="7775">
      <c r="A7775" s="3">
        <v>7717.0</v>
      </c>
      <c r="B7775" s="4">
        <v>45407.20643518519</v>
      </c>
      <c r="C7775" s="3" t="s">
        <v>3</v>
      </c>
    </row>
    <row r="7776">
      <c r="A7776" s="3">
        <v>7069.0</v>
      </c>
      <c r="B7776" s="4">
        <v>45407.22038194445</v>
      </c>
      <c r="C7776" s="3" t="s">
        <v>5</v>
      </c>
    </row>
    <row r="7777">
      <c r="A7777" s="3">
        <v>1322.0</v>
      </c>
      <c r="B7777" s="4">
        <v>45407.241643518515</v>
      </c>
      <c r="C7777" s="3" t="s">
        <v>5</v>
      </c>
    </row>
    <row r="7778">
      <c r="A7778" s="3">
        <v>7154.0</v>
      </c>
      <c r="B7778" s="4">
        <v>45407.27034722222</v>
      </c>
      <c r="C7778" s="3" t="s">
        <v>6</v>
      </c>
    </row>
    <row r="7779">
      <c r="A7779" s="3">
        <v>6949.0</v>
      </c>
      <c r="B7779" s="4">
        <v>45407.27179398148</v>
      </c>
      <c r="C7779" s="3" t="s">
        <v>3</v>
      </c>
    </row>
    <row r="7780">
      <c r="A7780" s="3">
        <v>1534.0</v>
      </c>
      <c r="B7780" s="4">
        <v>45407.276875</v>
      </c>
      <c r="C7780" s="3" t="s">
        <v>7</v>
      </c>
    </row>
    <row r="7781">
      <c r="A7781" s="3">
        <v>4616.0</v>
      </c>
      <c r="B7781" s="4">
        <v>45407.3234375</v>
      </c>
      <c r="C7781" s="3" t="s">
        <v>3</v>
      </c>
    </row>
    <row r="7782">
      <c r="A7782" s="3">
        <v>5630.0</v>
      </c>
      <c r="B7782" s="4">
        <v>45407.34069444444</v>
      </c>
      <c r="C7782" s="3" t="s">
        <v>3</v>
      </c>
    </row>
    <row r="7783">
      <c r="A7783" s="3">
        <v>287.0</v>
      </c>
      <c r="B7783" s="4">
        <v>45407.36253472222</v>
      </c>
      <c r="C7783" s="3" t="s">
        <v>4</v>
      </c>
    </row>
    <row r="7784">
      <c r="A7784" s="3">
        <v>7543.0</v>
      </c>
      <c r="B7784" s="4">
        <v>45407.36493055556</v>
      </c>
      <c r="C7784" s="3" t="s">
        <v>3</v>
      </c>
    </row>
    <row r="7785">
      <c r="A7785" s="3">
        <v>287.0</v>
      </c>
      <c r="B7785" s="4">
        <v>45407.37112268519</v>
      </c>
      <c r="C7785" s="3" t="s">
        <v>5</v>
      </c>
    </row>
    <row r="7786">
      <c r="A7786" s="3">
        <v>1548.0</v>
      </c>
      <c r="B7786" s="4">
        <v>45407.37702546296</v>
      </c>
      <c r="C7786" s="3" t="s">
        <v>4</v>
      </c>
    </row>
    <row r="7787">
      <c r="A7787" s="3">
        <v>6973.0</v>
      </c>
      <c r="B7787" s="4">
        <v>45407.38383101852</v>
      </c>
      <c r="C7787" s="3" t="s">
        <v>3</v>
      </c>
    </row>
    <row r="7788">
      <c r="A7788" s="3">
        <v>5045.0</v>
      </c>
      <c r="B7788" s="4">
        <v>45407.40487268518</v>
      </c>
      <c r="C7788" s="3" t="s">
        <v>3</v>
      </c>
    </row>
    <row r="7789">
      <c r="A7789" s="3">
        <v>5659.0</v>
      </c>
      <c r="B7789" s="4">
        <v>45407.41420138889</v>
      </c>
      <c r="C7789" s="3" t="s">
        <v>3</v>
      </c>
    </row>
    <row r="7790">
      <c r="A7790" s="3">
        <v>5028.0</v>
      </c>
      <c r="B7790" s="4">
        <v>45407.415451388886</v>
      </c>
      <c r="C7790" s="3" t="s">
        <v>3</v>
      </c>
    </row>
    <row r="7791">
      <c r="A7791" s="3">
        <v>4018.0</v>
      </c>
      <c r="B7791" s="4">
        <v>45407.422060185185</v>
      </c>
      <c r="C7791" s="3" t="s">
        <v>7</v>
      </c>
    </row>
    <row r="7792">
      <c r="A7792" s="3">
        <v>2603.0</v>
      </c>
      <c r="B7792" s="4">
        <v>45407.426782407405</v>
      </c>
      <c r="C7792" s="3" t="s">
        <v>6</v>
      </c>
    </row>
    <row r="7793">
      <c r="A7793" s="3">
        <v>5199.0</v>
      </c>
      <c r="B7793" s="4">
        <v>45407.4497337963</v>
      </c>
      <c r="C7793" s="3" t="s">
        <v>7</v>
      </c>
    </row>
    <row r="7794">
      <c r="A7794" s="3">
        <v>1534.0</v>
      </c>
      <c r="B7794" s="4">
        <v>45407.45002314815</v>
      </c>
      <c r="C7794" s="3" t="s">
        <v>6</v>
      </c>
    </row>
    <row r="7795">
      <c r="A7795" s="3">
        <v>3890.0</v>
      </c>
      <c r="B7795" s="4">
        <v>45407.45028935185</v>
      </c>
      <c r="C7795" s="3" t="s">
        <v>3</v>
      </c>
    </row>
    <row r="7796">
      <c r="A7796" s="3">
        <v>218.0</v>
      </c>
      <c r="B7796" s="4">
        <v>45407.477430555555</v>
      </c>
      <c r="C7796" s="3" t="s">
        <v>5</v>
      </c>
    </row>
    <row r="7797">
      <c r="A7797" s="3">
        <v>1424.0</v>
      </c>
      <c r="B7797" s="4">
        <v>45407.48395833333</v>
      </c>
      <c r="C7797" s="3" t="s">
        <v>4</v>
      </c>
    </row>
    <row r="7798">
      <c r="A7798" s="3">
        <v>2996.0</v>
      </c>
      <c r="B7798" s="4">
        <v>45407.49965277778</v>
      </c>
      <c r="C7798" s="3" t="s">
        <v>4</v>
      </c>
    </row>
    <row r="7799">
      <c r="A7799" s="3">
        <v>6450.0</v>
      </c>
      <c r="B7799" s="4">
        <v>45407.50444444444</v>
      </c>
      <c r="C7799" s="3" t="s">
        <v>7</v>
      </c>
    </row>
    <row r="7800">
      <c r="A7800" s="3">
        <v>7670.0</v>
      </c>
      <c r="B7800" s="4">
        <v>45407.51016203704</v>
      </c>
      <c r="C7800" s="3" t="s">
        <v>4</v>
      </c>
    </row>
    <row r="7801">
      <c r="A7801" s="3">
        <v>3095.0</v>
      </c>
      <c r="B7801" s="4">
        <v>45407.52502314815</v>
      </c>
      <c r="C7801" s="3" t="s">
        <v>6</v>
      </c>
    </row>
    <row r="7802">
      <c r="A7802" s="3">
        <v>7590.0</v>
      </c>
      <c r="B7802" s="4">
        <v>45407.52663194444</v>
      </c>
      <c r="C7802" s="3" t="s">
        <v>6</v>
      </c>
    </row>
    <row r="7803">
      <c r="A7803" s="3">
        <v>7262.0</v>
      </c>
      <c r="B7803" s="4">
        <v>45407.52841435185</v>
      </c>
      <c r="C7803" s="3" t="s">
        <v>4</v>
      </c>
    </row>
    <row r="7804">
      <c r="A7804" s="3">
        <v>2140.0</v>
      </c>
      <c r="B7804" s="4">
        <v>45407.5399537037</v>
      </c>
      <c r="C7804" s="3" t="s">
        <v>3</v>
      </c>
    </row>
    <row r="7805">
      <c r="A7805" s="3">
        <v>4234.0</v>
      </c>
      <c r="B7805" s="4">
        <v>45407.54484953704</v>
      </c>
      <c r="C7805" s="3" t="s">
        <v>5</v>
      </c>
    </row>
    <row r="7806">
      <c r="A7806" s="3">
        <v>2967.0</v>
      </c>
      <c r="B7806" s="4">
        <v>45407.552569444444</v>
      </c>
      <c r="C7806" s="3" t="s">
        <v>5</v>
      </c>
    </row>
    <row r="7807">
      <c r="A7807" s="3">
        <v>5669.0</v>
      </c>
      <c r="B7807" s="4">
        <v>45407.62194444444</v>
      </c>
      <c r="C7807" s="3" t="s">
        <v>7</v>
      </c>
    </row>
    <row r="7808">
      <c r="A7808" s="3">
        <v>531.0</v>
      </c>
      <c r="B7808" s="4">
        <v>45407.645208333335</v>
      </c>
      <c r="C7808" s="3" t="s">
        <v>7</v>
      </c>
    </row>
    <row r="7809">
      <c r="A7809" s="3">
        <v>1401.0</v>
      </c>
      <c r="B7809" s="4">
        <v>45407.650243055556</v>
      </c>
      <c r="C7809" s="3" t="s">
        <v>6</v>
      </c>
    </row>
    <row r="7810">
      <c r="A7810" s="3">
        <v>7648.0</v>
      </c>
      <c r="B7810" s="4">
        <v>45407.660266203704</v>
      </c>
      <c r="C7810" s="3" t="s">
        <v>7</v>
      </c>
    </row>
    <row r="7811">
      <c r="A7811" s="3">
        <v>7717.0</v>
      </c>
      <c r="B7811" s="4">
        <v>45407.663449074076</v>
      </c>
      <c r="C7811" s="3" t="s">
        <v>4</v>
      </c>
    </row>
    <row r="7812">
      <c r="A7812" s="3">
        <v>1323.0</v>
      </c>
      <c r="B7812" s="4">
        <v>45407.67217592592</v>
      </c>
      <c r="C7812" s="3" t="s">
        <v>7</v>
      </c>
    </row>
    <row r="7813">
      <c r="A7813" s="3">
        <v>7262.0</v>
      </c>
      <c r="B7813" s="4">
        <v>45407.69150462963</v>
      </c>
      <c r="C7813" s="3" t="s">
        <v>3</v>
      </c>
    </row>
    <row r="7814">
      <c r="A7814" s="3">
        <v>5663.0</v>
      </c>
      <c r="B7814" s="4">
        <v>45407.7040162037</v>
      </c>
      <c r="C7814" s="3" t="s">
        <v>5</v>
      </c>
    </row>
    <row r="7815">
      <c r="A7815" s="3">
        <v>7590.0</v>
      </c>
      <c r="B7815" s="4">
        <v>45407.70700231481</v>
      </c>
      <c r="C7815" s="3" t="s">
        <v>7</v>
      </c>
    </row>
    <row r="7816">
      <c r="A7816" s="3">
        <v>487.0</v>
      </c>
      <c r="B7816" s="4">
        <v>45407.712175925924</v>
      </c>
      <c r="C7816" s="3" t="s">
        <v>5</v>
      </c>
    </row>
    <row r="7817">
      <c r="A7817" s="3">
        <v>6477.0</v>
      </c>
      <c r="B7817" s="4">
        <v>45407.73119212963</v>
      </c>
      <c r="C7817" s="3" t="s">
        <v>3</v>
      </c>
    </row>
    <row r="7818">
      <c r="A7818" s="3">
        <v>5040.0</v>
      </c>
      <c r="B7818" s="4">
        <v>45407.816342592596</v>
      </c>
      <c r="C7818" s="3" t="s">
        <v>6</v>
      </c>
    </row>
    <row r="7819">
      <c r="A7819" s="3">
        <v>1322.0</v>
      </c>
      <c r="B7819" s="4">
        <v>45407.8234375</v>
      </c>
      <c r="C7819" s="3" t="s">
        <v>3</v>
      </c>
    </row>
    <row r="7820">
      <c r="A7820" s="3">
        <v>6551.0</v>
      </c>
      <c r="B7820" s="4">
        <v>45407.82413194444</v>
      </c>
      <c r="C7820" s="3" t="s">
        <v>6</v>
      </c>
    </row>
    <row r="7821">
      <c r="A7821" s="3">
        <v>4616.0</v>
      </c>
      <c r="B7821" s="4">
        <v>45407.84363425926</v>
      </c>
      <c r="C7821" s="3" t="s">
        <v>5</v>
      </c>
    </row>
    <row r="7822">
      <c r="A7822" s="3">
        <v>2206.0</v>
      </c>
      <c r="B7822" s="4">
        <v>45407.84502314815</v>
      </c>
      <c r="C7822" s="3" t="s">
        <v>3</v>
      </c>
    </row>
    <row r="7823">
      <c r="A7823" s="3">
        <v>4665.0</v>
      </c>
      <c r="B7823" s="4">
        <v>45407.84684027778</v>
      </c>
      <c r="C7823" s="3" t="s">
        <v>3</v>
      </c>
    </row>
    <row r="7824">
      <c r="A7824" s="3">
        <v>5500.0</v>
      </c>
      <c r="B7824" s="4">
        <v>45407.87908564815</v>
      </c>
      <c r="C7824" s="3" t="s">
        <v>3</v>
      </c>
    </row>
    <row r="7825">
      <c r="A7825" s="3">
        <v>309.0</v>
      </c>
      <c r="B7825" s="4">
        <v>45407.89525462963</v>
      </c>
      <c r="C7825" s="3" t="s">
        <v>6</v>
      </c>
    </row>
    <row r="7826">
      <c r="A7826" s="3">
        <v>6385.0</v>
      </c>
      <c r="B7826" s="4">
        <v>45407.92418981482</v>
      </c>
      <c r="C7826" s="3" t="s">
        <v>3</v>
      </c>
    </row>
    <row r="7827">
      <c r="A7827" s="3">
        <v>7513.0</v>
      </c>
      <c r="B7827" s="4">
        <v>45407.931284722225</v>
      </c>
      <c r="C7827" s="3" t="s">
        <v>3</v>
      </c>
    </row>
    <row r="7828">
      <c r="A7828" s="3">
        <v>1651.0</v>
      </c>
      <c r="B7828" s="4">
        <v>45407.939351851855</v>
      </c>
      <c r="C7828" s="3" t="s">
        <v>6</v>
      </c>
    </row>
    <row r="7829">
      <c r="A7829" s="3">
        <v>2761.0</v>
      </c>
      <c r="B7829" s="4">
        <v>45407.970625</v>
      </c>
      <c r="C7829" s="3" t="s">
        <v>3</v>
      </c>
    </row>
    <row r="7830">
      <c r="A7830" s="3">
        <v>470.0</v>
      </c>
      <c r="B7830" s="4">
        <v>45407.98903935185</v>
      </c>
      <c r="C7830" s="3" t="s">
        <v>3</v>
      </c>
    </row>
    <row r="7831">
      <c r="A7831" s="3">
        <v>6774.0</v>
      </c>
      <c r="B7831" s="4">
        <v>45407.989756944444</v>
      </c>
      <c r="C7831" s="3" t="s">
        <v>5</v>
      </c>
    </row>
    <row r="7832">
      <c r="A7832" s="3">
        <v>6778.0</v>
      </c>
      <c r="B7832" s="4">
        <v>45407.991435185184</v>
      </c>
      <c r="C7832" s="3" t="s">
        <v>3</v>
      </c>
    </row>
    <row r="7833">
      <c r="A7833" s="3">
        <v>2281.0</v>
      </c>
      <c r="B7833" s="4">
        <v>45408.03015046296</v>
      </c>
      <c r="C7833" s="3" t="s">
        <v>3</v>
      </c>
    </row>
    <row r="7834">
      <c r="A7834" s="3">
        <v>3032.0</v>
      </c>
      <c r="B7834" s="4">
        <v>45408.043171296296</v>
      </c>
      <c r="C7834" s="3" t="s">
        <v>3</v>
      </c>
    </row>
    <row r="7835">
      <c r="A7835" s="3">
        <v>7672.0</v>
      </c>
      <c r="B7835" s="4">
        <v>45408.081979166665</v>
      </c>
      <c r="C7835" s="3" t="s">
        <v>3</v>
      </c>
    </row>
    <row r="7836">
      <c r="A7836" s="3">
        <v>6685.0</v>
      </c>
      <c r="B7836" s="4">
        <v>45408.103680555556</v>
      </c>
      <c r="C7836" s="3" t="s">
        <v>3</v>
      </c>
    </row>
    <row r="7837">
      <c r="A7837" s="3">
        <v>7513.0</v>
      </c>
      <c r="B7837" s="4">
        <v>45408.11019675926</v>
      </c>
      <c r="C7837" s="3" t="s">
        <v>4</v>
      </c>
    </row>
    <row r="7838">
      <c r="A7838" s="3">
        <v>5769.0</v>
      </c>
      <c r="B7838" s="4">
        <v>45408.12194444444</v>
      </c>
      <c r="C7838" s="3" t="s">
        <v>4</v>
      </c>
    </row>
    <row r="7839">
      <c r="A7839" s="3">
        <v>3890.0</v>
      </c>
      <c r="B7839" s="4">
        <v>45408.13153935185</v>
      </c>
      <c r="C7839" s="3" t="s">
        <v>4</v>
      </c>
    </row>
    <row r="7840">
      <c r="A7840" s="3">
        <v>7783.0</v>
      </c>
      <c r="B7840" s="4">
        <v>45408.13245370371</v>
      </c>
      <c r="C7840" s="3" t="s">
        <v>5</v>
      </c>
    </row>
    <row r="7841">
      <c r="A7841" s="3">
        <v>1481.0</v>
      </c>
      <c r="B7841" s="4">
        <v>45408.135046296295</v>
      </c>
      <c r="C7841" s="3" t="s">
        <v>3</v>
      </c>
    </row>
    <row r="7842">
      <c r="A7842" s="3">
        <v>4540.0</v>
      </c>
      <c r="B7842" s="4">
        <v>45408.135300925926</v>
      </c>
      <c r="C7842" s="3" t="s">
        <v>7</v>
      </c>
    </row>
    <row r="7843">
      <c r="A7843" s="3">
        <v>5333.0</v>
      </c>
      <c r="B7843" s="4">
        <v>45408.141284722224</v>
      </c>
      <c r="C7843" s="3" t="s">
        <v>3</v>
      </c>
    </row>
    <row r="7844">
      <c r="A7844" s="3">
        <v>1236.0</v>
      </c>
      <c r="B7844" s="4">
        <v>45408.146840277775</v>
      </c>
      <c r="C7844" s="3" t="s">
        <v>4</v>
      </c>
    </row>
    <row r="7845">
      <c r="A7845" s="3">
        <v>6897.0</v>
      </c>
      <c r="B7845" s="4">
        <v>45408.15572916667</v>
      </c>
      <c r="C7845" s="3" t="s">
        <v>3</v>
      </c>
    </row>
    <row r="7846">
      <c r="A7846" s="3">
        <v>3860.0</v>
      </c>
      <c r="B7846" s="4">
        <v>45408.15657407408</v>
      </c>
      <c r="C7846" s="3" t="s">
        <v>7</v>
      </c>
    </row>
    <row r="7847">
      <c r="A7847" s="3">
        <v>1651.0</v>
      </c>
      <c r="B7847" s="4">
        <v>45408.163564814815</v>
      </c>
      <c r="C7847" s="3" t="s">
        <v>4</v>
      </c>
    </row>
    <row r="7848">
      <c r="A7848" s="3">
        <v>2120.0</v>
      </c>
      <c r="B7848" s="4">
        <v>45408.188425925924</v>
      </c>
      <c r="C7848" s="3" t="s">
        <v>3</v>
      </c>
    </row>
    <row r="7849">
      <c r="A7849" s="3">
        <v>4774.0</v>
      </c>
      <c r="B7849" s="4">
        <v>45408.21125</v>
      </c>
      <c r="C7849" s="3" t="s">
        <v>4</v>
      </c>
    </row>
    <row r="7850">
      <c r="A7850" s="3">
        <v>7120.0</v>
      </c>
      <c r="B7850" s="4">
        <v>45408.22539351852</v>
      </c>
      <c r="C7850" s="3" t="s">
        <v>3</v>
      </c>
    </row>
    <row r="7851">
      <c r="A7851" s="3">
        <v>5769.0</v>
      </c>
      <c r="B7851" s="4">
        <v>45408.257418981484</v>
      </c>
      <c r="C7851" s="3" t="s">
        <v>3</v>
      </c>
    </row>
    <row r="7852">
      <c r="A7852" s="3">
        <v>531.0</v>
      </c>
      <c r="B7852" s="4">
        <v>45408.28291666666</v>
      </c>
      <c r="C7852" s="3" t="s">
        <v>6</v>
      </c>
    </row>
    <row r="7853">
      <c r="A7853" s="3">
        <v>2059.0</v>
      </c>
      <c r="B7853" s="4">
        <v>45408.284270833334</v>
      </c>
      <c r="C7853" s="3" t="s">
        <v>3</v>
      </c>
    </row>
    <row r="7854">
      <c r="A7854" s="3">
        <v>5669.0</v>
      </c>
      <c r="B7854" s="4">
        <v>45408.30709490741</v>
      </c>
      <c r="C7854" s="3" t="s">
        <v>6</v>
      </c>
    </row>
    <row r="7855">
      <c r="A7855" s="3">
        <v>3553.0</v>
      </c>
      <c r="B7855" s="4">
        <v>45408.31260416667</v>
      </c>
      <c r="C7855" s="3" t="s">
        <v>3</v>
      </c>
    </row>
    <row r="7856">
      <c r="A7856" s="3">
        <v>3785.0</v>
      </c>
      <c r="B7856" s="4">
        <v>45408.34792824074</v>
      </c>
      <c r="C7856" s="3" t="s">
        <v>6</v>
      </c>
    </row>
    <row r="7857">
      <c r="A7857" s="3">
        <v>7154.0</v>
      </c>
      <c r="B7857" s="4">
        <v>45408.352430555555</v>
      </c>
      <c r="C7857" s="3" t="s">
        <v>4</v>
      </c>
    </row>
    <row r="7858">
      <c r="A7858" s="3">
        <v>470.0</v>
      </c>
      <c r="B7858" s="4">
        <v>45408.365891203706</v>
      </c>
      <c r="C7858" s="3" t="s">
        <v>4</v>
      </c>
    </row>
    <row r="7859">
      <c r="A7859" s="3">
        <v>3183.0</v>
      </c>
      <c r="B7859" s="4">
        <v>45408.44988425926</v>
      </c>
      <c r="C7859" s="3" t="s">
        <v>3</v>
      </c>
    </row>
    <row r="7860">
      <c r="A7860" s="3">
        <v>575.0</v>
      </c>
      <c r="B7860" s="4">
        <v>45408.450150462966</v>
      </c>
      <c r="C7860" s="3" t="s">
        <v>3</v>
      </c>
    </row>
    <row r="7861">
      <c r="A7861" s="3">
        <v>1863.0</v>
      </c>
      <c r="B7861" s="4">
        <v>45408.45746527778</v>
      </c>
      <c r="C7861" s="3" t="s">
        <v>6</v>
      </c>
    </row>
    <row r="7862">
      <c r="A7862" s="3">
        <v>1287.0</v>
      </c>
      <c r="B7862" s="4">
        <v>45408.4834837963</v>
      </c>
      <c r="C7862" s="3" t="s">
        <v>3</v>
      </c>
    </row>
    <row r="7863">
      <c r="A7863" s="3">
        <v>4774.0</v>
      </c>
      <c r="B7863" s="4">
        <v>45408.48709490741</v>
      </c>
      <c r="C7863" s="3" t="s">
        <v>5</v>
      </c>
    </row>
    <row r="7864">
      <c r="A7864" s="3">
        <v>4891.0</v>
      </c>
      <c r="B7864" s="4">
        <v>45408.550717592596</v>
      </c>
      <c r="C7864" s="3" t="s">
        <v>3</v>
      </c>
    </row>
    <row r="7865">
      <c r="A7865" s="3">
        <v>6735.0</v>
      </c>
      <c r="B7865" s="4">
        <v>45408.5655787037</v>
      </c>
      <c r="C7865" s="3" t="s">
        <v>7</v>
      </c>
    </row>
    <row r="7866">
      <c r="A7866" s="3">
        <v>5663.0</v>
      </c>
      <c r="B7866" s="4">
        <v>45408.57561342593</v>
      </c>
      <c r="C7866" s="3" t="s">
        <v>7</v>
      </c>
    </row>
    <row r="7867">
      <c r="A7867" s="3">
        <v>6729.0</v>
      </c>
      <c r="B7867" s="4">
        <v>45408.578055555554</v>
      </c>
      <c r="C7867" s="3" t="s">
        <v>3</v>
      </c>
    </row>
    <row r="7868">
      <c r="A7868" s="3">
        <v>2937.0</v>
      </c>
      <c r="B7868" s="4">
        <v>45408.59673611111</v>
      </c>
      <c r="C7868" s="3" t="s">
        <v>3</v>
      </c>
    </row>
    <row r="7869">
      <c r="A7869" s="3">
        <v>7289.0</v>
      </c>
      <c r="B7869" s="4">
        <v>45408.607986111114</v>
      </c>
      <c r="C7869" s="3" t="s">
        <v>5</v>
      </c>
    </row>
    <row r="7870">
      <c r="A7870" s="3">
        <v>6097.0</v>
      </c>
      <c r="B7870" s="4">
        <v>45408.61898148148</v>
      </c>
      <c r="C7870" s="3" t="s">
        <v>6</v>
      </c>
    </row>
    <row r="7871">
      <c r="A7871" s="3">
        <v>7534.0</v>
      </c>
      <c r="B7871" s="4">
        <v>45408.64420138889</v>
      </c>
      <c r="C7871" s="3" t="s">
        <v>4</v>
      </c>
    </row>
    <row r="7872">
      <c r="A7872" s="3">
        <v>1481.0</v>
      </c>
      <c r="B7872" s="4">
        <v>45408.645787037036</v>
      </c>
      <c r="C7872" s="3" t="s">
        <v>4</v>
      </c>
    </row>
    <row r="7873">
      <c r="A7873" s="3">
        <v>7768.0</v>
      </c>
      <c r="B7873" s="4">
        <v>45408.64960648148</v>
      </c>
      <c r="C7873" s="3" t="s">
        <v>3</v>
      </c>
    </row>
    <row r="7874">
      <c r="A7874" s="3">
        <v>6174.0</v>
      </c>
      <c r="B7874" s="4">
        <v>45408.65802083333</v>
      </c>
      <c r="C7874" s="3" t="s">
        <v>3</v>
      </c>
    </row>
    <row r="7875">
      <c r="A7875" s="3">
        <v>4774.0</v>
      </c>
      <c r="B7875" s="4">
        <v>45408.67028935185</v>
      </c>
      <c r="C7875" s="3" t="s">
        <v>3</v>
      </c>
    </row>
    <row r="7876">
      <c r="A7876" s="3">
        <v>4170.0</v>
      </c>
      <c r="B7876" s="4">
        <v>45408.670625</v>
      </c>
      <c r="C7876" s="3" t="s">
        <v>3</v>
      </c>
    </row>
    <row r="7877">
      <c r="A7877" s="3">
        <v>7174.0</v>
      </c>
      <c r="B7877" s="4">
        <v>45408.68792824074</v>
      </c>
      <c r="C7877" s="3" t="s">
        <v>7</v>
      </c>
    </row>
    <row r="7878">
      <c r="A7878" s="3">
        <v>5500.0</v>
      </c>
      <c r="B7878" s="4">
        <v>45408.6919212963</v>
      </c>
      <c r="C7878" s="3" t="s">
        <v>4</v>
      </c>
    </row>
    <row r="7879">
      <c r="A7879" s="3">
        <v>805.0</v>
      </c>
      <c r="B7879" s="4">
        <v>45408.708819444444</v>
      </c>
      <c r="C7879" s="3" t="s">
        <v>3</v>
      </c>
    </row>
    <row r="7880">
      <c r="A7880" s="3">
        <v>501.0</v>
      </c>
      <c r="B7880" s="4">
        <v>45408.716412037036</v>
      </c>
      <c r="C7880" s="3" t="s">
        <v>7</v>
      </c>
    </row>
    <row r="7881">
      <c r="A7881" s="3">
        <v>536.0</v>
      </c>
      <c r="B7881" s="4">
        <v>45408.723969907405</v>
      </c>
      <c r="C7881" s="3" t="s">
        <v>3</v>
      </c>
    </row>
    <row r="7882">
      <c r="A7882" s="3">
        <v>7919.0</v>
      </c>
      <c r="B7882" s="4">
        <v>45408.739756944444</v>
      </c>
      <c r="C7882" s="3" t="s">
        <v>3</v>
      </c>
    </row>
    <row r="7883">
      <c r="A7883" s="3">
        <v>392.0</v>
      </c>
      <c r="B7883" s="4">
        <v>45408.7437037037</v>
      </c>
      <c r="C7883" s="3" t="s">
        <v>3</v>
      </c>
    </row>
    <row r="7884">
      <c r="A7884" s="3">
        <v>7724.0</v>
      </c>
      <c r="B7884" s="4">
        <v>45408.75819444445</v>
      </c>
      <c r="C7884" s="3" t="s">
        <v>3</v>
      </c>
    </row>
    <row r="7885">
      <c r="A7885" s="3">
        <v>501.0</v>
      </c>
      <c r="B7885" s="4">
        <v>45408.79039351852</v>
      </c>
      <c r="C7885" s="3" t="s">
        <v>4</v>
      </c>
    </row>
    <row r="7886">
      <c r="A7886" s="3">
        <v>4891.0</v>
      </c>
      <c r="B7886" s="4">
        <v>45408.837789351855</v>
      </c>
      <c r="C7886" s="3" t="s">
        <v>4</v>
      </c>
    </row>
    <row r="7887">
      <c r="A7887" s="3">
        <v>7847.0</v>
      </c>
      <c r="B7887" s="4">
        <v>45408.83991898148</v>
      </c>
      <c r="C7887" s="3" t="s">
        <v>6</v>
      </c>
    </row>
    <row r="7888">
      <c r="A7888" s="3">
        <v>3388.0</v>
      </c>
      <c r="B7888" s="4">
        <v>45408.84347222222</v>
      </c>
      <c r="C7888" s="3" t="s">
        <v>3</v>
      </c>
    </row>
    <row r="7889">
      <c r="A7889" s="3">
        <v>7429.0</v>
      </c>
      <c r="B7889" s="4">
        <v>45408.85181712963</v>
      </c>
      <c r="C7889" s="3" t="s">
        <v>6</v>
      </c>
    </row>
    <row r="7890">
      <c r="A7890" s="3">
        <v>6021.0</v>
      </c>
      <c r="B7890" s="4">
        <v>45408.864386574074</v>
      </c>
      <c r="C7890" s="3" t="s">
        <v>3</v>
      </c>
    </row>
    <row r="7891">
      <c r="A7891" s="3">
        <v>7221.0</v>
      </c>
      <c r="B7891" s="4">
        <v>45408.86620370371</v>
      </c>
      <c r="C7891" s="3" t="s">
        <v>5</v>
      </c>
    </row>
    <row r="7892">
      <c r="A7892" s="3">
        <v>6774.0</v>
      </c>
      <c r="B7892" s="4">
        <v>45408.867210648146</v>
      </c>
      <c r="C7892" s="3" t="s">
        <v>7</v>
      </c>
    </row>
    <row r="7893">
      <c r="A7893" s="3">
        <v>4079.0</v>
      </c>
      <c r="B7893" s="4">
        <v>45408.87719907407</v>
      </c>
      <c r="C7893" s="3" t="s">
        <v>6</v>
      </c>
    </row>
    <row r="7894">
      <c r="A7894" s="3">
        <v>2226.0</v>
      </c>
      <c r="B7894" s="4">
        <v>45408.881527777776</v>
      </c>
      <c r="C7894" s="3" t="s">
        <v>5</v>
      </c>
    </row>
    <row r="7895">
      <c r="A7895" s="3">
        <v>4843.0</v>
      </c>
      <c r="B7895" s="4">
        <v>45408.89665509259</v>
      </c>
      <c r="C7895" s="3" t="s">
        <v>7</v>
      </c>
    </row>
    <row r="7896">
      <c r="A7896" s="3">
        <v>7783.0</v>
      </c>
      <c r="B7896" s="4">
        <v>45408.89949074074</v>
      </c>
      <c r="C7896" s="3" t="s">
        <v>3</v>
      </c>
    </row>
    <row r="7897">
      <c r="A7897" s="3">
        <v>7289.0</v>
      </c>
      <c r="B7897" s="4">
        <v>45408.90252314815</v>
      </c>
      <c r="C7897" s="3" t="s">
        <v>4</v>
      </c>
    </row>
    <row r="7898">
      <c r="A7898" s="3">
        <v>5045.0</v>
      </c>
      <c r="B7898" s="4">
        <v>45408.92122685185</v>
      </c>
      <c r="C7898" s="3" t="s">
        <v>5</v>
      </c>
    </row>
    <row r="7899">
      <c r="A7899" s="3">
        <v>7534.0</v>
      </c>
      <c r="B7899" s="4">
        <v>45408.93083333333</v>
      </c>
      <c r="C7899" s="3" t="s">
        <v>3</v>
      </c>
    </row>
    <row r="7900">
      <c r="A7900" s="3">
        <v>7513.0</v>
      </c>
      <c r="B7900" s="4">
        <v>45408.9699537037</v>
      </c>
      <c r="C7900" s="3" t="s">
        <v>5</v>
      </c>
    </row>
    <row r="7901">
      <c r="A7901" s="3">
        <v>5005.0</v>
      </c>
      <c r="B7901" s="4">
        <v>45409.001921296294</v>
      </c>
      <c r="C7901" s="3" t="s">
        <v>3</v>
      </c>
    </row>
    <row r="7902">
      <c r="A7902" s="3">
        <v>3423.0</v>
      </c>
      <c r="B7902" s="4">
        <v>45409.00881944445</v>
      </c>
      <c r="C7902" s="3" t="s">
        <v>3</v>
      </c>
    </row>
    <row r="7903">
      <c r="A7903" s="3">
        <v>4170.0</v>
      </c>
      <c r="B7903" s="4">
        <v>45409.00908564815</v>
      </c>
      <c r="C7903" s="3" t="s">
        <v>5</v>
      </c>
    </row>
    <row r="7904">
      <c r="A7904" s="3">
        <v>4769.0</v>
      </c>
      <c r="B7904" s="4">
        <v>45409.063159722224</v>
      </c>
      <c r="C7904" s="3" t="s">
        <v>3</v>
      </c>
    </row>
    <row r="7905">
      <c r="A7905" s="3">
        <v>1322.0</v>
      </c>
      <c r="B7905" s="4">
        <v>45409.08949074074</v>
      </c>
      <c r="C7905" s="3" t="s">
        <v>4</v>
      </c>
    </row>
    <row r="7906">
      <c r="A7906" s="3">
        <v>4266.0</v>
      </c>
      <c r="B7906" s="4">
        <v>45409.10271990741</v>
      </c>
      <c r="C7906" s="3" t="s">
        <v>3</v>
      </c>
    </row>
    <row r="7907">
      <c r="A7907" s="3">
        <v>5040.0</v>
      </c>
      <c r="B7907" s="4">
        <v>45409.10753472222</v>
      </c>
      <c r="C7907" s="3" t="s">
        <v>5</v>
      </c>
    </row>
    <row r="7908">
      <c r="A7908" s="3">
        <v>5659.0</v>
      </c>
      <c r="B7908" s="4">
        <v>45409.12222222222</v>
      </c>
      <c r="C7908" s="3" t="s">
        <v>4</v>
      </c>
    </row>
    <row r="7909">
      <c r="A7909" s="3">
        <v>5330.0</v>
      </c>
      <c r="B7909" s="4">
        <v>45409.125497685185</v>
      </c>
      <c r="C7909" s="3" t="s">
        <v>4</v>
      </c>
    </row>
    <row r="7910">
      <c r="A7910" s="3">
        <v>5650.0</v>
      </c>
      <c r="B7910" s="4">
        <v>45409.137337962966</v>
      </c>
      <c r="C7910" s="3" t="s">
        <v>3</v>
      </c>
    </row>
    <row r="7911">
      <c r="A7911" s="3">
        <v>6174.0</v>
      </c>
      <c r="B7911" s="4">
        <v>45409.142476851855</v>
      </c>
      <c r="C7911" s="3" t="s">
        <v>7</v>
      </c>
    </row>
    <row r="7912">
      <c r="A7912" s="3">
        <v>6632.0</v>
      </c>
      <c r="B7912" s="4">
        <v>45409.143275462964</v>
      </c>
      <c r="C7912" s="3" t="s">
        <v>3</v>
      </c>
    </row>
    <row r="7913">
      <c r="A7913" s="3">
        <v>4852.0</v>
      </c>
      <c r="B7913" s="4">
        <v>45409.15107638889</v>
      </c>
      <c r="C7913" s="3" t="s">
        <v>3</v>
      </c>
    </row>
    <row r="7914">
      <c r="A7914" s="3">
        <v>6174.0</v>
      </c>
      <c r="B7914" s="4">
        <v>45409.15869212963</v>
      </c>
      <c r="C7914" s="3" t="s">
        <v>5</v>
      </c>
    </row>
    <row r="7915">
      <c r="A7915" s="3">
        <v>762.0</v>
      </c>
      <c r="B7915" s="4">
        <v>45409.17108796296</v>
      </c>
      <c r="C7915" s="3" t="s">
        <v>3</v>
      </c>
    </row>
    <row r="7916">
      <c r="A7916" s="3">
        <v>7451.0</v>
      </c>
      <c r="B7916" s="4">
        <v>45409.17407407407</v>
      </c>
      <c r="C7916" s="3" t="s">
        <v>3</v>
      </c>
    </row>
    <row r="7917">
      <c r="A7917" s="3">
        <v>506.0</v>
      </c>
      <c r="B7917" s="4">
        <v>45409.20292824074</v>
      </c>
      <c r="C7917" s="3" t="s">
        <v>5</v>
      </c>
    </row>
    <row r="7918">
      <c r="A7918" s="3">
        <v>6973.0</v>
      </c>
      <c r="B7918" s="4">
        <v>45409.2062037037</v>
      </c>
      <c r="C7918" s="3" t="s">
        <v>6</v>
      </c>
    </row>
    <row r="7919">
      <c r="A7919" s="3">
        <v>2792.0</v>
      </c>
      <c r="B7919" s="4">
        <v>45409.23290509259</v>
      </c>
      <c r="C7919" s="3" t="s">
        <v>3</v>
      </c>
    </row>
    <row r="7920">
      <c r="A7920" s="3">
        <v>501.0</v>
      </c>
      <c r="B7920" s="4">
        <v>45409.252534722225</v>
      </c>
      <c r="C7920" s="3" t="s">
        <v>6</v>
      </c>
    </row>
    <row r="7921">
      <c r="A7921" s="3">
        <v>4234.0</v>
      </c>
      <c r="B7921" s="4">
        <v>45409.2569212963</v>
      </c>
      <c r="C7921" s="3" t="s">
        <v>7</v>
      </c>
    </row>
    <row r="7922">
      <c r="A7922" s="3">
        <v>6317.0</v>
      </c>
      <c r="B7922" s="4">
        <v>45409.26614583333</v>
      </c>
      <c r="C7922" s="3" t="s">
        <v>3</v>
      </c>
    </row>
    <row r="7923">
      <c r="A7923" s="3">
        <v>2206.0</v>
      </c>
      <c r="B7923" s="4">
        <v>45409.33121527778</v>
      </c>
      <c r="C7923" s="3" t="s">
        <v>4</v>
      </c>
    </row>
    <row r="7924">
      <c r="A7924" s="3">
        <v>2140.0</v>
      </c>
      <c r="B7924" s="4">
        <v>45409.36719907408</v>
      </c>
      <c r="C7924" s="3" t="s">
        <v>4</v>
      </c>
    </row>
    <row r="7925">
      <c r="A7925" s="3">
        <v>362.0</v>
      </c>
      <c r="B7925" s="4">
        <v>45409.3849537037</v>
      </c>
      <c r="C7925" s="3" t="s">
        <v>3</v>
      </c>
    </row>
    <row r="7926">
      <c r="A7926" s="3">
        <v>470.0</v>
      </c>
      <c r="B7926" s="4">
        <v>45409.392222222225</v>
      </c>
      <c r="C7926" s="3" t="s">
        <v>5</v>
      </c>
    </row>
    <row r="7927">
      <c r="A7927" s="3">
        <v>5126.0</v>
      </c>
      <c r="B7927" s="4">
        <v>45409.397048611114</v>
      </c>
      <c r="C7927" s="3" t="s">
        <v>4</v>
      </c>
    </row>
    <row r="7928">
      <c r="A7928" s="3">
        <v>2058.0</v>
      </c>
      <c r="B7928" s="4">
        <v>45409.40252314815</v>
      </c>
      <c r="C7928" s="3" t="s">
        <v>6</v>
      </c>
    </row>
    <row r="7929">
      <c r="A7929" s="3">
        <v>7783.0</v>
      </c>
      <c r="B7929" s="4">
        <v>45409.41421296296</v>
      </c>
      <c r="C7929" s="3" t="s">
        <v>4</v>
      </c>
    </row>
    <row r="7930">
      <c r="A7930" s="3">
        <v>7768.0</v>
      </c>
      <c r="B7930" s="4">
        <v>45409.45990740741</v>
      </c>
      <c r="C7930" s="3" t="s">
        <v>7</v>
      </c>
    </row>
    <row r="7931">
      <c r="A7931" s="3">
        <v>7154.0</v>
      </c>
      <c r="B7931" s="4">
        <v>45409.46931712963</v>
      </c>
      <c r="C7931" s="3" t="s">
        <v>7</v>
      </c>
    </row>
    <row r="7932">
      <c r="A7932" s="3">
        <v>5126.0</v>
      </c>
      <c r="B7932" s="4">
        <v>45409.47451388889</v>
      </c>
      <c r="C7932" s="3" t="s">
        <v>3</v>
      </c>
    </row>
    <row r="7933">
      <c r="A7933" s="3">
        <v>6168.0</v>
      </c>
      <c r="B7933" s="4">
        <v>45409.48805555556</v>
      </c>
      <c r="C7933" s="3" t="s">
        <v>3</v>
      </c>
    </row>
    <row r="7934">
      <c r="A7934" s="3">
        <v>127.0</v>
      </c>
      <c r="B7934" s="4">
        <v>45409.489953703705</v>
      </c>
      <c r="C7934" s="3" t="s">
        <v>3</v>
      </c>
    </row>
    <row r="7935">
      <c r="A7935" s="3">
        <v>6973.0</v>
      </c>
      <c r="B7935" s="4">
        <v>45409.50813657408</v>
      </c>
      <c r="C7935" s="3" t="s">
        <v>7</v>
      </c>
    </row>
    <row r="7936">
      <c r="A7936" s="3">
        <v>2281.0</v>
      </c>
      <c r="B7936" s="4">
        <v>45409.520891203705</v>
      </c>
      <c r="C7936" s="3" t="s">
        <v>5</v>
      </c>
    </row>
    <row r="7937">
      <c r="A7937" s="3">
        <v>5650.0</v>
      </c>
      <c r="B7937" s="4">
        <v>45409.537766203706</v>
      </c>
      <c r="C7937" s="3" t="s">
        <v>5</v>
      </c>
    </row>
    <row r="7938">
      <c r="A7938" s="3">
        <v>3032.0</v>
      </c>
      <c r="B7938" s="4">
        <v>45409.56055555555</v>
      </c>
      <c r="C7938" s="3" t="s">
        <v>4</v>
      </c>
    </row>
    <row r="7939">
      <c r="A7939" s="3">
        <v>958.0</v>
      </c>
      <c r="B7939" s="4">
        <v>45409.59006944444</v>
      </c>
      <c r="C7939" s="3" t="s">
        <v>7</v>
      </c>
    </row>
    <row r="7940">
      <c r="A7940" s="3">
        <v>7451.0</v>
      </c>
      <c r="B7940" s="4">
        <v>45409.59226851852</v>
      </c>
      <c r="C7940" s="3" t="s">
        <v>4</v>
      </c>
    </row>
    <row r="7941">
      <c r="A7941" s="3">
        <v>5909.0</v>
      </c>
      <c r="B7941" s="4">
        <v>45409.602789351855</v>
      </c>
      <c r="C7941" s="3" t="s">
        <v>5</v>
      </c>
    </row>
    <row r="7942">
      <c r="A7942" s="3">
        <v>7768.0</v>
      </c>
      <c r="B7942" s="4">
        <v>45409.60818287037</v>
      </c>
      <c r="C7942" s="3" t="s">
        <v>5</v>
      </c>
    </row>
    <row r="7943">
      <c r="A7943" s="3">
        <v>4185.0</v>
      </c>
      <c r="B7943" s="4">
        <v>45409.61371527778</v>
      </c>
      <c r="C7943" s="3" t="s">
        <v>4</v>
      </c>
    </row>
    <row r="7944">
      <c r="A7944" s="3">
        <v>4774.0</v>
      </c>
      <c r="B7944" s="4">
        <v>45409.64549768518</v>
      </c>
      <c r="C7944" s="3" t="s">
        <v>7</v>
      </c>
    </row>
    <row r="7945">
      <c r="A7945" s="3">
        <v>3786.0</v>
      </c>
      <c r="B7945" s="4">
        <v>45409.64796296296</v>
      </c>
      <c r="C7945" s="3" t="s">
        <v>3</v>
      </c>
    </row>
    <row r="7946">
      <c r="A7946" s="3">
        <v>536.0</v>
      </c>
      <c r="B7946" s="4">
        <v>45409.678819444445</v>
      </c>
      <c r="C7946" s="3" t="s">
        <v>4</v>
      </c>
    </row>
    <row r="7947">
      <c r="A7947" s="3">
        <v>3183.0</v>
      </c>
      <c r="B7947" s="4">
        <v>45409.6903125</v>
      </c>
      <c r="C7947" s="3" t="s">
        <v>4</v>
      </c>
    </row>
    <row r="7948">
      <c r="A7948" s="3">
        <v>7919.0</v>
      </c>
      <c r="B7948" s="4">
        <v>45409.70143518518</v>
      </c>
      <c r="C7948" s="3" t="s">
        <v>6</v>
      </c>
    </row>
    <row r="7949">
      <c r="A7949" s="3">
        <v>6832.0</v>
      </c>
      <c r="B7949" s="4">
        <v>45409.70847222222</v>
      </c>
      <c r="C7949" s="3" t="s">
        <v>3</v>
      </c>
    </row>
    <row r="7950">
      <c r="A7950" s="3">
        <v>7174.0</v>
      </c>
      <c r="B7950" s="4">
        <v>45409.72686342592</v>
      </c>
      <c r="C7950" s="3" t="s">
        <v>6</v>
      </c>
    </row>
    <row r="7951">
      <c r="A7951" s="3">
        <v>5909.0</v>
      </c>
      <c r="B7951" s="4">
        <v>45409.744722222225</v>
      </c>
      <c r="C7951" s="3" t="s">
        <v>3</v>
      </c>
    </row>
    <row r="7952">
      <c r="A7952" s="3">
        <v>2448.0</v>
      </c>
      <c r="B7952" s="4">
        <v>45409.79675925926</v>
      </c>
      <c r="C7952" s="3" t="s">
        <v>6</v>
      </c>
    </row>
    <row r="7953">
      <c r="A7953" s="3">
        <v>487.0</v>
      </c>
      <c r="B7953" s="4">
        <v>45409.81631944444</v>
      </c>
      <c r="C7953" s="3" t="s">
        <v>7</v>
      </c>
    </row>
    <row r="7954">
      <c r="A7954" s="3">
        <v>2295.0</v>
      </c>
      <c r="B7954" s="4">
        <v>45409.834178240744</v>
      </c>
      <c r="C7954" s="3" t="s">
        <v>3</v>
      </c>
    </row>
    <row r="7955">
      <c r="A7955" s="3">
        <v>7648.0</v>
      </c>
      <c r="B7955" s="4">
        <v>45409.91695601852</v>
      </c>
      <c r="C7955" s="3" t="s">
        <v>6</v>
      </c>
    </row>
    <row r="7956">
      <c r="A7956" s="3">
        <v>5032.0</v>
      </c>
      <c r="B7956" s="4">
        <v>45409.946921296294</v>
      </c>
      <c r="C7956" s="3" t="s">
        <v>3</v>
      </c>
    </row>
    <row r="7957">
      <c r="A7957" s="3">
        <v>4185.0</v>
      </c>
      <c r="B7957" s="4">
        <v>45409.94949074074</v>
      </c>
      <c r="C7957" s="3" t="s">
        <v>3</v>
      </c>
    </row>
    <row r="7958">
      <c r="A7958" s="3">
        <v>4665.0</v>
      </c>
      <c r="B7958" s="4">
        <v>45409.95924768518</v>
      </c>
      <c r="C7958" s="3" t="s">
        <v>4</v>
      </c>
    </row>
    <row r="7959">
      <c r="A7959" s="3">
        <v>3939.0</v>
      </c>
      <c r="B7959" s="4">
        <v>45409.97288194444</v>
      </c>
      <c r="C7959" s="3" t="s">
        <v>3</v>
      </c>
    </row>
    <row r="7960">
      <c r="A7960" s="3">
        <v>218.0</v>
      </c>
      <c r="B7960" s="4">
        <v>45410.067824074074</v>
      </c>
      <c r="C7960" s="3" t="s">
        <v>6</v>
      </c>
    </row>
    <row r="7961">
      <c r="A7961" s="3">
        <v>487.0</v>
      </c>
      <c r="B7961" s="4">
        <v>45410.069548611114</v>
      </c>
      <c r="C7961" s="3" t="s">
        <v>6</v>
      </c>
    </row>
    <row r="7962">
      <c r="A7962" s="3">
        <v>2996.0</v>
      </c>
      <c r="B7962" s="4">
        <v>45410.07166666666</v>
      </c>
      <c r="C7962" s="3" t="s">
        <v>6</v>
      </c>
    </row>
    <row r="7963">
      <c r="A7963" s="3">
        <v>6127.0</v>
      </c>
      <c r="B7963" s="4">
        <v>45410.08405092593</v>
      </c>
      <c r="C7963" s="3" t="s">
        <v>3</v>
      </c>
    </row>
    <row r="7964">
      <c r="A7964" s="3">
        <v>3982.0</v>
      </c>
      <c r="B7964" s="4">
        <v>45410.09989583334</v>
      </c>
      <c r="C7964" s="3" t="s">
        <v>3</v>
      </c>
    </row>
    <row r="7965">
      <c r="A7965" s="3">
        <v>3302.0</v>
      </c>
      <c r="B7965" s="4">
        <v>45410.10487268519</v>
      </c>
      <c r="C7965" s="3" t="s">
        <v>3</v>
      </c>
    </row>
    <row r="7966">
      <c r="A7966" s="3">
        <v>235.0</v>
      </c>
      <c r="B7966" s="4">
        <v>45410.12774305556</v>
      </c>
      <c r="C7966" s="3" t="s">
        <v>3</v>
      </c>
    </row>
    <row r="7967">
      <c r="A7967" s="3">
        <v>1127.0</v>
      </c>
      <c r="B7967" s="4">
        <v>45410.13483796296</v>
      </c>
      <c r="C7967" s="3" t="s">
        <v>4</v>
      </c>
    </row>
    <row r="7968">
      <c r="A7968" s="3">
        <v>5926.0</v>
      </c>
      <c r="B7968" s="4">
        <v>45410.149201388886</v>
      </c>
      <c r="C7968" s="3" t="s">
        <v>6</v>
      </c>
    </row>
    <row r="7969">
      <c r="A7969" s="3">
        <v>470.0</v>
      </c>
      <c r="B7969" s="4">
        <v>45410.17229166667</v>
      </c>
      <c r="C7969" s="3" t="s">
        <v>7</v>
      </c>
    </row>
    <row r="7970">
      <c r="A7970" s="3">
        <v>6174.0</v>
      </c>
      <c r="B7970" s="4">
        <v>45410.19216435185</v>
      </c>
      <c r="C7970" s="3" t="s">
        <v>4</v>
      </c>
    </row>
    <row r="7971">
      <c r="A7971" s="3">
        <v>3917.0</v>
      </c>
      <c r="B7971" s="4">
        <v>45410.1934375</v>
      </c>
      <c r="C7971" s="3" t="s">
        <v>3</v>
      </c>
    </row>
    <row r="7972">
      <c r="A7972" s="3">
        <v>7742.0</v>
      </c>
      <c r="B7972" s="4">
        <v>45410.20065972222</v>
      </c>
      <c r="C7972" s="3" t="s">
        <v>3</v>
      </c>
    </row>
    <row r="7973">
      <c r="A7973" s="3">
        <v>4621.0</v>
      </c>
      <c r="B7973" s="4">
        <v>45410.202685185184</v>
      </c>
      <c r="C7973" s="3" t="s">
        <v>3</v>
      </c>
    </row>
    <row r="7974">
      <c r="A7974" s="3">
        <v>6320.0</v>
      </c>
      <c r="B7974" s="4">
        <v>45410.208391203705</v>
      </c>
      <c r="C7974" s="3" t="s">
        <v>4</v>
      </c>
    </row>
    <row r="7975">
      <c r="A7975" s="3">
        <v>1913.0</v>
      </c>
      <c r="B7975" s="4">
        <v>45410.20841435185</v>
      </c>
      <c r="C7975" s="3" t="s">
        <v>3</v>
      </c>
    </row>
    <row r="7976">
      <c r="A7976" s="3">
        <v>5061.0</v>
      </c>
      <c r="B7976" s="4">
        <v>45410.2277662037</v>
      </c>
      <c r="C7976" s="3" t="s">
        <v>3</v>
      </c>
    </row>
    <row r="7977">
      <c r="A7977" s="3">
        <v>1322.0</v>
      </c>
      <c r="B7977" s="4">
        <v>45410.246886574074</v>
      </c>
      <c r="C7977" s="3" t="s">
        <v>7</v>
      </c>
    </row>
    <row r="7978">
      <c r="A7978" s="3">
        <v>4170.0</v>
      </c>
      <c r="B7978" s="4">
        <v>45410.2715625</v>
      </c>
      <c r="C7978" s="3" t="s">
        <v>4</v>
      </c>
    </row>
    <row r="7979">
      <c r="A7979" s="3">
        <v>5851.0</v>
      </c>
      <c r="B7979" s="4">
        <v>45410.34459490741</v>
      </c>
      <c r="C7979" s="3" t="s">
        <v>4</v>
      </c>
    </row>
    <row r="7980">
      <c r="A7980" s="3">
        <v>3521.0</v>
      </c>
      <c r="B7980" s="4">
        <v>45410.36509259259</v>
      </c>
      <c r="C7980" s="3" t="s">
        <v>6</v>
      </c>
    </row>
    <row r="7981">
      <c r="A7981" s="3">
        <v>762.0</v>
      </c>
      <c r="B7981" s="4">
        <v>45410.377847222226</v>
      </c>
      <c r="C7981" s="3" t="s">
        <v>6</v>
      </c>
    </row>
    <row r="7982">
      <c r="A7982" s="3">
        <v>146.0</v>
      </c>
      <c r="B7982" s="4">
        <v>45410.39028935185</v>
      </c>
      <c r="C7982" s="3" t="s">
        <v>3</v>
      </c>
    </row>
    <row r="7983">
      <c r="A7983" s="3">
        <v>5061.0</v>
      </c>
      <c r="B7983" s="4">
        <v>45410.400300925925</v>
      </c>
      <c r="C7983" s="3" t="s">
        <v>4</v>
      </c>
    </row>
    <row r="7984">
      <c r="A7984" s="3">
        <v>536.0</v>
      </c>
      <c r="B7984" s="4">
        <v>45410.40190972222</v>
      </c>
      <c r="C7984" s="3" t="s">
        <v>7</v>
      </c>
    </row>
    <row r="7985">
      <c r="A7985" s="3">
        <v>7381.0</v>
      </c>
      <c r="B7985" s="4">
        <v>45410.403761574074</v>
      </c>
      <c r="C7985" s="3" t="s">
        <v>3</v>
      </c>
    </row>
    <row r="7986">
      <c r="A7986" s="3">
        <v>2777.0</v>
      </c>
      <c r="B7986" s="4">
        <v>45410.425578703704</v>
      </c>
      <c r="C7986" s="3" t="s">
        <v>3</v>
      </c>
    </row>
    <row r="7987">
      <c r="A7987" s="3">
        <v>3499.0</v>
      </c>
      <c r="B7987" s="4">
        <v>45410.431655092594</v>
      </c>
      <c r="C7987" s="3" t="s">
        <v>3</v>
      </c>
    </row>
    <row r="7988">
      <c r="A7988" s="3">
        <v>1322.0</v>
      </c>
      <c r="B7988" s="4">
        <v>45410.46144675926</v>
      </c>
      <c r="C7988" s="3" t="s">
        <v>6</v>
      </c>
    </row>
    <row r="7989">
      <c r="A7989" s="3">
        <v>3760.0</v>
      </c>
      <c r="B7989" s="4">
        <v>45410.4675</v>
      </c>
      <c r="C7989" s="3" t="s">
        <v>3</v>
      </c>
    </row>
    <row r="7990">
      <c r="A7990" s="3">
        <v>5663.0</v>
      </c>
      <c r="B7990" s="4">
        <v>45410.49957175926</v>
      </c>
      <c r="C7990" s="3" t="s">
        <v>6</v>
      </c>
    </row>
    <row r="7991">
      <c r="A7991" s="3">
        <v>2381.0</v>
      </c>
      <c r="B7991" s="4">
        <v>45410.513506944444</v>
      </c>
      <c r="C7991" s="3" t="s">
        <v>3</v>
      </c>
    </row>
    <row r="7992">
      <c r="A7992" s="3">
        <v>2409.0</v>
      </c>
      <c r="B7992" s="4">
        <v>45410.6355787037</v>
      </c>
      <c r="C7992" s="3" t="s">
        <v>3</v>
      </c>
    </row>
    <row r="7993">
      <c r="A7993" s="3">
        <v>7742.0</v>
      </c>
      <c r="B7993" s="4">
        <v>45410.65798611111</v>
      </c>
      <c r="C7993" s="3" t="s">
        <v>4</v>
      </c>
    </row>
    <row r="7994">
      <c r="A7994" s="3">
        <v>7154.0</v>
      </c>
      <c r="B7994" s="4">
        <v>45410.66143518518</v>
      </c>
      <c r="C7994" s="3" t="s">
        <v>5</v>
      </c>
    </row>
    <row r="7995">
      <c r="A7995" s="3">
        <v>3688.0</v>
      </c>
      <c r="B7995" s="4">
        <v>45410.68436342593</v>
      </c>
      <c r="C7995" s="3" t="s">
        <v>4</v>
      </c>
    </row>
    <row r="7996">
      <c r="A7996" s="3">
        <v>377.0</v>
      </c>
      <c r="B7996" s="4">
        <v>45410.69773148148</v>
      </c>
      <c r="C7996" s="3" t="s">
        <v>6</v>
      </c>
    </row>
    <row r="7997">
      <c r="A7997" s="3">
        <v>7742.0</v>
      </c>
      <c r="B7997" s="4">
        <v>45410.74836805555</v>
      </c>
      <c r="C7997" s="3" t="s">
        <v>5</v>
      </c>
    </row>
    <row r="7998">
      <c r="A7998" s="3">
        <v>2465.0</v>
      </c>
      <c r="B7998" s="4">
        <v>45410.783113425925</v>
      </c>
      <c r="C7998" s="3" t="s">
        <v>5</v>
      </c>
    </row>
    <row r="7999">
      <c r="A7999" s="3">
        <v>5909.0</v>
      </c>
      <c r="B7999" s="4">
        <v>45410.78333333333</v>
      </c>
      <c r="C7999" s="3" t="s">
        <v>4</v>
      </c>
    </row>
    <row r="8000">
      <c r="A8000" s="3">
        <v>7983.0</v>
      </c>
      <c r="B8000" s="4">
        <v>45410.7941087963</v>
      </c>
      <c r="C8000" s="3" t="s">
        <v>3</v>
      </c>
    </row>
    <row r="8001">
      <c r="A8001" s="3">
        <v>1919.0</v>
      </c>
      <c r="B8001" s="4">
        <v>45410.79708333333</v>
      </c>
      <c r="C8001" s="3" t="s">
        <v>3</v>
      </c>
    </row>
    <row r="8002">
      <c r="A8002" s="3">
        <v>762.0</v>
      </c>
      <c r="B8002" s="4">
        <v>45410.83607638889</v>
      </c>
      <c r="C8002" s="3" t="s">
        <v>4</v>
      </c>
    </row>
    <row r="8003">
      <c r="A8003" s="3">
        <v>3302.0</v>
      </c>
      <c r="B8003" s="4">
        <v>45410.84165509259</v>
      </c>
      <c r="C8003" s="3" t="s">
        <v>4</v>
      </c>
    </row>
    <row r="8004">
      <c r="A8004" s="3">
        <v>4111.0</v>
      </c>
      <c r="B8004" s="4">
        <v>45410.87577546296</v>
      </c>
      <c r="C8004" s="3" t="s">
        <v>3</v>
      </c>
    </row>
    <row r="8005">
      <c r="A8005" s="3">
        <v>5851.0</v>
      </c>
      <c r="B8005" s="4">
        <v>45410.90625</v>
      </c>
      <c r="C8005" s="3" t="s">
        <v>3</v>
      </c>
    </row>
    <row r="8006">
      <c r="A8006" s="3">
        <v>3183.0</v>
      </c>
      <c r="B8006" s="4">
        <v>45410.91315972222</v>
      </c>
      <c r="C8006" s="3" t="s">
        <v>7</v>
      </c>
    </row>
    <row r="8007">
      <c r="A8007" s="3">
        <v>6320.0</v>
      </c>
      <c r="B8007" s="4">
        <v>45410.935381944444</v>
      </c>
      <c r="C8007" s="3" t="s">
        <v>3</v>
      </c>
    </row>
    <row r="8008">
      <c r="A8008" s="3">
        <v>4444.0</v>
      </c>
      <c r="B8008" s="4">
        <v>45410.93866898148</v>
      </c>
      <c r="C8008" s="3" t="s">
        <v>3</v>
      </c>
    </row>
    <row r="8009">
      <c r="A8009" s="3">
        <v>6320.0</v>
      </c>
      <c r="B8009" s="4">
        <v>45410.97516203704</v>
      </c>
      <c r="C8009" s="3" t="s">
        <v>5</v>
      </c>
    </row>
    <row r="8010">
      <c r="A8010" s="3">
        <v>4563.0</v>
      </c>
      <c r="B8010" s="4">
        <v>45410.9859375</v>
      </c>
      <c r="C8010" s="3" t="s">
        <v>7</v>
      </c>
    </row>
    <row r="8011">
      <c r="A8011" s="3">
        <v>2777.0</v>
      </c>
      <c r="B8011" s="4">
        <v>45410.99518518519</v>
      </c>
      <c r="C8011" s="3" t="s">
        <v>4</v>
      </c>
    </row>
    <row r="8012">
      <c r="A8012" s="3">
        <v>2564.0</v>
      </c>
      <c r="B8012" s="4">
        <v>45410.99829861111</v>
      </c>
      <c r="C8012" s="3" t="s">
        <v>3</v>
      </c>
    </row>
    <row r="8013">
      <c r="A8013" s="3">
        <v>2780.0</v>
      </c>
      <c r="B8013" s="4">
        <v>45411.01188657407</v>
      </c>
      <c r="C8013" s="3" t="s">
        <v>3</v>
      </c>
    </row>
    <row r="8014">
      <c r="A8014" s="3">
        <v>3738.0</v>
      </c>
      <c r="B8014" s="4">
        <v>45411.01292824074</v>
      </c>
      <c r="C8014" s="3" t="s">
        <v>3</v>
      </c>
    </row>
    <row r="8015">
      <c r="A8015" s="3">
        <v>775.0</v>
      </c>
      <c r="B8015" s="4">
        <v>45411.026875</v>
      </c>
      <c r="C8015" s="3" t="s">
        <v>3</v>
      </c>
    </row>
    <row r="8016">
      <c r="A8016" s="3">
        <v>3423.0</v>
      </c>
      <c r="B8016" s="4">
        <v>45411.02726851852</v>
      </c>
      <c r="C8016" s="3" t="s">
        <v>4</v>
      </c>
    </row>
    <row r="8017">
      <c r="A8017" s="3">
        <v>5293.0</v>
      </c>
      <c r="B8017" s="4">
        <v>45411.02789351852</v>
      </c>
      <c r="C8017" s="3" t="s">
        <v>3</v>
      </c>
    </row>
    <row r="8018">
      <c r="A8018" s="3">
        <v>5045.0</v>
      </c>
      <c r="B8018" s="4">
        <v>45411.05730324074</v>
      </c>
      <c r="C8018" s="3" t="s">
        <v>6</v>
      </c>
    </row>
    <row r="8019">
      <c r="A8019" s="3">
        <v>5951.0</v>
      </c>
      <c r="B8019" s="4">
        <v>45411.07456018519</v>
      </c>
      <c r="C8019" s="3" t="s">
        <v>3</v>
      </c>
    </row>
    <row r="8020">
      <c r="A8020" s="3">
        <v>2857.0</v>
      </c>
      <c r="B8020" s="4">
        <v>45411.087326388886</v>
      </c>
      <c r="C8020" s="3" t="s">
        <v>3</v>
      </c>
    </row>
    <row r="8021">
      <c r="A8021" s="3">
        <v>7252.0</v>
      </c>
      <c r="B8021" s="4">
        <v>45411.099444444444</v>
      </c>
      <c r="C8021" s="3" t="s">
        <v>3</v>
      </c>
    </row>
    <row r="8022">
      <c r="A8022" s="3">
        <v>2295.0</v>
      </c>
      <c r="B8022" s="4">
        <v>45411.10396990741</v>
      </c>
      <c r="C8022" s="3" t="s">
        <v>4</v>
      </c>
    </row>
    <row r="8023">
      <c r="A8023" s="3">
        <v>1023.0</v>
      </c>
      <c r="B8023" s="4">
        <v>45411.18646990741</v>
      </c>
      <c r="C8023" s="3" t="s">
        <v>7</v>
      </c>
    </row>
    <row r="8024">
      <c r="A8024" s="3">
        <v>219.0</v>
      </c>
      <c r="B8024" s="4">
        <v>45411.19721064815</v>
      </c>
      <c r="C8024" s="3" t="s">
        <v>3</v>
      </c>
    </row>
    <row r="8025">
      <c r="A8025" s="3">
        <v>5.0</v>
      </c>
      <c r="B8025" s="4">
        <v>45411.208287037036</v>
      </c>
      <c r="C8025" s="3" t="s">
        <v>3</v>
      </c>
    </row>
    <row r="8026">
      <c r="A8026" s="3">
        <v>1023.0</v>
      </c>
      <c r="B8026" s="4">
        <v>45411.209085648145</v>
      </c>
      <c r="C8026" s="3" t="s">
        <v>6</v>
      </c>
    </row>
    <row r="8027">
      <c r="A8027" s="3">
        <v>2227.0</v>
      </c>
      <c r="B8027" s="4">
        <v>45411.21780092592</v>
      </c>
      <c r="C8027" s="3" t="s">
        <v>6</v>
      </c>
    </row>
    <row r="8028">
      <c r="A8028" s="3">
        <v>7061.0</v>
      </c>
      <c r="B8028" s="4">
        <v>45411.255057870374</v>
      </c>
      <c r="C8028" s="3" t="s">
        <v>3</v>
      </c>
    </row>
    <row r="8029">
      <c r="A8029" s="3">
        <v>5650.0</v>
      </c>
      <c r="B8029" s="4">
        <v>45411.27585648148</v>
      </c>
      <c r="C8029" s="3" t="s">
        <v>4</v>
      </c>
    </row>
    <row r="8030">
      <c r="A8030" s="3">
        <v>3809.0</v>
      </c>
      <c r="B8030" s="4">
        <v>45411.28815972222</v>
      </c>
      <c r="C8030" s="3" t="s">
        <v>3</v>
      </c>
    </row>
    <row r="8031">
      <c r="A8031" s="3">
        <v>2233.0</v>
      </c>
      <c r="B8031" s="4">
        <v>45411.30694444444</v>
      </c>
      <c r="C8031" s="3" t="s">
        <v>3</v>
      </c>
    </row>
    <row r="8032">
      <c r="A8032" s="3">
        <v>6387.0</v>
      </c>
      <c r="B8032" s="4">
        <v>45411.30769675926</v>
      </c>
      <c r="C8032" s="3" t="s">
        <v>3</v>
      </c>
    </row>
    <row r="8033">
      <c r="A8033" s="3">
        <v>3917.0</v>
      </c>
      <c r="B8033" s="4">
        <v>45411.3140162037</v>
      </c>
      <c r="C8033" s="3" t="s">
        <v>4</v>
      </c>
    </row>
    <row r="8034">
      <c r="A8034" s="3">
        <v>3180.0</v>
      </c>
      <c r="B8034" s="4">
        <v>45411.349224537036</v>
      </c>
      <c r="C8034" s="3" t="s">
        <v>3</v>
      </c>
    </row>
    <row r="8035">
      <c r="A8035" s="3">
        <v>4616.0</v>
      </c>
      <c r="B8035" s="4">
        <v>45411.36633101852</v>
      </c>
      <c r="C8035" s="3" t="s">
        <v>7</v>
      </c>
    </row>
    <row r="8036">
      <c r="A8036" s="3">
        <v>6979.0</v>
      </c>
      <c r="B8036" s="4">
        <v>45411.36875</v>
      </c>
      <c r="C8036" s="3" t="s">
        <v>3</v>
      </c>
    </row>
    <row r="8037">
      <c r="A8037" s="3">
        <v>6502.0</v>
      </c>
      <c r="B8037" s="4">
        <v>45411.40383101852</v>
      </c>
      <c r="C8037" s="3" t="s">
        <v>3</v>
      </c>
    </row>
    <row r="8038">
      <c r="A8038" s="3">
        <v>4660.0</v>
      </c>
      <c r="B8038" s="4">
        <v>45411.424409722225</v>
      </c>
      <c r="C8038" s="3" t="s">
        <v>4</v>
      </c>
    </row>
    <row r="8039">
      <c r="A8039" s="3">
        <v>2276.0</v>
      </c>
      <c r="B8039" s="4">
        <v>45411.438055555554</v>
      </c>
      <c r="C8039" s="3" t="s">
        <v>6</v>
      </c>
    </row>
    <row r="8040">
      <c r="A8040" s="3">
        <v>6145.0</v>
      </c>
      <c r="B8040" s="4">
        <v>45411.444918981484</v>
      </c>
      <c r="C8040" s="3" t="s">
        <v>4</v>
      </c>
    </row>
    <row r="8041">
      <c r="A8041" s="3">
        <v>536.0</v>
      </c>
      <c r="B8041" s="4">
        <v>45411.476793981485</v>
      </c>
      <c r="C8041" s="3" t="s">
        <v>5</v>
      </c>
    </row>
    <row r="8042">
      <c r="A8042" s="3">
        <v>4621.0</v>
      </c>
      <c r="B8042" s="4">
        <v>45411.47927083333</v>
      </c>
      <c r="C8042" s="3" t="s">
        <v>4</v>
      </c>
    </row>
    <row r="8043">
      <c r="A8043" s="3">
        <v>2418.0</v>
      </c>
      <c r="B8043" s="4">
        <v>45411.489166666666</v>
      </c>
      <c r="C8043" s="3" t="s">
        <v>3</v>
      </c>
    </row>
    <row r="8044">
      <c r="A8044" s="3">
        <v>1189.0</v>
      </c>
      <c r="B8044" s="4">
        <v>45411.49118055555</v>
      </c>
      <c r="C8044" s="3" t="s">
        <v>3</v>
      </c>
    </row>
    <row r="8045">
      <c r="A8045" s="3">
        <v>2685.0</v>
      </c>
      <c r="B8045" s="4">
        <v>45411.491215277776</v>
      </c>
      <c r="C8045" s="3" t="s">
        <v>6</v>
      </c>
    </row>
    <row r="8046">
      <c r="A8046" s="3">
        <v>1189.0</v>
      </c>
      <c r="B8046" s="4">
        <v>45411.51099537037</v>
      </c>
      <c r="C8046" s="3" t="s">
        <v>5</v>
      </c>
    </row>
    <row r="8047">
      <c r="A8047" s="3">
        <v>4665.0</v>
      </c>
      <c r="B8047" s="4">
        <v>45411.56298611111</v>
      </c>
      <c r="C8047" s="3" t="s">
        <v>7</v>
      </c>
    </row>
    <row r="8048">
      <c r="A8048" s="3">
        <v>762.0</v>
      </c>
      <c r="B8048" s="4">
        <v>45411.56392361111</v>
      </c>
      <c r="C8048" s="3" t="s">
        <v>5</v>
      </c>
    </row>
    <row r="8049">
      <c r="A8049" s="3">
        <v>3439.0</v>
      </c>
      <c r="B8049" s="4">
        <v>45411.59474537037</v>
      </c>
      <c r="C8049" s="3" t="s">
        <v>3</v>
      </c>
    </row>
    <row r="8050">
      <c r="A8050" s="3">
        <v>5909.0</v>
      </c>
      <c r="B8050" s="4">
        <v>45411.638657407406</v>
      </c>
      <c r="C8050" s="3" t="s">
        <v>6</v>
      </c>
    </row>
    <row r="8051">
      <c r="A8051" s="3">
        <v>3449.0</v>
      </c>
      <c r="B8051" s="4">
        <v>45411.65252314815</v>
      </c>
      <c r="C8051" s="3" t="s">
        <v>3</v>
      </c>
    </row>
    <row r="8052">
      <c r="A8052" s="3">
        <v>6350.0</v>
      </c>
      <c r="B8052" s="4">
        <v>45411.68675925926</v>
      </c>
      <c r="C8052" s="3" t="s">
        <v>3</v>
      </c>
    </row>
    <row r="8053">
      <c r="A8053" s="3">
        <v>7742.0</v>
      </c>
      <c r="B8053" s="4">
        <v>45411.69663194445</v>
      </c>
      <c r="C8053" s="3" t="s">
        <v>7</v>
      </c>
    </row>
    <row r="8054">
      <c r="A8054" s="3">
        <v>6317.0</v>
      </c>
      <c r="B8054" s="4">
        <v>45411.70949074074</v>
      </c>
      <c r="C8054" s="3" t="s">
        <v>4</v>
      </c>
    </row>
    <row r="8055">
      <c r="A8055" s="3">
        <v>7289.0</v>
      </c>
      <c r="B8055" s="4">
        <v>45411.722766203704</v>
      </c>
      <c r="C8055" s="3" t="s">
        <v>7</v>
      </c>
    </row>
    <row r="8056">
      <c r="A8056" s="3">
        <v>6145.0</v>
      </c>
      <c r="B8056" s="4">
        <v>45411.734930555554</v>
      </c>
      <c r="C8056" s="3" t="s">
        <v>3</v>
      </c>
    </row>
    <row r="8057">
      <c r="A8057" s="3">
        <v>3139.0</v>
      </c>
      <c r="B8057" s="4">
        <v>45411.73949074074</v>
      </c>
      <c r="C8057" s="3" t="s">
        <v>3</v>
      </c>
    </row>
    <row r="8058">
      <c r="A8058" s="3">
        <v>1919.0</v>
      </c>
      <c r="B8058" s="4">
        <v>45411.75148148148</v>
      </c>
      <c r="C8058" s="3" t="s">
        <v>4</v>
      </c>
    </row>
    <row r="8059">
      <c r="A8059" s="3">
        <v>4621.0</v>
      </c>
      <c r="B8059" s="4">
        <v>45411.785474537035</v>
      </c>
      <c r="C8059" s="3" t="s">
        <v>5</v>
      </c>
    </row>
    <row r="8060">
      <c r="A8060" s="3">
        <v>1647.0</v>
      </c>
      <c r="B8060" s="4">
        <v>45411.818078703705</v>
      </c>
      <c r="C8060" s="3" t="s">
        <v>3</v>
      </c>
    </row>
    <row r="8061">
      <c r="A8061" s="3">
        <v>5909.0</v>
      </c>
      <c r="B8061" s="4">
        <v>45411.819652777776</v>
      </c>
      <c r="C8061" s="3" t="s">
        <v>7</v>
      </c>
    </row>
    <row r="8062">
      <c r="A8062" s="3">
        <v>4626.0</v>
      </c>
      <c r="B8062" s="4">
        <v>45411.843356481484</v>
      </c>
      <c r="C8062" s="3" t="s">
        <v>3</v>
      </c>
    </row>
    <row r="8063">
      <c r="A8063" s="3">
        <v>1880.0</v>
      </c>
      <c r="B8063" s="4">
        <v>45411.89071759259</v>
      </c>
      <c r="C8063" s="3" t="s">
        <v>3</v>
      </c>
    </row>
    <row r="8064">
      <c r="A8064" s="3">
        <v>2005.0</v>
      </c>
      <c r="B8064" s="4">
        <v>45411.90462962963</v>
      </c>
      <c r="C8064" s="3" t="s">
        <v>3</v>
      </c>
    </row>
    <row r="8065">
      <c r="A8065" s="3">
        <v>6673.0</v>
      </c>
      <c r="B8065" s="4">
        <v>45411.913310185184</v>
      </c>
      <c r="C8065" s="3" t="s">
        <v>3</v>
      </c>
    </row>
    <row r="8066">
      <c r="A8066" s="3">
        <v>2535.0</v>
      </c>
      <c r="B8066" s="4">
        <v>45411.913622685184</v>
      </c>
      <c r="C8066" s="3" t="s">
        <v>3</v>
      </c>
    </row>
    <row r="8067">
      <c r="A8067" s="3">
        <v>5005.0</v>
      </c>
      <c r="B8067" s="4">
        <v>45411.93690972222</v>
      </c>
      <c r="C8067" s="3" t="s">
        <v>4</v>
      </c>
    </row>
    <row r="8068">
      <c r="A8068" s="3">
        <v>4207.0</v>
      </c>
      <c r="B8068" s="4">
        <v>45411.944502314815</v>
      </c>
      <c r="C8068" s="3" t="s">
        <v>3</v>
      </c>
    </row>
    <row r="8069">
      <c r="A8069" s="3">
        <v>1192.0</v>
      </c>
      <c r="B8069" s="4">
        <v>45411.98930555556</v>
      </c>
      <c r="C8069" s="3" t="s">
        <v>3</v>
      </c>
    </row>
    <row r="8070">
      <c r="A8070" s="3">
        <v>5045.0</v>
      </c>
      <c r="B8070" s="4">
        <v>45412.03194444445</v>
      </c>
      <c r="C8070" s="3" t="s">
        <v>7</v>
      </c>
    </row>
    <row r="8071">
      <c r="A8071" s="3">
        <v>2909.0</v>
      </c>
      <c r="B8071" s="4">
        <v>45412.03533564815</v>
      </c>
      <c r="C8071" s="3" t="s">
        <v>3</v>
      </c>
    </row>
    <row r="8072">
      <c r="A8072" s="3">
        <v>1080.0</v>
      </c>
      <c r="B8072" s="4">
        <v>45412.05579861111</v>
      </c>
      <c r="C8072" s="3" t="s">
        <v>3</v>
      </c>
    </row>
    <row r="8073">
      <c r="A8073" s="3">
        <v>4843.0</v>
      </c>
      <c r="B8073" s="4">
        <v>45412.06952546296</v>
      </c>
      <c r="C8073" s="3" t="s">
        <v>6</v>
      </c>
    </row>
    <row r="8074">
      <c r="A8074" s="3">
        <v>6450.0</v>
      </c>
      <c r="B8074" s="4">
        <v>45412.09337962963</v>
      </c>
      <c r="C8074" s="3" t="s">
        <v>6</v>
      </c>
    </row>
    <row r="8075">
      <c r="A8075" s="3">
        <v>4170.0</v>
      </c>
      <c r="B8075" s="4">
        <v>45412.094293981485</v>
      </c>
      <c r="C8075" s="3" t="s">
        <v>6</v>
      </c>
    </row>
    <row r="8076">
      <c r="A8076" s="3">
        <v>5199.0</v>
      </c>
      <c r="B8076" s="4">
        <v>45412.0958912037</v>
      </c>
      <c r="C8076" s="3" t="s">
        <v>6</v>
      </c>
    </row>
    <row r="8077">
      <c r="A8077" s="3">
        <v>7953.0</v>
      </c>
      <c r="B8077" s="4">
        <v>45412.10019675926</v>
      </c>
      <c r="C8077" s="3" t="s">
        <v>3</v>
      </c>
    </row>
    <row r="8078">
      <c r="A8078" s="3">
        <v>4999.0</v>
      </c>
      <c r="B8078" s="4">
        <v>45412.109143518515</v>
      </c>
      <c r="C8078" s="3" t="s">
        <v>3</v>
      </c>
    </row>
    <row r="8079">
      <c r="A8079" s="3">
        <v>3183.0</v>
      </c>
      <c r="B8079" s="4">
        <v>45412.13815972222</v>
      </c>
      <c r="C8079" s="3" t="s">
        <v>5</v>
      </c>
    </row>
    <row r="8080">
      <c r="A8080" s="3">
        <v>4615.0</v>
      </c>
      <c r="B8080" s="4">
        <v>45412.17863425926</v>
      </c>
      <c r="C8080" s="3" t="s">
        <v>3</v>
      </c>
    </row>
    <row r="8081">
      <c r="A8081" s="3">
        <v>3495.0</v>
      </c>
      <c r="B8081" s="4">
        <v>45412.27334490741</v>
      </c>
      <c r="C8081" s="3" t="s">
        <v>3</v>
      </c>
    </row>
    <row r="8082">
      <c r="A8082" s="3">
        <v>7252.0</v>
      </c>
      <c r="B8082" s="4">
        <v>45412.28306712963</v>
      </c>
      <c r="C8082" s="3" t="s">
        <v>5</v>
      </c>
    </row>
    <row r="8083">
      <c r="A8083" s="3">
        <v>7534.0</v>
      </c>
      <c r="B8083" s="4">
        <v>45412.2840162037</v>
      </c>
      <c r="C8083" s="3" t="s">
        <v>6</v>
      </c>
    </row>
    <row r="8084">
      <c r="A8084" s="3">
        <v>6452.0</v>
      </c>
      <c r="B8084" s="4">
        <v>45412.29247685185</v>
      </c>
      <c r="C8084" s="3" t="s">
        <v>3</v>
      </c>
    </row>
    <row r="8085">
      <c r="A8085" s="3">
        <v>3392.0</v>
      </c>
      <c r="B8085" s="4">
        <v>45412.313935185186</v>
      </c>
      <c r="C8085" s="3" t="s">
        <v>3</v>
      </c>
    </row>
    <row r="8086">
      <c r="A8086" s="3">
        <v>3588.0</v>
      </c>
      <c r="B8086" s="4">
        <v>45412.323113425926</v>
      </c>
      <c r="C8086" s="3" t="s">
        <v>3</v>
      </c>
    </row>
    <row r="8087">
      <c r="A8087" s="3">
        <v>5126.0</v>
      </c>
      <c r="B8087" s="4">
        <v>45412.32671296296</v>
      </c>
      <c r="C8087" s="3" t="s">
        <v>5</v>
      </c>
    </row>
    <row r="8088">
      <c r="A8088" s="3">
        <v>4621.0</v>
      </c>
      <c r="B8088" s="4">
        <v>45412.33112268519</v>
      </c>
      <c r="C8088" s="3" t="s">
        <v>6</v>
      </c>
    </row>
    <row r="8089">
      <c r="A8089" s="3">
        <v>4665.0</v>
      </c>
      <c r="B8089" s="4">
        <v>45412.346608796295</v>
      </c>
      <c r="C8089" s="3" t="s">
        <v>6</v>
      </c>
    </row>
    <row r="8090">
      <c r="A8090" s="3">
        <v>2535.0</v>
      </c>
      <c r="B8090" s="4">
        <v>45412.39266203704</v>
      </c>
      <c r="C8090" s="3" t="s">
        <v>4</v>
      </c>
    </row>
    <row r="8091">
      <c r="A8091" s="3">
        <v>392.0</v>
      </c>
      <c r="B8091" s="4">
        <v>45412.39418981481</v>
      </c>
      <c r="C8091" s="3" t="s">
        <v>4</v>
      </c>
    </row>
    <row r="8092">
      <c r="A8092" s="3">
        <v>3669.0</v>
      </c>
      <c r="B8092" s="4">
        <v>45412.41370370371</v>
      </c>
      <c r="C8092" s="3" t="s">
        <v>3</v>
      </c>
    </row>
    <row r="8093">
      <c r="A8093" s="3">
        <v>7594.0</v>
      </c>
      <c r="B8093" s="4">
        <v>45412.44635416667</v>
      </c>
      <c r="C8093" s="3" t="s">
        <v>3</v>
      </c>
    </row>
    <row r="8094">
      <c r="A8094" s="3">
        <v>713.0</v>
      </c>
      <c r="B8094" s="4">
        <v>45412.482141203705</v>
      </c>
      <c r="C8094" s="3" t="s">
        <v>3</v>
      </c>
    </row>
    <row r="8095">
      <c r="A8095" s="3">
        <v>2535.0</v>
      </c>
      <c r="B8095" s="4">
        <v>45412.51540509259</v>
      </c>
      <c r="C8095" s="3" t="s">
        <v>7</v>
      </c>
    </row>
    <row r="8096">
      <c r="A8096" s="3">
        <v>1916.0</v>
      </c>
      <c r="B8096" s="4">
        <v>45412.52481481482</v>
      </c>
      <c r="C8096" s="3" t="s">
        <v>3</v>
      </c>
    </row>
    <row r="8097">
      <c r="A8097" s="3">
        <v>7513.0</v>
      </c>
      <c r="B8097" s="4">
        <v>45412.541597222225</v>
      </c>
      <c r="C8097" s="3" t="s">
        <v>6</v>
      </c>
    </row>
    <row r="8098">
      <c r="A8098" s="3">
        <v>6387.0</v>
      </c>
      <c r="B8098" s="4">
        <v>45412.55126157407</v>
      </c>
      <c r="C8098" s="3" t="s">
        <v>4</v>
      </c>
    </row>
    <row r="8099">
      <c r="A8099" s="3">
        <v>506.0</v>
      </c>
      <c r="B8099" s="4">
        <v>45412.55569444445</v>
      </c>
      <c r="C8099" s="3" t="s">
        <v>7</v>
      </c>
    </row>
    <row r="8100">
      <c r="A8100" s="3">
        <v>2418.0</v>
      </c>
      <c r="B8100" s="4">
        <v>45412.56230324074</v>
      </c>
      <c r="C8100" s="3" t="s">
        <v>4</v>
      </c>
    </row>
    <row r="8101">
      <c r="A8101" s="3">
        <v>1189.0</v>
      </c>
      <c r="B8101" s="4">
        <v>45412.585277777776</v>
      </c>
      <c r="C8101" s="3" t="s">
        <v>4</v>
      </c>
    </row>
    <row r="8102">
      <c r="A8102" s="3">
        <v>3975.0</v>
      </c>
      <c r="B8102" s="4">
        <v>45412.59626157407</v>
      </c>
      <c r="C8102" s="3" t="s">
        <v>3</v>
      </c>
    </row>
    <row r="8103">
      <c r="A8103" s="3">
        <v>4429.0</v>
      </c>
      <c r="B8103" s="4">
        <v>45412.609143518515</v>
      </c>
      <c r="C8103" s="3" t="s">
        <v>3</v>
      </c>
    </row>
    <row r="8104">
      <c r="A8104" s="3">
        <v>2005.0</v>
      </c>
      <c r="B8104" s="4">
        <v>45412.610613425924</v>
      </c>
      <c r="C8104" s="3" t="s">
        <v>4</v>
      </c>
    </row>
    <row r="8105">
      <c r="A8105" s="3">
        <v>7919.0</v>
      </c>
      <c r="B8105" s="4">
        <v>45412.61883101852</v>
      </c>
      <c r="C8105" s="3" t="s">
        <v>5</v>
      </c>
    </row>
    <row r="8106">
      <c r="A8106" s="3">
        <v>3180.0</v>
      </c>
      <c r="B8106" s="4">
        <v>45412.6231712963</v>
      </c>
      <c r="C8106" s="3" t="s">
        <v>4</v>
      </c>
    </row>
    <row r="8107">
      <c r="A8107" s="3">
        <v>7909.0</v>
      </c>
      <c r="B8107" s="4">
        <v>45412.62583333333</v>
      </c>
      <c r="C8107" s="3" t="s">
        <v>3</v>
      </c>
    </row>
    <row r="8108">
      <c r="A8108" s="3">
        <v>506.0</v>
      </c>
      <c r="B8108" s="4">
        <v>45412.64962962963</v>
      </c>
      <c r="C8108" s="3" t="s">
        <v>6</v>
      </c>
    </row>
    <row r="8109">
      <c r="A8109" s="3">
        <v>7556.0</v>
      </c>
      <c r="B8109" s="4">
        <v>45412.668344907404</v>
      </c>
      <c r="C8109" s="3" t="s">
        <v>3</v>
      </c>
    </row>
    <row r="8110">
      <c r="A8110" s="3">
        <v>6225.0</v>
      </c>
      <c r="B8110" s="4">
        <v>45412.68680555555</v>
      </c>
      <c r="C8110" s="3" t="s">
        <v>3</v>
      </c>
    </row>
    <row r="8111">
      <c r="A8111" s="3">
        <v>2826.0</v>
      </c>
      <c r="B8111" s="4">
        <v>45412.715949074074</v>
      </c>
      <c r="C8111" s="3" t="s">
        <v>6</v>
      </c>
    </row>
    <row r="8112">
      <c r="A8112" s="3">
        <v>7451.0</v>
      </c>
      <c r="B8112" s="4">
        <v>45412.72393518518</v>
      </c>
      <c r="C8112" s="3" t="s">
        <v>6</v>
      </c>
    </row>
    <row r="8113">
      <c r="A8113" s="3">
        <v>3139.0</v>
      </c>
      <c r="B8113" s="4">
        <v>45412.742210648146</v>
      </c>
      <c r="C8113" s="3" t="s">
        <v>4</v>
      </c>
    </row>
    <row r="8114">
      <c r="A8114" s="3">
        <v>7221.0</v>
      </c>
      <c r="B8114" s="4">
        <v>45412.75078703704</v>
      </c>
      <c r="C8114" s="3" t="s">
        <v>6</v>
      </c>
    </row>
    <row r="8115">
      <c r="A8115" s="3">
        <v>5061.0</v>
      </c>
      <c r="B8115" s="4">
        <v>45412.76951388889</v>
      </c>
      <c r="C8115" s="3" t="s">
        <v>5</v>
      </c>
    </row>
    <row r="8116">
      <c r="A8116" s="3">
        <v>4330.0</v>
      </c>
      <c r="B8116" s="4">
        <v>45412.82643518518</v>
      </c>
      <c r="C8116" s="3" t="s">
        <v>3</v>
      </c>
    </row>
    <row r="8117">
      <c r="A8117" s="3">
        <v>1657.0</v>
      </c>
      <c r="B8117" s="4">
        <v>45412.82931712963</v>
      </c>
      <c r="C8117" s="3" t="s">
        <v>4</v>
      </c>
    </row>
    <row r="8118">
      <c r="A8118" s="3">
        <v>6225.0</v>
      </c>
      <c r="B8118" s="4">
        <v>45412.846770833334</v>
      </c>
      <c r="C8118" s="3" t="s">
        <v>4</v>
      </c>
    </row>
    <row r="8119">
      <c r="A8119" s="3">
        <v>1913.0</v>
      </c>
      <c r="B8119" s="4">
        <v>45412.849583333336</v>
      </c>
      <c r="C8119" s="3" t="s">
        <v>4</v>
      </c>
    </row>
    <row r="8120">
      <c r="A8120" s="3">
        <v>6079.0</v>
      </c>
      <c r="B8120" s="4">
        <v>45412.855416666665</v>
      </c>
      <c r="C8120" s="3" t="s">
        <v>3</v>
      </c>
    </row>
    <row r="8121">
      <c r="A8121" s="3">
        <v>659.0</v>
      </c>
      <c r="B8121" s="4">
        <v>45412.85931712963</v>
      </c>
      <c r="C8121" s="3" t="s">
        <v>3</v>
      </c>
    </row>
    <row r="8122">
      <c r="A8122" s="3">
        <v>6174.0</v>
      </c>
      <c r="B8122" s="4">
        <v>45412.86651620371</v>
      </c>
      <c r="C8122" s="3" t="s">
        <v>6</v>
      </c>
    </row>
    <row r="8123">
      <c r="A8123" s="3">
        <v>129.0</v>
      </c>
      <c r="B8123" s="4">
        <v>45412.8777662037</v>
      </c>
      <c r="C8123" s="3" t="s">
        <v>3</v>
      </c>
    </row>
    <row r="8124">
      <c r="A8124" s="3">
        <v>1657.0</v>
      </c>
      <c r="B8124" s="4">
        <v>45412.88346064815</v>
      </c>
      <c r="C8124" s="3" t="s">
        <v>3</v>
      </c>
    </row>
    <row r="8125">
      <c r="A8125" s="3">
        <v>3056.0</v>
      </c>
      <c r="B8125" s="4">
        <v>45412.89194444445</v>
      </c>
      <c r="C8125" s="3" t="s">
        <v>3</v>
      </c>
    </row>
    <row r="8126">
      <c r="A8126" s="3">
        <v>6987.0</v>
      </c>
      <c r="B8126" s="4">
        <v>45412.89457175926</v>
      </c>
      <c r="C8126" s="3" t="s">
        <v>3</v>
      </c>
    </row>
    <row r="8127">
      <c r="A8127" s="3">
        <v>3428.0</v>
      </c>
      <c r="B8127" s="4">
        <v>45412.90079861111</v>
      </c>
      <c r="C8127" s="3" t="s">
        <v>3</v>
      </c>
    </row>
    <row r="8128">
      <c r="A8128" s="3">
        <v>4185.0</v>
      </c>
      <c r="B8128" s="4">
        <v>45412.90590277778</v>
      </c>
      <c r="C8128" s="3" t="s">
        <v>6</v>
      </c>
    </row>
    <row r="8129">
      <c r="A8129" s="3">
        <v>3939.0</v>
      </c>
      <c r="B8129" s="4">
        <v>45412.93356481481</v>
      </c>
      <c r="C8129" s="3" t="s">
        <v>4</v>
      </c>
    </row>
    <row r="8130">
      <c r="A8130" s="3">
        <v>2406.0</v>
      </c>
      <c r="B8130" s="4">
        <v>45413.00252314815</v>
      </c>
      <c r="C8130" s="3" t="s">
        <v>3</v>
      </c>
    </row>
    <row r="8131">
      <c r="A8131" s="3">
        <v>762.0</v>
      </c>
      <c r="B8131" s="4">
        <v>45413.01773148148</v>
      </c>
      <c r="C8131" s="3" t="s">
        <v>7</v>
      </c>
    </row>
    <row r="8132">
      <c r="A8132" s="3">
        <v>5437.0</v>
      </c>
      <c r="B8132" s="4">
        <v>45413.03726851852</v>
      </c>
      <c r="C8132" s="3" t="s">
        <v>3</v>
      </c>
    </row>
    <row r="8133">
      <c r="A8133" s="3">
        <v>4999.0</v>
      </c>
      <c r="B8133" s="4">
        <v>45413.049849537034</v>
      </c>
      <c r="C8133" s="3" t="s">
        <v>4</v>
      </c>
    </row>
    <row r="8134">
      <c r="A8134" s="3">
        <v>958.0</v>
      </c>
      <c r="B8134" s="4">
        <v>45413.08491898148</v>
      </c>
      <c r="C8134" s="3" t="s">
        <v>6</v>
      </c>
    </row>
    <row r="8135">
      <c r="A8135" s="3">
        <v>4111.0</v>
      </c>
      <c r="B8135" s="4">
        <v>45413.08902777778</v>
      </c>
      <c r="C8135" s="3" t="s">
        <v>7</v>
      </c>
    </row>
    <row r="8136">
      <c r="A8136" s="3">
        <v>1510.0</v>
      </c>
      <c r="B8136" s="4">
        <v>45413.11194444444</v>
      </c>
      <c r="C8136" s="3" t="s">
        <v>3</v>
      </c>
    </row>
    <row r="8137">
      <c r="A8137" s="3">
        <v>5964.0</v>
      </c>
      <c r="B8137" s="4">
        <v>45413.12204861111</v>
      </c>
      <c r="C8137" s="3" t="s">
        <v>3</v>
      </c>
    </row>
    <row r="8138">
      <c r="A8138" s="3">
        <v>6295.0</v>
      </c>
      <c r="B8138" s="4">
        <v>45413.13513888889</v>
      </c>
      <c r="C8138" s="3" t="s">
        <v>4</v>
      </c>
    </row>
    <row r="8139">
      <c r="A8139" s="3">
        <v>3856.0</v>
      </c>
      <c r="B8139" s="4">
        <v>45413.17493055556</v>
      </c>
      <c r="C8139" s="3" t="s">
        <v>3</v>
      </c>
    </row>
    <row r="8140">
      <c r="A8140" s="3">
        <v>347.0</v>
      </c>
      <c r="B8140" s="4">
        <v>45413.18403935185</v>
      </c>
      <c r="C8140" s="3" t="s">
        <v>3</v>
      </c>
    </row>
    <row r="8141">
      <c r="A8141" s="3">
        <v>6295.0</v>
      </c>
      <c r="B8141" s="4">
        <v>45413.18975694444</v>
      </c>
      <c r="C8141" s="3" t="s">
        <v>3</v>
      </c>
    </row>
    <row r="8142">
      <c r="A8142" s="3">
        <v>7594.0</v>
      </c>
      <c r="B8142" s="4">
        <v>45413.19814814815</v>
      </c>
      <c r="C8142" s="3" t="s">
        <v>4</v>
      </c>
    </row>
    <row r="8143">
      <c r="A8143" s="3">
        <v>4852.0</v>
      </c>
      <c r="B8143" s="4">
        <v>45413.20521990741</v>
      </c>
      <c r="C8143" s="3" t="s">
        <v>4</v>
      </c>
    </row>
    <row r="8144">
      <c r="A8144" s="3">
        <v>3738.0</v>
      </c>
      <c r="B8144" s="4">
        <v>45413.20878472222</v>
      </c>
      <c r="C8144" s="3" t="s">
        <v>4</v>
      </c>
    </row>
    <row r="8145">
      <c r="A8145" s="3">
        <v>6979.0</v>
      </c>
      <c r="B8145" s="4">
        <v>45413.24119212963</v>
      </c>
      <c r="C8145" s="3" t="s">
        <v>4</v>
      </c>
    </row>
    <row r="8146">
      <c r="A8146" s="3">
        <v>5500.0</v>
      </c>
      <c r="B8146" s="4">
        <v>45413.264814814815</v>
      </c>
      <c r="C8146" s="3" t="s">
        <v>6</v>
      </c>
    </row>
    <row r="8147">
      <c r="A8147" s="3">
        <v>347.0</v>
      </c>
      <c r="B8147" s="4">
        <v>45413.27060185185</v>
      </c>
      <c r="C8147" s="3" t="s">
        <v>4</v>
      </c>
    </row>
    <row r="8148">
      <c r="A8148" s="3">
        <v>5650.0</v>
      </c>
      <c r="B8148" s="4">
        <v>45413.29109953704</v>
      </c>
      <c r="C8148" s="3" t="s">
        <v>6</v>
      </c>
    </row>
    <row r="8149">
      <c r="A8149" s="3">
        <v>6314.0</v>
      </c>
      <c r="B8149" s="4">
        <v>45413.29832175926</v>
      </c>
      <c r="C8149" s="3" t="s">
        <v>3</v>
      </c>
    </row>
    <row r="8150">
      <c r="A8150" s="3">
        <v>2163.0</v>
      </c>
      <c r="B8150" s="4">
        <v>45413.34792824074</v>
      </c>
      <c r="C8150" s="3" t="s">
        <v>3</v>
      </c>
    </row>
    <row r="8151">
      <c r="A8151" s="3">
        <v>3917.0</v>
      </c>
      <c r="B8151" s="4">
        <v>45413.38976851852</v>
      </c>
      <c r="C8151" s="3" t="s">
        <v>5</v>
      </c>
    </row>
    <row r="8152">
      <c r="A8152" s="3">
        <v>4540.0</v>
      </c>
      <c r="B8152" s="4">
        <v>45413.391493055555</v>
      </c>
      <c r="C8152" s="3" t="s">
        <v>6</v>
      </c>
    </row>
    <row r="8153">
      <c r="A8153" s="3">
        <v>7252.0</v>
      </c>
      <c r="B8153" s="4">
        <v>45413.39612268518</v>
      </c>
      <c r="C8153" s="3" t="s">
        <v>4</v>
      </c>
    </row>
    <row r="8154">
      <c r="A8154" s="3">
        <v>956.0</v>
      </c>
      <c r="B8154" s="4">
        <v>45413.41835648148</v>
      </c>
      <c r="C8154" s="3" t="s">
        <v>3</v>
      </c>
    </row>
    <row r="8155">
      <c r="A8155" s="3">
        <v>3323.0</v>
      </c>
      <c r="B8155" s="4">
        <v>45413.459756944445</v>
      </c>
      <c r="C8155" s="3" t="s">
        <v>3</v>
      </c>
    </row>
    <row r="8156">
      <c r="A8156" s="3">
        <v>3439.0</v>
      </c>
      <c r="B8156" s="4">
        <v>45413.47435185185</v>
      </c>
      <c r="C8156" s="3" t="s">
        <v>4</v>
      </c>
    </row>
    <row r="8157">
      <c r="A8157" s="3">
        <v>1080.0</v>
      </c>
      <c r="B8157" s="4">
        <v>45413.4897337963</v>
      </c>
      <c r="C8157" s="3" t="s">
        <v>5</v>
      </c>
    </row>
    <row r="8158">
      <c r="A8158" s="3">
        <v>2226.0</v>
      </c>
      <c r="B8158" s="4">
        <v>45413.50738425926</v>
      </c>
      <c r="C8158" s="3" t="s">
        <v>6</v>
      </c>
    </row>
    <row r="8159">
      <c r="A8159" s="3">
        <v>4621.0</v>
      </c>
      <c r="B8159" s="4">
        <v>45413.52790509259</v>
      </c>
      <c r="C8159" s="3" t="s">
        <v>7</v>
      </c>
    </row>
    <row r="8160">
      <c r="A8160" s="3">
        <v>1596.0</v>
      </c>
      <c r="B8160" s="4">
        <v>45413.55866898148</v>
      </c>
      <c r="C8160" s="3" t="s">
        <v>3</v>
      </c>
    </row>
    <row r="8161">
      <c r="A8161" s="3">
        <v>287.0</v>
      </c>
      <c r="B8161" s="4">
        <v>45413.56626157407</v>
      </c>
      <c r="C8161" s="3" t="s">
        <v>6</v>
      </c>
    </row>
    <row r="8162">
      <c r="A8162" s="3">
        <v>2941.0</v>
      </c>
      <c r="B8162" s="4">
        <v>45413.66394675926</v>
      </c>
      <c r="C8162" s="3" t="s">
        <v>3</v>
      </c>
    </row>
    <row r="8163">
      <c r="A8163" s="3">
        <v>3323.0</v>
      </c>
      <c r="B8163" s="4">
        <v>45413.67717592593</v>
      </c>
      <c r="C8163" s="3" t="s">
        <v>5</v>
      </c>
    </row>
    <row r="8164">
      <c r="A8164" s="3">
        <v>3917.0</v>
      </c>
      <c r="B8164" s="4">
        <v>45413.68587962963</v>
      </c>
      <c r="C8164" s="3" t="s">
        <v>6</v>
      </c>
    </row>
    <row r="8165">
      <c r="A8165" s="3">
        <v>7556.0</v>
      </c>
      <c r="B8165" s="4">
        <v>45413.697800925926</v>
      </c>
      <c r="C8165" s="3" t="s">
        <v>4</v>
      </c>
    </row>
    <row r="8166">
      <c r="A8166" s="3">
        <v>1080.0</v>
      </c>
      <c r="B8166" s="4">
        <v>45413.713113425925</v>
      </c>
      <c r="C8166" s="3" t="s">
        <v>4</v>
      </c>
    </row>
    <row r="8167">
      <c r="A8167" s="3">
        <v>1125.0</v>
      </c>
      <c r="B8167" s="4">
        <v>45413.72462962963</v>
      </c>
      <c r="C8167" s="3" t="s">
        <v>3</v>
      </c>
    </row>
    <row r="8168">
      <c r="A8168" s="3">
        <v>6424.0</v>
      </c>
      <c r="B8168" s="4">
        <v>45413.76626157408</v>
      </c>
      <c r="C8168" s="3" t="s">
        <v>3</v>
      </c>
    </row>
    <row r="8169">
      <c r="A8169" s="3">
        <v>1913.0</v>
      </c>
      <c r="B8169" s="4">
        <v>45413.7700462963</v>
      </c>
      <c r="C8169" s="3" t="s">
        <v>7</v>
      </c>
    </row>
    <row r="8170">
      <c r="A8170" s="3">
        <v>5769.0</v>
      </c>
      <c r="B8170" s="4">
        <v>45413.775717592594</v>
      </c>
      <c r="C8170" s="3" t="s">
        <v>6</v>
      </c>
    </row>
    <row r="8171">
      <c r="A8171" s="3">
        <v>6832.0</v>
      </c>
      <c r="B8171" s="4">
        <v>45413.79589120371</v>
      </c>
      <c r="C8171" s="3" t="s">
        <v>4</v>
      </c>
    </row>
    <row r="8172">
      <c r="A8172" s="3">
        <v>4616.0</v>
      </c>
      <c r="B8172" s="4">
        <v>45413.83293981481</v>
      </c>
      <c r="C8172" s="3" t="s">
        <v>6</v>
      </c>
    </row>
    <row r="8173">
      <c r="A8173" s="3">
        <v>5992.0</v>
      </c>
      <c r="B8173" s="4">
        <v>45413.88736111111</v>
      </c>
      <c r="C8173" s="3" t="s">
        <v>3</v>
      </c>
    </row>
    <row r="8174">
      <c r="A8174" s="3">
        <v>7451.0</v>
      </c>
      <c r="B8174" s="4">
        <v>45413.90767361111</v>
      </c>
      <c r="C8174" s="3" t="s">
        <v>5</v>
      </c>
    </row>
    <row r="8175">
      <c r="A8175" s="3">
        <v>7966.0</v>
      </c>
      <c r="B8175" s="4">
        <v>45413.93827546296</v>
      </c>
      <c r="C8175" s="3" t="s">
        <v>3</v>
      </c>
    </row>
    <row r="8176">
      <c r="A8176" s="3">
        <v>4287.0</v>
      </c>
      <c r="B8176" s="4">
        <v>45413.953148148146</v>
      </c>
      <c r="C8176" s="3" t="s">
        <v>3</v>
      </c>
    </row>
    <row r="8177">
      <c r="A8177" s="3">
        <v>6320.0</v>
      </c>
      <c r="B8177" s="4">
        <v>45413.99140046296</v>
      </c>
      <c r="C8177" s="3" t="s">
        <v>7</v>
      </c>
    </row>
    <row r="8178">
      <c r="A8178" s="3">
        <v>3423.0</v>
      </c>
      <c r="B8178" s="4">
        <v>45413.99539351852</v>
      </c>
      <c r="C8178" s="3" t="s">
        <v>5</v>
      </c>
    </row>
    <row r="8179">
      <c r="A8179" s="3">
        <v>4563.0</v>
      </c>
      <c r="B8179" s="4">
        <v>45414.005844907406</v>
      </c>
      <c r="C8179" s="3" t="s">
        <v>6</v>
      </c>
    </row>
    <row r="8180">
      <c r="A8180" s="3">
        <v>2406.0</v>
      </c>
      <c r="B8180" s="4">
        <v>45414.02230324074</v>
      </c>
      <c r="C8180" s="3" t="s">
        <v>4</v>
      </c>
    </row>
    <row r="8181">
      <c r="A8181" s="3">
        <v>4429.0</v>
      </c>
      <c r="B8181" s="4">
        <v>45414.04178240741</v>
      </c>
      <c r="C8181" s="3" t="s">
        <v>4</v>
      </c>
    </row>
    <row r="8182">
      <c r="A8182" s="3">
        <v>470.0</v>
      </c>
      <c r="B8182" s="4">
        <v>45414.05438657408</v>
      </c>
      <c r="C8182" s="3" t="s">
        <v>6</v>
      </c>
    </row>
    <row r="8183">
      <c r="A8183" s="3">
        <v>3502.0</v>
      </c>
      <c r="B8183" s="4">
        <v>45414.07119212963</v>
      </c>
      <c r="C8183" s="3" t="s">
        <v>5</v>
      </c>
    </row>
    <row r="8184">
      <c r="A8184" s="3">
        <v>4137.0</v>
      </c>
      <c r="B8184" s="4">
        <v>45414.081921296296</v>
      </c>
      <c r="C8184" s="3" t="s">
        <v>3</v>
      </c>
    </row>
    <row r="8185">
      <c r="A8185" s="3">
        <v>3363.0</v>
      </c>
      <c r="B8185" s="4">
        <v>45414.090775462966</v>
      </c>
      <c r="C8185" s="3" t="s">
        <v>5</v>
      </c>
    </row>
    <row r="8186">
      <c r="A8186" s="3">
        <v>1873.0</v>
      </c>
      <c r="B8186" s="4">
        <v>45414.10233796296</v>
      </c>
      <c r="C8186" s="3" t="s">
        <v>3</v>
      </c>
    </row>
    <row r="8187">
      <c r="A8187" s="3">
        <v>2657.0</v>
      </c>
      <c r="B8187" s="4">
        <v>45414.13652777778</v>
      </c>
      <c r="C8187" s="3" t="s">
        <v>3</v>
      </c>
    </row>
    <row r="8188">
      <c r="A8188" s="3">
        <v>1887.0</v>
      </c>
      <c r="B8188" s="4">
        <v>45414.16123842593</v>
      </c>
      <c r="C8188" s="3" t="s">
        <v>3</v>
      </c>
    </row>
    <row r="8189">
      <c r="A8189" s="3">
        <v>5081.0</v>
      </c>
      <c r="B8189" s="4">
        <v>45414.16207175926</v>
      </c>
      <c r="C8189" s="3" t="s">
        <v>3</v>
      </c>
    </row>
    <row r="8190">
      <c r="A8190" s="3">
        <v>6118.0</v>
      </c>
      <c r="B8190" s="4">
        <v>45414.16265046296</v>
      </c>
      <c r="C8190" s="3" t="s">
        <v>3</v>
      </c>
    </row>
    <row r="8191">
      <c r="A8191" s="3">
        <v>5126.0</v>
      </c>
      <c r="B8191" s="4">
        <v>45414.19212962963</v>
      </c>
      <c r="C8191" s="3" t="s">
        <v>7</v>
      </c>
    </row>
    <row r="8192">
      <c r="A8192" s="3">
        <v>2777.0</v>
      </c>
      <c r="B8192" s="4">
        <v>45414.19667824074</v>
      </c>
      <c r="C8192" s="3" t="s">
        <v>5</v>
      </c>
    </row>
    <row r="8193">
      <c r="A8193" s="3">
        <v>7252.0</v>
      </c>
      <c r="B8193" s="4">
        <v>45414.21082175926</v>
      </c>
      <c r="C8193" s="3" t="s">
        <v>6</v>
      </c>
    </row>
    <row r="8194">
      <c r="A8194" s="3">
        <v>7742.0</v>
      </c>
      <c r="B8194" s="4">
        <v>45414.2137037037</v>
      </c>
      <c r="C8194" s="3" t="s">
        <v>6</v>
      </c>
    </row>
    <row r="8195">
      <c r="A8195" s="3">
        <v>5317.0</v>
      </c>
      <c r="B8195" s="4">
        <v>45414.21425925926</v>
      </c>
      <c r="C8195" s="3" t="s">
        <v>3</v>
      </c>
    </row>
    <row r="8196">
      <c r="A8196" s="3">
        <v>6692.0</v>
      </c>
      <c r="B8196" s="4">
        <v>45414.21666666667</v>
      </c>
      <c r="C8196" s="3" t="s">
        <v>3</v>
      </c>
    </row>
    <row r="8197">
      <c r="A8197" s="3">
        <v>3179.0</v>
      </c>
      <c r="B8197" s="4">
        <v>45414.23148148148</v>
      </c>
      <c r="C8197" s="3" t="s">
        <v>3</v>
      </c>
    </row>
    <row r="8198">
      <c r="A8198" s="3">
        <v>170.0</v>
      </c>
      <c r="B8198" s="4">
        <v>45414.23459490741</v>
      </c>
      <c r="C8198" s="3" t="s">
        <v>6</v>
      </c>
    </row>
    <row r="8199">
      <c r="A8199" s="3">
        <v>3439.0</v>
      </c>
      <c r="B8199" s="4">
        <v>45414.23857638889</v>
      </c>
      <c r="C8199" s="3" t="s">
        <v>7</v>
      </c>
    </row>
    <row r="8200">
      <c r="A8200" s="3">
        <v>3423.0</v>
      </c>
      <c r="B8200" s="4">
        <v>45414.24922453704</v>
      </c>
      <c r="C8200" s="3" t="s">
        <v>7</v>
      </c>
    </row>
    <row r="8201">
      <c r="A8201" s="3">
        <v>6768.0</v>
      </c>
      <c r="B8201" s="4">
        <v>45414.27961805555</v>
      </c>
      <c r="C8201" s="3" t="s">
        <v>3</v>
      </c>
    </row>
    <row r="8202">
      <c r="A8202" s="3">
        <v>3917.0</v>
      </c>
      <c r="B8202" s="4">
        <v>45414.30498842592</v>
      </c>
      <c r="C8202" s="3" t="s">
        <v>7</v>
      </c>
    </row>
    <row r="8203">
      <c r="A8203" s="3">
        <v>3363.0</v>
      </c>
      <c r="B8203" s="4">
        <v>45414.31122685185</v>
      </c>
      <c r="C8203" s="3" t="s">
        <v>3</v>
      </c>
    </row>
    <row r="8204">
      <c r="A8204" s="3">
        <v>2535.0</v>
      </c>
      <c r="B8204" s="4">
        <v>45414.32954861111</v>
      </c>
      <c r="C8204" s="3" t="s">
        <v>5</v>
      </c>
    </row>
    <row r="8205">
      <c r="A8205" s="3">
        <v>6572.0</v>
      </c>
      <c r="B8205" s="4">
        <v>45414.37693287037</v>
      </c>
      <c r="C8205" s="3" t="s">
        <v>3</v>
      </c>
    </row>
    <row r="8206">
      <c r="A8206" s="3">
        <v>3502.0</v>
      </c>
      <c r="B8206" s="4">
        <v>45414.378275462965</v>
      </c>
      <c r="C8206" s="3" t="s">
        <v>3</v>
      </c>
    </row>
    <row r="8207">
      <c r="A8207" s="3">
        <v>2228.0</v>
      </c>
      <c r="B8207" s="4">
        <v>45414.395150462966</v>
      </c>
      <c r="C8207" s="3" t="s">
        <v>3</v>
      </c>
    </row>
    <row r="8208">
      <c r="A8208" s="3">
        <v>6632.0</v>
      </c>
      <c r="B8208" s="4">
        <v>45414.3978587963</v>
      </c>
      <c r="C8208" s="3" t="s">
        <v>6</v>
      </c>
    </row>
    <row r="8209">
      <c r="A8209" s="3">
        <v>6424.0</v>
      </c>
      <c r="B8209" s="4">
        <v>45414.48311342593</v>
      </c>
      <c r="C8209" s="3" t="s">
        <v>5</v>
      </c>
    </row>
    <row r="8210">
      <c r="A8210" s="3">
        <v>5647.0</v>
      </c>
      <c r="B8210" s="4">
        <v>45414.48883101852</v>
      </c>
      <c r="C8210" s="3" t="s">
        <v>3</v>
      </c>
    </row>
    <row r="8211">
      <c r="A8211" s="3">
        <v>2517.0</v>
      </c>
      <c r="B8211" s="4">
        <v>45414.55311342593</v>
      </c>
      <c r="C8211" s="3" t="s">
        <v>4</v>
      </c>
    </row>
    <row r="8212">
      <c r="A8212" s="3">
        <v>2640.0</v>
      </c>
      <c r="B8212" s="4">
        <v>45414.56711805556</v>
      </c>
      <c r="C8212" s="3" t="s">
        <v>3</v>
      </c>
    </row>
    <row r="8213">
      <c r="A8213" s="3">
        <v>1887.0</v>
      </c>
      <c r="B8213" s="4">
        <v>45414.57435185185</v>
      </c>
      <c r="C8213" s="3" t="s">
        <v>4</v>
      </c>
    </row>
    <row r="8214">
      <c r="A8214" s="3">
        <v>2517.0</v>
      </c>
      <c r="B8214" s="4">
        <v>45414.692395833335</v>
      </c>
      <c r="C8214" s="3" t="s">
        <v>5</v>
      </c>
    </row>
    <row r="8215">
      <c r="A8215" s="3">
        <v>2228.0</v>
      </c>
      <c r="B8215" s="4">
        <v>45414.72162037037</v>
      </c>
      <c r="C8215" s="3" t="s">
        <v>4</v>
      </c>
    </row>
    <row r="8216">
      <c r="A8216" s="3">
        <v>2419.0</v>
      </c>
      <c r="B8216" s="4">
        <v>45414.72451388889</v>
      </c>
      <c r="C8216" s="3" t="s">
        <v>6</v>
      </c>
    </row>
    <row r="8217">
      <c r="A8217" s="3">
        <v>1916.0</v>
      </c>
      <c r="B8217" s="4">
        <v>45414.73753472222</v>
      </c>
      <c r="C8217" s="3" t="s">
        <v>4</v>
      </c>
    </row>
    <row r="8218">
      <c r="A8218" s="3">
        <v>6854.0</v>
      </c>
      <c r="B8218" s="4">
        <v>45414.73873842593</v>
      </c>
      <c r="C8218" s="3" t="s">
        <v>3</v>
      </c>
    </row>
    <row r="8219">
      <c r="A8219" s="3">
        <v>5118.0</v>
      </c>
      <c r="B8219" s="4">
        <v>45414.76378472222</v>
      </c>
      <c r="C8219" s="3" t="s">
        <v>3</v>
      </c>
    </row>
    <row r="8220">
      <c r="A8220" s="3">
        <v>1481.0</v>
      </c>
      <c r="B8220" s="4">
        <v>45414.79116898148</v>
      </c>
      <c r="C8220" s="3" t="s">
        <v>6</v>
      </c>
    </row>
    <row r="8221">
      <c r="A8221" s="3">
        <v>4429.0</v>
      </c>
      <c r="B8221" s="4">
        <v>45414.79503472222</v>
      </c>
      <c r="C8221" s="3" t="s">
        <v>5</v>
      </c>
    </row>
    <row r="8222">
      <c r="A8222" s="3">
        <v>659.0</v>
      </c>
      <c r="B8222" s="4">
        <v>45414.88621527778</v>
      </c>
      <c r="C8222" s="3" t="s">
        <v>4</v>
      </c>
    </row>
    <row r="8223">
      <c r="A8223" s="3">
        <v>6692.0</v>
      </c>
      <c r="B8223" s="4">
        <v>45414.90498842593</v>
      </c>
      <c r="C8223" s="3" t="s">
        <v>4</v>
      </c>
    </row>
    <row r="8224">
      <c r="A8224" s="3">
        <v>5448.0</v>
      </c>
      <c r="B8224" s="4">
        <v>45414.90524305555</v>
      </c>
      <c r="C8224" s="3" t="s">
        <v>3</v>
      </c>
    </row>
    <row r="8225">
      <c r="A8225" s="3">
        <v>2517.0</v>
      </c>
      <c r="B8225" s="4">
        <v>45414.92034722222</v>
      </c>
      <c r="C8225" s="3" t="s">
        <v>3</v>
      </c>
    </row>
    <row r="8226">
      <c r="A8226" s="3">
        <v>3323.0</v>
      </c>
      <c r="B8226" s="4">
        <v>45414.92234953704</v>
      </c>
      <c r="C8226" s="3" t="s">
        <v>7</v>
      </c>
    </row>
    <row r="8227">
      <c r="A8227" s="3">
        <v>1189.0</v>
      </c>
      <c r="B8227" s="4">
        <v>45414.930752314816</v>
      </c>
      <c r="C8227" s="3" t="s">
        <v>6</v>
      </c>
    </row>
    <row r="8228">
      <c r="A8228" s="3">
        <v>5317.0</v>
      </c>
      <c r="B8228" s="4">
        <v>45414.941030092596</v>
      </c>
      <c r="C8228" s="3" t="s">
        <v>4</v>
      </c>
    </row>
    <row r="8229">
      <c r="A8229" s="3">
        <v>7198.0</v>
      </c>
      <c r="B8229" s="4">
        <v>45414.95002314815</v>
      </c>
      <c r="C8229" s="3" t="s">
        <v>3</v>
      </c>
    </row>
    <row r="8230">
      <c r="A8230" s="3">
        <v>6350.0</v>
      </c>
      <c r="B8230" s="4">
        <v>45414.98866898148</v>
      </c>
      <c r="C8230" s="3" t="s">
        <v>4</v>
      </c>
    </row>
    <row r="8231">
      <c r="A8231" s="3">
        <v>7211.0</v>
      </c>
      <c r="B8231" s="4">
        <v>45414.99537037037</v>
      </c>
      <c r="C8231" s="3" t="s">
        <v>3</v>
      </c>
    </row>
    <row r="8232">
      <c r="A8232" s="3">
        <v>1657.0</v>
      </c>
      <c r="B8232" s="4">
        <v>45414.99837962963</v>
      </c>
      <c r="C8232" s="3" t="s">
        <v>5</v>
      </c>
    </row>
    <row r="8233">
      <c r="A8233" s="3">
        <v>2119.0</v>
      </c>
      <c r="B8233" s="4">
        <v>45414.99914351852</v>
      </c>
      <c r="C8233" s="3" t="s">
        <v>3</v>
      </c>
    </row>
    <row r="8234">
      <c r="A8234" s="3">
        <v>7252.0</v>
      </c>
      <c r="B8234" s="4">
        <v>45415.038773148146</v>
      </c>
      <c r="C8234" s="3" t="s">
        <v>7</v>
      </c>
    </row>
    <row r="8235">
      <c r="A8235" s="3">
        <v>5448.0</v>
      </c>
      <c r="B8235" s="4">
        <v>45415.12403935185</v>
      </c>
      <c r="C8235" s="3" t="s">
        <v>7</v>
      </c>
    </row>
    <row r="8236">
      <c r="A8236" s="3">
        <v>5437.0</v>
      </c>
      <c r="B8236" s="4">
        <v>45415.151238425926</v>
      </c>
      <c r="C8236" s="3" t="s">
        <v>5</v>
      </c>
    </row>
    <row r="8237">
      <c r="A8237" s="3">
        <v>4185.0</v>
      </c>
      <c r="B8237" s="4">
        <v>45415.16483796296</v>
      </c>
      <c r="C8237" s="3" t="s">
        <v>7</v>
      </c>
    </row>
    <row r="8238">
      <c r="A8238" s="3">
        <v>6987.0</v>
      </c>
      <c r="B8238" s="4">
        <v>45415.16758101852</v>
      </c>
      <c r="C8238" s="3" t="s">
        <v>4</v>
      </c>
    </row>
    <row r="8239">
      <c r="A8239" s="3">
        <v>6076.0</v>
      </c>
      <c r="B8239" s="4">
        <v>45415.17530092593</v>
      </c>
      <c r="C8239" s="3" t="s">
        <v>5</v>
      </c>
    </row>
    <row r="8240">
      <c r="A8240" s="3">
        <v>4429.0</v>
      </c>
      <c r="B8240" s="4">
        <v>45415.182442129626</v>
      </c>
      <c r="C8240" s="3" t="s">
        <v>7</v>
      </c>
    </row>
    <row r="8241">
      <c r="A8241" s="3">
        <v>3495.0</v>
      </c>
      <c r="B8241" s="4">
        <v>45415.19039351852</v>
      </c>
      <c r="C8241" s="3" t="s">
        <v>4</v>
      </c>
    </row>
    <row r="8242">
      <c r="A8242" s="3">
        <v>1895.0</v>
      </c>
      <c r="B8242" s="4">
        <v>45415.19944444444</v>
      </c>
      <c r="C8242" s="3" t="s">
        <v>3</v>
      </c>
    </row>
    <row r="8243">
      <c r="A8243" s="3">
        <v>6673.0</v>
      </c>
      <c r="B8243" s="4">
        <v>45415.20747685185</v>
      </c>
      <c r="C8243" s="3" t="s">
        <v>5</v>
      </c>
    </row>
    <row r="8244">
      <c r="A8244" s="3">
        <v>1709.0</v>
      </c>
      <c r="B8244" s="4">
        <v>45415.23200231481</v>
      </c>
      <c r="C8244" s="3" t="s">
        <v>3</v>
      </c>
    </row>
    <row r="8245">
      <c r="A8245" s="3">
        <v>1164.0</v>
      </c>
      <c r="B8245" s="4">
        <v>45415.24346064815</v>
      </c>
      <c r="C8245" s="3" t="s">
        <v>3</v>
      </c>
    </row>
    <row r="8246">
      <c r="A8246" s="3">
        <v>6102.0</v>
      </c>
      <c r="B8246" s="4">
        <v>45415.25855324074</v>
      </c>
      <c r="C8246" s="3" t="s">
        <v>3</v>
      </c>
    </row>
    <row r="8247">
      <c r="A8247" s="3">
        <v>6804.0</v>
      </c>
      <c r="B8247" s="4">
        <v>45415.259363425925</v>
      </c>
      <c r="C8247" s="3" t="s">
        <v>3</v>
      </c>
    </row>
    <row r="8248">
      <c r="A8248" s="3">
        <v>3529.0</v>
      </c>
      <c r="B8248" s="4">
        <v>45415.30042824074</v>
      </c>
      <c r="C8248" s="3" t="s">
        <v>3</v>
      </c>
    </row>
    <row r="8249">
      <c r="A8249" s="3">
        <v>7970.0</v>
      </c>
      <c r="B8249" s="4">
        <v>45415.319861111115</v>
      </c>
      <c r="C8249" s="3" t="s">
        <v>3</v>
      </c>
    </row>
    <row r="8250">
      <c r="A8250" s="3">
        <v>5317.0</v>
      </c>
      <c r="B8250" s="4">
        <v>45415.32770833333</v>
      </c>
      <c r="C8250" s="3" t="s">
        <v>7</v>
      </c>
    </row>
    <row r="8251">
      <c r="A8251" s="3">
        <v>3439.0</v>
      </c>
      <c r="B8251" s="4">
        <v>45415.354895833334</v>
      </c>
      <c r="C8251" s="3" t="s">
        <v>6</v>
      </c>
    </row>
    <row r="8252">
      <c r="A8252" s="3">
        <v>5118.0</v>
      </c>
      <c r="B8252" s="4">
        <v>45415.35686342593</v>
      </c>
      <c r="C8252" s="3" t="s">
        <v>5</v>
      </c>
    </row>
    <row r="8253">
      <c r="A8253" s="3">
        <v>7783.0</v>
      </c>
      <c r="B8253" s="4">
        <v>45415.44043981482</v>
      </c>
      <c r="C8253" s="3" t="s">
        <v>6</v>
      </c>
    </row>
    <row r="8254">
      <c r="A8254" s="3">
        <v>355.0</v>
      </c>
      <c r="B8254" s="4">
        <v>45415.440520833334</v>
      </c>
      <c r="C8254" s="3" t="s">
        <v>4</v>
      </c>
    </row>
    <row r="8255">
      <c r="A8255" s="3">
        <v>536.0</v>
      </c>
      <c r="B8255" s="4">
        <v>45415.465833333335</v>
      </c>
      <c r="C8255" s="3" t="s">
        <v>6</v>
      </c>
    </row>
    <row r="8256">
      <c r="A8256" s="3">
        <v>3502.0</v>
      </c>
      <c r="B8256" s="4">
        <v>45415.53056712963</v>
      </c>
      <c r="C8256" s="3" t="s">
        <v>6</v>
      </c>
    </row>
    <row r="8257">
      <c r="A8257" s="3">
        <v>7085.0</v>
      </c>
      <c r="B8257" s="4">
        <v>45415.55011574074</v>
      </c>
      <c r="C8257" s="3" t="s">
        <v>3</v>
      </c>
    </row>
    <row r="8258">
      <c r="A8258" s="3">
        <v>1596.0</v>
      </c>
      <c r="B8258" s="4">
        <v>45415.55465277778</v>
      </c>
      <c r="C8258" s="3" t="s">
        <v>4</v>
      </c>
    </row>
    <row r="8259">
      <c r="A8259" s="3">
        <v>7329.0</v>
      </c>
      <c r="B8259" s="4">
        <v>45415.57714120371</v>
      </c>
      <c r="C8259" s="3" t="s">
        <v>3</v>
      </c>
    </row>
    <row r="8260">
      <c r="A8260" s="3">
        <v>355.0</v>
      </c>
      <c r="B8260" s="4">
        <v>45415.60119212963</v>
      </c>
      <c r="C8260" s="3" t="s">
        <v>3</v>
      </c>
    </row>
    <row r="8261">
      <c r="A8261" s="3">
        <v>5552.0</v>
      </c>
      <c r="B8261" s="4">
        <v>45415.60503472222</v>
      </c>
      <c r="C8261" s="3" t="s">
        <v>3</v>
      </c>
    </row>
    <row r="8262">
      <c r="A8262" s="3">
        <v>5515.0</v>
      </c>
      <c r="B8262" s="4">
        <v>45415.607986111114</v>
      </c>
      <c r="C8262" s="3" t="s">
        <v>3</v>
      </c>
    </row>
    <row r="8263">
      <c r="A8263" s="3">
        <v>5005.0</v>
      </c>
      <c r="B8263" s="4">
        <v>45415.624074074076</v>
      </c>
      <c r="C8263" s="3" t="s">
        <v>7</v>
      </c>
    </row>
    <row r="8264">
      <c r="A8264" s="3">
        <v>1510.0</v>
      </c>
      <c r="B8264" s="4">
        <v>45415.62837962963</v>
      </c>
      <c r="C8264" s="3" t="s">
        <v>4</v>
      </c>
    </row>
    <row r="8265">
      <c r="A8265" s="3">
        <v>5137.0</v>
      </c>
      <c r="B8265" s="4">
        <v>45415.65021990741</v>
      </c>
      <c r="C8265" s="3" t="s">
        <v>3</v>
      </c>
    </row>
    <row r="8266">
      <c r="A8266" s="3">
        <v>7007.0</v>
      </c>
      <c r="B8266" s="4">
        <v>45415.65251157407</v>
      </c>
      <c r="C8266" s="3" t="s">
        <v>3</v>
      </c>
    </row>
    <row r="8267">
      <c r="A8267" s="3">
        <v>5448.0</v>
      </c>
      <c r="B8267" s="4">
        <v>45415.703726851854</v>
      </c>
      <c r="C8267" s="3" t="s">
        <v>4</v>
      </c>
    </row>
    <row r="8268">
      <c r="A8268" s="3">
        <v>2657.0</v>
      </c>
      <c r="B8268" s="4">
        <v>45415.70564814815</v>
      </c>
      <c r="C8268" s="3" t="s">
        <v>7</v>
      </c>
    </row>
    <row r="8269">
      <c r="A8269" s="3">
        <v>5437.0</v>
      </c>
      <c r="B8269" s="4">
        <v>45415.74549768519</v>
      </c>
      <c r="C8269" s="3" t="s">
        <v>4</v>
      </c>
    </row>
    <row r="8270">
      <c r="A8270" s="3">
        <v>6306.0</v>
      </c>
      <c r="B8270" s="4">
        <v>45415.779652777775</v>
      </c>
      <c r="C8270" s="3" t="s">
        <v>3</v>
      </c>
    </row>
    <row r="8271">
      <c r="A8271" s="3">
        <v>6679.0</v>
      </c>
      <c r="B8271" s="4">
        <v>45415.780590277776</v>
      </c>
      <c r="C8271" s="3" t="s">
        <v>3</v>
      </c>
    </row>
    <row r="8272">
      <c r="A8272" s="3">
        <v>139.0</v>
      </c>
      <c r="B8272" s="4">
        <v>45415.78822916667</v>
      </c>
      <c r="C8272" s="3" t="s">
        <v>3</v>
      </c>
    </row>
    <row r="8273">
      <c r="A8273" s="3">
        <v>1515.0</v>
      </c>
      <c r="B8273" s="4">
        <v>45415.805</v>
      </c>
      <c r="C8273" s="3" t="s">
        <v>3</v>
      </c>
    </row>
    <row r="8274">
      <c r="A8274" s="3">
        <v>2657.0</v>
      </c>
      <c r="B8274" s="4">
        <v>45415.82287037037</v>
      </c>
      <c r="C8274" s="3" t="s">
        <v>4</v>
      </c>
    </row>
    <row r="8275">
      <c r="A8275" s="3">
        <v>347.0</v>
      </c>
      <c r="B8275" s="4">
        <v>45415.82405092593</v>
      </c>
      <c r="C8275" s="3" t="s">
        <v>5</v>
      </c>
    </row>
    <row r="8276">
      <c r="A8276" s="3">
        <v>1301.0</v>
      </c>
      <c r="B8276" s="4">
        <v>45415.837696759256</v>
      </c>
      <c r="C8276" s="3" t="s">
        <v>3</v>
      </c>
    </row>
    <row r="8277">
      <c r="A8277" s="3">
        <v>2465.0</v>
      </c>
      <c r="B8277" s="4">
        <v>45415.84030092593</v>
      </c>
      <c r="C8277" s="3" t="s">
        <v>6</v>
      </c>
    </row>
    <row r="8278">
      <c r="A8278" s="3">
        <v>5081.0</v>
      </c>
      <c r="B8278" s="4">
        <v>45415.86085648148</v>
      </c>
      <c r="C8278" s="3" t="s">
        <v>7</v>
      </c>
    </row>
    <row r="8279">
      <c r="A8279" s="3">
        <v>3423.0</v>
      </c>
      <c r="B8279" s="4">
        <v>45415.860925925925</v>
      </c>
      <c r="C8279" s="3" t="s">
        <v>6</v>
      </c>
    </row>
    <row r="8280">
      <c r="A8280" s="3">
        <v>2777.0</v>
      </c>
      <c r="B8280" s="4">
        <v>45415.89013888889</v>
      </c>
      <c r="C8280" s="3" t="s">
        <v>6</v>
      </c>
    </row>
    <row r="8281">
      <c r="A8281" s="3">
        <v>6673.0</v>
      </c>
      <c r="B8281" s="4">
        <v>45415.9178125</v>
      </c>
      <c r="C8281" s="3" t="s">
        <v>6</v>
      </c>
    </row>
    <row r="8282">
      <c r="A8282" s="3">
        <v>6076.0</v>
      </c>
      <c r="B8282" s="4">
        <v>45415.94640046296</v>
      </c>
      <c r="C8282" s="3" t="s">
        <v>3</v>
      </c>
    </row>
    <row r="8283">
      <c r="A8283" s="3">
        <v>5061.0</v>
      </c>
      <c r="B8283" s="4">
        <v>45415.95134259259</v>
      </c>
      <c r="C8283" s="3" t="s">
        <v>7</v>
      </c>
    </row>
    <row r="8284">
      <c r="A8284" s="3">
        <v>1510.0</v>
      </c>
      <c r="B8284" s="4">
        <v>45416.009884259256</v>
      </c>
      <c r="C8284" s="3" t="s">
        <v>7</v>
      </c>
    </row>
    <row r="8285">
      <c r="A8285" s="3">
        <v>5853.0</v>
      </c>
      <c r="B8285" s="4">
        <v>45416.01409722222</v>
      </c>
      <c r="C8285" s="3" t="s">
        <v>3</v>
      </c>
    </row>
    <row r="8286">
      <c r="A8286" s="3">
        <v>3183.0</v>
      </c>
      <c r="B8286" s="4">
        <v>45416.03026620371</v>
      </c>
      <c r="C8286" s="3" t="s">
        <v>6</v>
      </c>
    </row>
    <row r="8287">
      <c r="A8287" s="3">
        <v>7198.0</v>
      </c>
      <c r="B8287" s="4">
        <v>45416.103530092594</v>
      </c>
      <c r="C8287" s="3" t="s">
        <v>4</v>
      </c>
    </row>
    <row r="8288">
      <c r="A8288" s="3">
        <v>5837.0</v>
      </c>
      <c r="B8288" s="4">
        <v>45416.110034722224</v>
      </c>
      <c r="C8288" s="3" t="s">
        <v>3</v>
      </c>
    </row>
    <row r="8289">
      <c r="A8289" s="3">
        <v>4711.0</v>
      </c>
      <c r="B8289" s="4">
        <v>45416.126076388886</v>
      </c>
      <c r="C8289" s="3" t="s">
        <v>4</v>
      </c>
    </row>
    <row r="8290">
      <c r="A8290" s="3">
        <v>2119.0</v>
      </c>
      <c r="B8290" s="4">
        <v>45416.128958333335</v>
      </c>
      <c r="C8290" s="3" t="s">
        <v>6</v>
      </c>
    </row>
    <row r="8291">
      <c r="A8291" s="3">
        <v>1887.0</v>
      </c>
      <c r="B8291" s="4">
        <v>45416.144467592596</v>
      </c>
      <c r="C8291" s="3" t="s">
        <v>5</v>
      </c>
    </row>
    <row r="8292">
      <c r="A8292" s="3">
        <v>5038.0</v>
      </c>
      <c r="B8292" s="4">
        <v>45416.15746527778</v>
      </c>
      <c r="C8292" s="3" t="s">
        <v>3</v>
      </c>
    </row>
    <row r="8293">
      <c r="A8293" s="3">
        <v>4999.0</v>
      </c>
      <c r="B8293" s="4">
        <v>45416.17512731482</v>
      </c>
      <c r="C8293" s="3" t="s">
        <v>6</v>
      </c>
    </row>
    <row r="8294">
      <c r="A8294" s="3">
        <v>6079.0</v>
      </c>
      <c r="B8294" s="4">
        <v>45416.192453703705</v>
      </c>
      <c r="C8294" s="3" t="s">
        <v>4</v>
      </c>
    </row>
    <row r="8295">
      <c r="A8295" s="3">
        <v>7953.0</v>
      </c>
      <c r="B8295" s="4">
        <v>45416.199282407404</v>
      </c>
      <c r="C8295" s="3" t="s">
        <v>4</v>
      </c>
    </row>
    <row r="8296">
      <c r="A8296" s="3">
        <v>7702.0</v>
      </c>
      <c r="B8296" s="4">
        <v>45416.21430555556</v>
      </c>
      <c r="C8296" s="3" t="s">
        <v>3</v>
      </c>
    </row>
    <row r="8297">
      <c r="A8297" s="3">
        <v>5118.0</v>
      </c>
      <c r="B8297" s="4">
        <v>45416.21994212963</v>
      </c>
      <c r="C8297" s="3" t="s">
        <v>4</v>
      </c>
    </row>
    <row r="8298">
      <c r="A8298" s="3">
        <v>1919.0</v>
      </c>
      <c r="B8298" s="4">
        <v>45416.227627314816</v>
      </c>
      <c r="C8298" s="3" t="s">
        <v>6</v>
      </c>
    </row>
    <row r="8299">
      <c r="A8299" s="3">
        <v>355.0</v>
      </c>
      <c r="B8299" s="4">
        <v>45416.233402777776</v>
      </c>
      <c r="C8299" s="3" t="s">
        <v>7</v>
      </c>
    </row>
    <row r="8300">
      <c r="A8300" s="3">
        <v>5081.0</v>
      </c>
      <c r="B8300" s="4">
        <v>45416.23929398148</v>
      </c>
      <c r="C8300" s="3" t="s">
        <v>4</v>
      </c>
    </row>
    <row r="8301">
      <c r="A8301" s="3">
        <v>4055.0</v>
      </c>
      <c r="B8301" s="4">
        <v>45416.24445601852</v>
      </c>
      <c r="C8301" s="3" t="s">
        <v>3</v>
      </c>
    </row>
    <row r="8302">
      <c r="A8302" s="3">
        <v>6804.0</v>
      </c>
      <c r="B8302" s="4">
        <v>45416.249085648145</v>
      </c>
      <c r="C8302" s="3" t="s">
        <v>5</v>
      </c>
    </row>
    <row r="8303">
      <c r="A8303" s="3">
        <v>5930.0</v>
      </c>
      <c r="B8303" s="4">
        <v>45416.25707175926</v>
      </c>
      <c r="C8303" s="3" t="s">
        <v>4</v>
      </c>
    </row>
    <row r="8304">
      <c r="A8304" s="3">
        <v>3529.0</v>
      </c>
      <c r="B8304" s="4">
        <v>45416.287407407406</v>
      </c>
      <c r="C8304" s="3" t="s">
        <v>4</v>
      </c>
    </row>
    <row r="8305">
      <c r="A8305" s="3">
        <v>2802.0</v>
      </c>
      <c r="B8305" s="4">
        <v>45416.29865740741</v>
      </c>
      <c r="C8305" s="3" t="s">
        <v>3</v>
      </c>
    </row>
    <row r="8306">
      <c r="A8306" s="3">
        <v>2228.0</v>
      </c>
      <c r="B8306" s="4">
        <v>45416.31119212963</v>
      </c>
      <c r="C8306" s="3" t="s">
        <v>7</v>
      </c>
    </row>
    <row r="8307">
      <c r="A8307" s="3">
        <v>3312.0</v>
      </c>
      <c r="B8307" s="4">
        <v>45416.3449537037</v>
      </c>
      <c r="C8307" s="3" t="s">
        <v>3</v>
      </c>
    </row>
    <row r="8308">
      <c r="A8308" s="3">
        <v>5126.0</v>
      </c>
      <c r="B8308" s="4">
        <v>45416.36537037037</v>
      </c>
      <c r="C8308" s="3" t="s">
        <v>6</v>
      </c>
    </row>
    <row r="8309">
      <c r="A8309" s="3">
        <v>2777.0</v>
      </c>
      <c r="B8309" s="4">
        <v>45416.367118055554</v>
      </c>
      <c r="C8309" s="3" t="s">
        <v>7</v>
      </c>
    </row>
    <row r="8310">
      <c r="A8310" s="3">
        <v>1489.0</v>
      </c>
      <c r="B8310" s="4">
        <v>45416.37039351852</v>
      </c>
      <c r="C8310" s="3" t="s">
        <v>3</v>
      </c>
    </row>
    <row r="8311">
      <c r="A8311" s="3">
        <v>2622.0</v>
      </c>
      <c r="B8311" s="4">
        <v>45416.401400462964</v>
      </c>
      <c r="C8311" s="3" t="s">
        <v>3</v>
      </c>
    </row>
    <row r="8312">
      <c r="A8312" s="3">
        <v>4687.0</v>
      </c>
      <c r="B8312" s="4">
        <v>45416.43505787037</v>
      </c>
      <c r="C8312" s="3" t="s">
        <v>3</v>
      </c>
    </row>
    <row r="8313">
      <c r="A8313" s="3">
        <v>5930.0</v>
      </c>
      <c r="B8313" s="4">
        <v>45416.44024305556</v>
      </c>
      <c r="C8313" s="3" t="s">
        <v>3</v>
      </c>
    </row>
    <row r="8314">
      <c r="A8314" s="3">
        <v>1175.0</v>
      </c>
      <c r="B8314" s="4">
        <v>45416.45788194444</v>
      </c>
      <c r="C8314" s="3" t="s">
        <v>3</v>
      </c>
    </row>
    <row r="8315">
      <c r="A8315" s="3">
        <v>3210.0</v>
      </c>
      <c r="B8315" s="4">
        <v>45416.49282407408</v>
      </c>
      <c r="C8315" s="3" t="s">
        <v>3</v>
      </c>
    </row>
    <row r="8316">
      <c r="A8316" s="3">
        <v>7329.0</v>
      </c>
      <c r="B8316" s="4">
        <v>45416.50137731482</v>
      </c>
      <c r="C8316" s="3" t="s">
        <v>5</v>
      </c>
    </row>
    <row r="8317">
      <c r="A8317" s="3">
        <v>7619.0</v>
      </c>
      <c r="B8317" s="4">
        <v>45416.52392361111</v>
      </c>
      <c r="C8317" s="3" t="s">
        <v>3</v>
      </c>
    </row>
    <row r="8318">
      <c r="A8318" s="3">
        <v>3179.0</v>
      </c>
      <c r="B8318" s="4">
        <v>45416.53107638889</v>
      </c>
      <c r="C8318" s="3" t="s">
        <v>4</v>
      </c>
    </row>
    <row r="8319">
      <c r="A8319" s="3">
        <v>2281.0</v>
      </c>
      <c r="B8319" s="4">
        <v>45416.53123842592</v>
      </c>
      <c r="C8319" s="3" t="s">
        <v>6</v>
      </c>
    </row>
    <row r="8320">
      <c r="A8320" s="3">
        <v>4711.0</v>
      </c>
      <c r="B8320" s="4">
        <v>45416.54913194444</v>
      </c>
      <c r="C8320" s="3" t="s">
        <v>3</v>
      </c>
    </row>
    <row r="8321">
      <c r="A8321" s="3">
        <v>3890.0</v>
      </c>
      <c r="B8321" s="4">
        <v>45416.588958333334</v>
      </c>
      <c r="C8321" s="3" t="s">
        <v>6</v>
      </c>
    </row>
    <row r="8322">
      <c r="A8322" s="3">
        <v>4774.0</v>
      </c>
      <c r="B8322" s="4">
        <v>45416.59138888889</v>
      </c>
      <c r="C8322" s="3" t="s">
        <v>6</v>
      </c>
    </row>
    <row r="8323">
      <c r="A8323" s="3">
        <v>5837.0</v>
      </c>
      <c r="B8323" s="4">
        <v>45416.63355324074</v>
      </c>
      <c r="C8323" s="3" t="s">
        <v>4</v>
      </c>
    </row>
    <row r="8324">
      <c r="A8324" s="3">
        <v>1873.0</v>
      </c>
      <c r="B8324" s="4">
        <v>45416.633576388886</v>
      </c>
      <c r="C8324" s="3" t="s">
        <v>4</v>
      </c>
    </row>
    <row r="8325">
      <c r="A8325" s="3">
        <v>5138.0</v>
      </c>
      <c r="B8325" s="4">
        <v>45416.63673611111</v>
      </c>
      <c r="C8325" s="3" t="s">
        <v>3</v>
      </c>
    </row>
    <row r="8326">
      <c r="A8326" s="3">
        <v>3943.0</v>
      </c>
      <c r="B8326" s="4">
        <v>45416.63998842592</v>
      </c>
      <c r="C8326" s="3" t="s">
        <v>5</v>
      </c>
    </row>
    <row r="8327">
      <c r="A8327" s="3">
        <v>2622.0</v>
      </c>
      <c r="B8327" s="4">
        <v>45416.64803240741</v>
      </c>
      <c r="C8327" s="3" t="s">
        <v>4</v>
      </c>
    </row>
    <row r="8328">
      <c r="A8328" s="3">
        <v>6692.0</v>
      </c>
      <c r="B8328" s="4">
        <v>45416.66471064815</v>
      </c>
      <c r="C8328" s="3" t="s">
        <v>5</v>
      </c>
    </row>
    <row r="8329">
      <c r="A8329" s="3">
        <v>2228.0</v>
      </c>
      <c r="B8329" s="4">
        <v>45416.675891203704</v>
      </c>
      <c r="C8329" s="3" t="s">
        <v>5</v>
      </c>
    </row>
    <row r="8330">
      <c r="A8330" s="3">
        <v>1164.0</v>
      </c>
      <c r="B8330" s="4">
        <v>45416.69987268518</v>
      </c>
      <c r="C8330" s="3" t="s">
        <v>7</v>
      </c>
    </row>
    <row r="8331">
      <c r="A8331" s="3">
        <v>2119.0</v>
      </c>
      <c r="B8331" s="4">
        <v>45416.710868055554</v>
      </c>
      <c r="C8331" s="3" t="s">
        <v>4</v>
      </c>
    </row>
    <row r="8332">
      <c r="A8332" s="3">
        <v>3363.0</v>
      </c>
      <c r="B8332" s="4">
        <v>45416.71797453704</v>
      </c>
      <c r="C8332" s="3" t="s">
        <v>4</v>
      </c>
    </row>
    <row r="8333">
      <c r="A8333" s="3">
        <v>3669.0</v>
      </c>
      <c r="B8333" s="4">
        <v>45416.72101851852</v>
      </c>
      <c r="C8333" s="3" t="s">
        <v>4</v>
      </c>
    </row>
    <row r="8334">
      <c r="A8334" s="3">
        <v>1657.0</v>
      </c>
      <c r="B8334" s="4">
        <v>45416.77638888889</v>
      </c>
      <c r="C8334" s="3" t="s">
        <v>7</v>
      </c>
    </row>
    <row r="8335">
      <c r="A8335" s="3">
        <v>5188.0</v>
      </c>
      <c r="B8335" s="4">
        <v>45416.81376157407</v>
      </c>
      <c r="C8335" s="3" t="s">
        <v>3</v>
      </c>
    </row>
    <row r="8336">
      <c r="A8336" s="3">
        <v>2517.0</v>
      </c>
      <c r="B8336" s="4">
        <v>45416.83314814815</v>
      </c>
      <c r="C8336" s="3" t="s">
        <v>7</v>
      </c>
    </row>
    <row r="8337">
      <c r="A8337" s="3">
        <v>6320.0</v>
      </c>
      <c r="B8337" s="4">
        <v>45416.89908564815</v>
      </c>
      <c r="C8337" s="3" t="s">
        <v>6</v>
      </c>
    </row>
    <row r="8338">
      <c r="A8338" s="3">
        <v>4005.0</v>
      </c>
      <c r="B8338" s="4">
        <v>45416.925532407404</v>
      </c>
      <c r="C8338" s="3" t="s">
        <v>3</v>
      </c>
    </row>
    <row r="8339">
      <c r="A8339" s="3">
        <v>27.0</v>
      </c>
      <c r="B8339" s="4">
        <v>45416.927766203706</v>
      </c>
      <c r="C8339" s="3" t="s">
        <v>3</v>
      </c>
    </row>
    <row r="8340">
      <c r="A8340" s="3">
        <v>4646.0</v>
      </c>
      <c r="B8340" s="4">
        <v>45416.92886574074</v>
      </c>
      <c r="C8340" s="3" t="s">
        <v>3</v>
      </c>
    </row>
    <row r="8341">
      <c r="A8341" s="3">
        <v>7577.0</v>
      </c>
      <c r="B8341" s="4">
        <v>45416.94295138889</v>
      </c>
      <c r="C8341" s="3" t="s">
        <v>3</v>
      </c>
    </row>
    <row r="8342">
      <c r="A8342" s="3">
        <v>268.0</v>
      </c>
      <c r="B8342" s="4">
        <v>45416.96282407407</v>
      </c>
      <c r="C8342" s="3" t="s">
        <v>3</v>
      </c>
    </row>
    <row r="8343">
      <c r="A8343" s="3">
        <v>3943.0</v>
      </c>
      <c r="B8343" s="4">
        <v>45416.96297453704</v>
      </c>
      <c r="C8343" s="3" t="s">
        <v>3</v>
      </c>
    </row>
    <row r="8344">
      <c r="A8344" s="3">
        <v>1873.0</v>
      </c>
      <c r="B8344" s="4">
        <v>45416.987916666665</v>
      </c>
      <c r="C8344" s="3" t="s">
        <v>5</v>
      </c>
    </row>
    <row r="8345">
      <c r="A8345" s="3">
        <v>1248.0</v>
      </c>
      <c r="B8345" s="4">
        <v>45416.99596064815</v>
      </c>
      <c r="C8345" s="3" t="s">
        <v>3</v>
      </c>
    </row>
    <row r="8346">
      <c r="A8346" s="3">
        <v>3943.0</v>
      </c>
      <c r="B8346" s="4">
        <v>45417.03575231481</v>
      </c>
      <c r="C8346" s="3" t="s">
        <v>4</v>
      </c>
    </row>
    <row r="8347">
      <c r="A8347" s="3">
        <v>1558.0</v>
      </c>
      <c r="B8347" s="4">
        <v>45417.04702546296</v>
      </c>
      <c r="C8347" s="3" t="s">
        <v>3</v>
      </c>
    </row>
    <row r="8348">
      <c r="A8348" s="3">
        <v>6687.0</v>
      </c>
      <c r="B8348" s="4">
        <v>45417.053032407406</v>
      </c>
      <c r="C8348" s="3" t="s">
        <v>3</v>
      </c>
    </row>
    <row r="8349">
      <c r="A8349" s="3">
        <v>6565.0</v>
      </c>
      <c r="B8349" s="4">
        <v>45417.05626157407</v>
      </c>
      <c r="C8349" s="3" t="s">
        <v>3</v>
      </c>
    </row>
    <row r="8350">
      <c r="A8350" s="3">
        <v>5851.0</v>
      </c>
      <c r="B8350" s="4">
        <v>45417.06355324074</v>
      </c>
      <c r="C8350" s="3" t="s">
        <v>6</v>
      </c>
    </row>
    <row r="8351">
      <c r="A8351" s="3">
        <v>7402.0</v>
      </c>
      <c r="B8351" s="4">
        <v>45417.06587962963</v>
      </c>
      <c r="C8351" s="3" t="s">
        <v>3</v>
      </c>
    </row>
    <row r="8352">
      <c r="A8352" s="3">
        <v>27.0</v>
      </c>
      <c r="B8352" s="4">
        <v>45417.0690625</v>
      </c>
      <c r="C8352" s="3" t="s">
        <v>4</v>
      </c>
    </row>
    <row r="8353">
      <c r="A8353" s="3">
        <v>1123.0</v>
      </c>
      <c r="B8353" s="4">
        <v>45417.072546296295</v>
      </c>
      <c r="C8353" s="3" t="s">
        <v>3</v>
      </c>
    </row>
    <row r="8354">
      <c r="A8354" s="3">
        <v>7702.0</v>
      </c>
      <c r="B8354" s="4">
        <v>45417.08986111111</v>
      </c>
      <c r="C8354" s="3" t="s">
        <v>7</v>
      </c>
    </row>
    <row r="8355">
      <c r="A8355" s="3">
        <v>27.0</v>
      </c>
      <c r="B8355" s="4">
        <v>45417.09</v>
      </c>
      <c r="C8355" s="3" t="s">
        <v>6</v>
      </c>
    </row>
    <row r="8356">
      <c r="A8356" s="3">
        <v>5760.0</v>
      </c>
      <c r="B8356" s="4">
        <v>45417.0965162037</v>
      </c>
      <c r="C8356" s="3" t="s">
        <v>3</v>
      </c>
    </row>
    <row r="8357">
      <c r="A8357" s="3">
        <v>4005.0</v>
      </c>
      <c r="B8357" s="4">
        <v>45417.112604166665</v>
      </c>
      <c r="C8357" s="3" t="s">
        <v>7</v>
      </c>
    </row>
    <row r="8358">
      <c r="A8358" s="3">
        <v>632.0</v>
      </c>
      <c r="B8358" s="4">
        <v>45417.15681712963</v>
      </c>
      <c r="C8358" s="3" t="s">
        <v>3</v>
      </c>
    </row>
    <row r="8359">
      <c r="A8359" s="3">
        <v>6818.0</v>
      </c>
      <c r="B8359" s="4">
        <v>45417.162314814814</v>
      </c>
      <c r="C8359" s="3" t="s">
        <v>3</v>
      </c>
    </row>
    <row r="8360">
      <c r="A8360" s="3">
        <v>3943.0</v>
      </c>
      <c r="B8360" s="4">
        <v>45417.164976851855</v>
      </c>
      <c r="C8360" s="3" t="s">
        <v>6</v>
      </c>
    </row>
    <row r="8361">
      <c r="A8361" s="3">
        <v>7329.0</v>
      </c>
      <c r="B8361" s="4">
        <v>45417.19996527778</v>
      </c>
      <c r="C8361" s="3" t="s">
        <v>4</v>
      </c>
    </row>
    <row r="8362">
      <c r="A8362" s="3">
        <v>1873.0</v>
      </c>
      <c r="B8362" s="4">
        <v>45417.20275462963</v>
      </c>
      <c r="C8362" s="3" t="s">
        <v>6</v>
      </c>
    </row>
    <row r="8363">
      <c r="A8363" s="3">
        <v>469.0</v>
      </c>
      <c r="B8363" s="4">
        <v>45417.20668981481</v>
      </c>
      <c r="C8363" s="3" t="s">
        <v>3</v>
      </c>
    </row>
    <row r="8364">
      <c r="A8364" s="3">
        <v>7444.0</v>
      </c>
      <c r="B8364" s="4">
        <v>45417.22273148148</v>
      </c>
      <c r="C8364" s="3" t="s">
        <v>3</v>
      </c>
    </row>
    <row r="8365">
      <c r="A8365" s="3">
        <v>6061.0</v>
      </c>
      <c r="B8365" s="4">
        <v>45417.26244212963</v>
      </c>
      <c r="C8365" s="3" t="s">
        <v>4</v>
      </c>
    </row>
    <row r="8366">
      <c r="A8366" s="3">
        <v>3174.0</v>
      </c>
      <c r="B8366" s="4">
        <v>45417.27371527778</v>
      </c>
      <c r="C8366" s="3" t="s">
        <v>3</v>
      </c>
    </row>
    <row r="8367">
      <c r="A8367" s="3">
        <v>3041.0</v>
      </c>
      <c r="B8367" s="4">
        <v>45417.284479166665</v>
      </c>
      <c r="C8367" s="3" t="s">
        <v>3</v>
      </c>
    </row>
    <row r="8368">
      <c r="A8368" s="3">
        <v>7768.0</v>
      </c>
      <c r="B8368" s="4">
        <v>45417.30737268519</v>
      </c>
      <c r="C8368" s="3" t="s">
        <v>6</v>
      </c>
    </row>
    <row r="8369">
      <c r="A8369" s="3">
        <v>6387.0</v>
      </c>
      <c r="B8369" s="4">
        <v>45417.31055555555</v>
      </c>
      <c r="C8369" s="3" t="s">
        <v>6</v>
      </c>
    </row>
    <row r="8370">
      <c r="A8370" s="3">
        <v>2657.0</v>
      </c>
      <c r="B8370" s="4">
        <v>45417.35824074074</v>
      </c>
      <c r="C8370" s="3" t="s">
        <v>5</v>
      </c>
    </row>
    <row r="8371">
      <c r="A8371" s="3">
        <v>1596.0</v>
      </c>
      <c r="B8371" s="4">
        <v>45417.37972222222</v>
      </c>
      <c r="C8371" s="3" t="s">
        <v>5</v>
      </c>
    </row>
    <row r="8372">
      <c r="A8372" s="3">
        <v>5005.0</v>
      </c>
      <c r="B8372" s="4">
        <v>45417.388657407406</v>
      </c>
      <c r="C8372" s="3" t="s">
        <v>6</v>
      </c>
    </row>
    <row r="8373">
      <c r="A8373" s="3">
        <v>6424.0</v>
      </c>
      <c r="B8373" s="4">
        <v>45417.392013888886</v>
      </c>
      <c r="C8373" s="3" t="s">
        <v>6</v>
      </c>
    </row>
    <row r="8374">
      <c r="A8374" s="3">
        <v>3613.0</v>
      </c>
      <c r="B8374" s="4">
        <v>45417.406539351854</v>
      </c>
      <c r="C8374" s="3" t="s">
        <v>4</v>
      </c>
    </row>
    <row r="8375">
      <c r="A8375" s="3">
        <v>7619.0</v>
      </c>
      <c r="B8375" s="4">
        <v>45417.43880787037</v>
      </c>
      <c r="C8375" s="3" t="s">
        <v>6</v>
      </c>
    </row>
    <row r="8376">
      <c r="A8376" s="3">
        <v>6359.0</v>
      </c>
      <c r="B8376" s="4">
        <v>45417.46822916667</v>
      </c>
      <c r="C8376" s="3" t="s">
        <v>3</v>
      </c>
    </row>
    <row r="8377">
      <c r="A8377" s="3">
        <v>4942.0</v>
      </c>
      <c r="B8377" s="4">
        <v>45417.47238425926</v>
      </c>
      <c r="C8377" s="3" t="s">
        <v>3</v>
      </c>
    </row>
    <row r="8378">
      <c r="A8378" s="3">
        <v>6424.0</v>
      </c>
      <c r="B8378" s="4">
        <v>45417.48956018518</v>
      </c>
      <c r="C8378" s="3" t="s">
        <v>7</v>
      </c>
    </row>
    <row r="8379">
      <c r="A8379" s="3">
        <v>7619.0</v>
      </c>
      <c r="B8379" s="4">
        <v>45417.49501157407</v>
      </c>
      <c r="C8379" s="3" t="s">
        <v>4</v>
      </c>
    </row>
    <row r="8380">
      <c r="A8380" s="3">
        <v>3193.0</v>
      </c>
      <c r="B8380" s="4">
        <v>45417.49898148148</v>
      </c>
      <c r="C8380" s="3" t="s">
        <v>3</v>
      </c>
    </row>
    <row r="8381">
      <c r="A8381" s="3">
        <v>6076.0</v>
      </c>
      <c r="B8381" s="4">
        <v>45417.51608796296</v>
      </c>
      <c r="C8381" s="3" t="s">
        <v>4</v>
      </c>
    </row>
    <row r="8382">
      <c r="A8382" s="3">
        <v>4646.0</v>
      </c>
      <c r="B8382" s="4">
        <v>45417.52875</v>
      </c>
      <c r="C8382" s="3" t="s">
        <v>6</v>
      </c>
    </row>
    <row r="8383">
      <c r="A8383" s="3">
        <v>7702.0</v>
      </c>
      <c r="B8383" s="4">
        <v>45417.549988425926</v>
      </c>
      <c r="C8383" s="3" t="s">
        <v>4</v>
      </c>
    </row>
    <row r="8384">
      <c r="A8384" s="3">
        <v>4713.0</v>
      </c>
      <c r="B8384" s="4">
        <v>45417.56880787037</v>
      </c>
      <c r="C8384" s="3" t="s">
        <v>3</v>
      </c>
    </row>
    <row r="8385">
      <c r="A8385" s="3">
        <v>1164.0</v>
      </c>
      <c r="B8385" s="4">
        <v>45417.579097222224</v>
      </c>
      <c r="C8385" s="3" t="s">
        <v>6</v>
      </c>
    </row>
    <row r="8386">
      <c r="A8386" s="3">
        <v>3448.0</v>
      </c>
      <c r="B8386" s="4">
        <v>45417.58611111111</v>
      </c>
      <c r="C8386" s="3" t="s">
        <v>3</v>
      </c>
    </row>
    <row r="8387">
      <c r="A8387" s="3">
        <v>2944.0</v>
      </c>
      <c r="B8387" s="4">
        <v>45417.587430555555</v>
      </c>
      <c r="C8387" s="3" t="s">
        <v>3</v>
      </c>
    </row>
    <row r="8388">
      <c r="A8388" s="3">
        <v>139.0</v>
      </c>
      <c r="B8388" s="4">
        <v>45417.594247685185</v>
      </c>
      <c r="C8388" s="3" t="s">
        <v>4</v>
      </c>
    </row>
    <row r="8389">
      <c r="A8389" s="3">
        <v>3613.0</v>
      </c>
      <c r="B8389" s="4">
        <v>45417.62818287037</v>
      </c>
      <c r="C8389" s="3" t="s">
        <v>3</v>
      </c>
    </row>
    <row r="8390">
      <c r="A8390" s="3">
        <v>2883.0</v>
      </c>
      <c r="B8390" s="4">
        <v>45417.63011574074</v>
      </c>
      <c r="C8390" s="3" t="s">
        <v>3</v>
      </c>
    </row>
    <row r="8391">
      <c r="A8391" s="3">
        <v>6804.0</v>
      </c>
      <c r="B8391" s="4">
        <v>45417.65168981482</v>
      </c>
      <c r="C8391" s="3" t="s">
        <v>4</v>
      </c>
    </row>
    <row r="8392">
      <c r="A8392" s="3">
        <v>6246.0</v>
      </c>
      <c r="B8392" s="4">
        <v>45417.66311342592</v>
      </c>
      <c r="C8392" s="3" t="s">
        <v>3</v>
      </c>
    </row>
    <row r="8393">
      <c r="A8393" s="3">
        <v>2535.0</v>
      </c>
      <c r="B8393" s="4">
        <v>45417.6847337963</v>
      </c>
      <c r="C8393" s="3" t="s">
        <v>6</v>
      </c>
    </row>
    <row r="8394">
      <c r="A8394" s="3">
        <v>544.0</v>
      </c>
      <c r="B8394" s="4">
        <v>45417.69944444444</v>
      </c>
      <c r="C8394" s="3" t="s">
        <v>3</v>
      </c>
    </row>
    <row r="8395">
      <c r="A8395" s="3">
        <v>4055.0</v>
      </c>
      <c r="B8395" s="4">
        <v>45417.70694444444</v>
      </c>
      <c r="C8395" s="3" t="s">
        <v>7</v>
      </c>
    </row>
    <row r="8396">
      <c r="A8396" s="3">
        <v>4005.0</v>
      </c>
      <c r="B8396" s="4">
        <v>45417.70829861111</v>
      </c>
      <c r="C8396" s="3" t="s">
        <v>6</v>
      </c>
    </row>
    <row r="8397">
      <c r="A8397" s="3">
        <v>3797.0</v>
      </c>
      <c r="B8397" s="4">
        <v>45417.71192129629</v>
      </c>
      <c r="C8397" s="3" t="s">
        <v>3</v>
      </c>
    </row>
    <row r="8398">
      <c r="A8398" s="3">
        <v>3448.0</v>
      </c>
      <c r="B8398" s="4">
        <v>45417.712060185186</v>
      </c>
      <c r="C8398" s="3" t="s">
        <v>4</v>
      </c>
    </row>
    <row r="8399">
      <c r="A8399" s="3">
        <v>1489.0</v>
      </c>
      <c r="B8399" s="4">
        <v>45417.73923611111</v>
      </c>
      <c r="C8399" s="3" t="s">
        <v>5</v>
      </c>
    </row>
    <row r="8400">
      <c r="A8400" s="3">
        <v>3272.0</v>
      </c>
      <c r="B8400" s="4">
        <v>45417.774189814816</v>
      </c>
      <c r="C8400" s="3" t="s">
        <v>3</v>
      </c>
    </row>
    <row r="8401">
      <c r="A8401" s="3">
        <v>1189.0</v>
      </c>
      <c r="B8401" s="4">
        <v>45417.78952546296</v>
      </c>
      <c r="C8401" s="3" t="s">
        <v>7</v>
      </c>
    </row>
    <row r="8402">
      <c r="A8402" s="3">
        <v>6387.0</v>
      </c>
      <c r="B8402" s="4">
        <v>45417.80299768518</v>
      </c>
      <c r="C8402" s="3" t="s">
        <v>7</v>
      </c>
    </row>
    <row r="8403">
      <c r="A8403" s="3">
        <v>1895.0</v>
      </c>
      <c r="B8403" s="4">
        <v>45417.81005787037</v>
      </c>
      <c r="C8403" s="3" t="s">
        <v>5</v>
      </c>
    </row>
    <row r="8404">
      <c r="A8404" s="3">
        <v>2119.0</v>
      </c>
      <c r="B8404" s="4">
        <v>45417.81538194444</v>
      </c>
      <c r="C8404" s="3" t="s">
        <v>7</v>
      </c>
    </row>
    <row r="8405">
      <c r="A8405" s="3">
        <v>7780.0</v>
      </c>
      <c r="B8405" s="4">
        <v>45417.82003472222</v>
      </c>
      <c r="C8405" s="3" t="s">
        <v>3</v>
      </c>
    </row>
    <row r="8406">
      <c r="A8406" s="3">
        <v>4055.0</v>
      </c>
      <c r="B8406" s="4">
        <v>45417.91748842593</v>
      </c>
      <c r="C8406" s="3" t="s">
        <v>4</v>
      </c>
    </row>
    <row r="8407">
      <c r="A8407" s="3">
        <v>7444.0</v>
      </c>
      <c r="B8407" s="4">
        <v>45417.92356481482</v>
      </c>
      <c r="C8407" s="3" t="s">
        <v>4</v>
      </c>
    </row>
    <row r="8408">
      <c r="A8408" s="3">
        <v>4687.0</v>
      </c>
      <c r="B8408" s="4">
        <v>45417.95277777778</v>
      </c>
      <c r="C8408" s="3" t="s">
        <v>4</v>
      </c>
    </row>
    <row r="8409">
      <c r="A8409" s="3">
        <v>6061.0</v>
      </c>
      <c r="B8409" s="4">
        <v>45417.959178240744</v>
      </c>
      <c r="C8409" s="3" t="s">
        <v>3</v>
      </c>
    </row>
    <row r="8410">
      <c r="A8410" s="3">
        <v>5964.0</v>
      </c>
      <c r="B8410" s="4">
        <v>45417.977268518516</v>
      </c>
      <c r="C8410" s="3" t="s">
        <v>4</v>
      </c>
    </row>
    <row r="8411">
      <c r="A8411" s="3">
        <v>5636.0</v>
      </c>
      <c r="B8411" s="4">
        <v>45417.98875</v>
      </c>
      <c r="C8411" s="3" t="s">
        <v>3</v>
      </c>
    </row>
    <row r="8412">
      <c r="A8412" s="3">
        <v>3704.0</v>
      </c>
      <c r="B8412" s="4">
        <v>45418.02783564815</v>
      </c>
      <c r="C8412" s="3" t="s">
        <v>4</v>
      </c>
    </row>
    <row r="8413">
      <c r="A8413" s="3">
        <v>5448.0</v>
      </c>
      <c r="B8413" s="4">
        <v>45418.07549768518</v>
      </c>
      <c r="C8413" s="3" t="s">
        <v>6</v>
      </c>
    </row>
    <row r="8414">
      <c r="A8414" s="3">
        <v>268.0</v>
      </c>
      <c r="B8414" s="4">
        <v>45418.075740740744</v>
      </c>
      <c r="C8414" s="3" t="s">
        <v>6</v>
      </c>
    </row>
    <row r="8415">
      <c r="A8415" s="3">
        <v>4711.0</v>
      </c>
      <c r="B8415" s="4">
        <v>45418.08679398148</v>
      </c>
      <c r="C8415" s="3" t="s">
        <v>6</v>
      </c>
    </row>
    <row r="8416">
      <c r="A8416" s="3">
        <v>3611.0</v>
      </c>
      <c r="B8416" s="4">
        <v>45418.12694444445</v>
      </c>
      <c r="C8416" s="3" t="s">
        <v>3</v>
      </c>
    </row>
    <row r="8417">
      <c r="A8417" s="3">
        <v>469.0</v>
      </c>
      <c r="B8417" s="4">
        <v>45418.14050925926</v>
      </c>
      <c r="C8417" s="3" t="s">
        <v>4</v>
      </c>
    </row>
    <row r="8418">
      <c r="A8418" s="3">
        <v>2624.0</v>
      </c>
      <c r="B8418" s="4">
        <v>45418.14792824074</v>
      </c>
      <c r="C8418" s="3" t="s">
        <v>3</v>
      </c>
    </row>
    <row r="8419">
      <c r="A8419" s="3">
        <v>5138.0</v>
      </c>
      <c r="B8419" s="4">
        <v>45418.15462962963</v>
      </c>
      <c r="C8419" s="3" t="s">
        <v>7</v>
      </c>
    </row>
    <row r="8420">
      <c r="A8420" s="3">
        <v>7444.0</v>
      </c>
      <c r="B8420" s="4">
        <v>45418.16480324074</v>
      </c>
      <c r="C8420" s="3" t="s">
        <v>7</v>
      </c>
    </row>
    <row r="8421">
      <c r="A8421" s="3">
        <v>4822.0</v>
      </c>
      <c r="B8421" s="4">
        <v>45418.16509259259</v>
      </c>
      <c r="C8421" s="3" t="s">
        <v>3</v>
      </c>
    </row>
    <row r="8422">
      <c r="A8422" s="3">
        <v>6102.0</v>
      </c>
      <c r="B8422" s="4">
        <v>45418.16962962963</v>
      </c>
      <c r="C8422" s="3" t="s">
        <v>4</v>
      </c>
    </row>
    <row r="8423">
      <c r="A8423" s="3">
        <v>5317.0</v>
      </c>
      <c r="B8423" s="4">
        <v>45418.172488425924</v>
      </c>
      <c r="C8423" s="3" t="s">
        <v>5</v>
      </c>
    </row>
    <row r="8424">
      <c r="A8424" s="3">
        <v>6090.0</v>
      </c>
      <c r="B8424" s="4">
        <v>45418.188472222224</v>
      </c>
      <c r="C8424" s="3" t="s">
        <v>3</v>
      </c>
    </row>
    <row r="8425">
      <c r="A8425" s="3">
        <v>1866.0</v>
      </c>
      <c r="B8425" s="4">
        <v>45418.19174768519</v>
      </c>
      <c r="C8425" s="3" t="s">
        <v>3</v>
      </c>
    </row>
    <row r="8426">
      <c r="A8426" s="3">
        <v>5188.0</v>
      </c>
      <c r="B8426" s="4">
        <v>45418.230625</v>
      </c>
      <c r="C8426" s="3" t="s">
        <v>4</v>
      </c>
    </row>
    <row r="8427">
      <c r="A8427" s="3">
        <v>6804.0</v>
      </c>
      <c r="B8427" s="4">
        <v>45418.23997685185</v>
      </c>
      <c r="C8427" s="3" t="s">
        <v>7</v>
      </c>
    </row>
    <row r="8428">
      <c r="A8428" s="3">
        <v>1216.0</v>
      </c>
      <c r="B8428" s="4">
        <v>45418.26086805556</v>
      </c>
      <c r="C8428" s="3" t="s">
        <v>4</v>
      </c>
    </row>
    <row r="8429">
      <c r="A8429" s="3">
        <v>6440.0</v>
      </c>
      <c r="B8429" s="4">
        <v>45418.26474537037</v>
      </c>
      <c r="C8429" s="3" t="s">
        <v>3</v>
      </c>
    </row>
    <row r="8430">
      <c r="A8430" s="3">
        <v>5930.0</v>
      </c>
      <c r="B8430" s="4">
        <v>45418.3068287037</v>
      </c>
      <c r="C8430" s="3" t="s">
        <v>6</v>
      </c>
    </row>
    <row r="8431">
      <c r="A8431" s="3">
        <v>3613.0</v>
      </c>
      <c r="B8431" s="4">
        <v>45418.332083333335</v>
      </c>
      <c r="C8431" s="3" t="s">
        <v>7</v>
      </c>
    </row>
    <row r="8432">
      <c r="A8432" s="3">
        <v>1887.0</v>
      </c>
      <c r="B8432" s="4">
        <v>45418.33387731481</v>
      </c>
      <c r="C8432" s="3" t="s">
        <v>6</v>
      </c>
    </row>
    <row r="8433">
      <c r="A8433" s="3">
        <v>27.0</v>
      </c>
      <c r="B8433" s="4">
        <v>45418.337430555555</v>
      </c>
      <c r="C8433" s="3" t="s">
        <v>7</v>
      </c>
    </row>
    <row r="8434">
      <c r="A8434" s="3">
        <v>2878.0</v>
      </c>
      <c r="B8434" s="4">
        <v>45418.33887731482</v>
      </c>
      <c r="C8434" s="3" t="s">
        <v>3</v>
      </c>
    </row>
    <row r="8435">
      <c r="A8435" s="3">
        <v>1489.0</v>
      </c>
      <c r="B8435" s="4">
        <v>45418.34259259259</v>
      </c>
      <c r="C8435" s="3" t="s">
        <v>4</v>
      </c>
    </row>
    <row r="8436">
      <c r="A8436" s="3">
        <v>2878.0</v>
      </c>
      <c r="B8436" s="4">
        <v>45418.36162037037</v>
      </c>
      <c r="C8436" s="3" t="s">
        <v>4</v>
      </c>
    </row>
    <row r="8437">
      <c r="A8437" s="3">
        <v>713.0</v>
      </c>
      <c r="B8437" s="4">
        <v>45418.362337962964</v>
      </c>
      <c r="C8437" s="3" t="s">
        <v>7</v>
      </c>
    </row>
    <row r="8438">
      <c r="A8438" s="3">
        <v>5152.0</v>
      </c>
      <c r="B8438" s="4">
        <v>45418.381261574075</v>
      </c>
      <c r="C8438" s="3" t="s">
        <v>3</v>
      </c>
    </row>
    <row r="8439">
      <c r="A8439" s="3">
        <v>3797.0</v>
      </c>
      <c r="B8439" s="4">
        <v>45418.42212962963</v>
      </c>
      <c r="C8439" s="3" t="s">
        <v>4</v>
      </c>
    </row>
    <row r="8440">
      <c r="A8440" s="3">
        <v>5978.0</v>
      </c>
      <c r="B8440" s="4">
        <v>45418.43268518519</v>
      </c>
      <c r="C8440" s="3" t="s">
        <v>3</v>
      </c>
    </row>
    <row r="8441">
      <c r="A8441" s="3">
        <v>5530.0</v>
      </c>
      <c r="B8441" s="4">
        <v>45418.45978009259</v>
      </c>
      <c r="C8441" s="3" t="s">
        <v>3</v>
      </c>
    </row>
    <row r="8442">
      <c r="A8442" s="3">
        <v>5636.0</v>
      </c>
      <c r="B8442" s="4">
        <v>45418.46555555556</v>
      </c>
      <c r="C8442" s="3" t="s">
        <v>4</v>
      </c>
    </row>
    <row r="8443">
      <c r="A8443" s="3">
        <v>4751.0</v>
      </c>
      <c r="B8443" s="4">
        <v>45418.47398148148</v>
      </c>
      <c r="C8443" s="3" t="s">
        <v>3</v>
      </c>
    </row>
    <row r="8444">
      <c r="A8444" s="3">
        <v>1913.0</v>
      </c>
      <c r="B8444" s="4">
        <v>45418.48119212963</v>
      </c>
      <c r="C8444" s="3" t="s">
        <v>6</v>
      </c>
    </row>
    <row r="8445">
      <c r="A8445" s="3">
        <v>3529.0</v>
      </c>
      <c r="B8445" s="4">
        <v>45418.51872685185</v>
      </c>
      <c r="C8445" s="3" t="s">
        <v>5</v>
      </c>
    </row>
    <row r="8446">
      <c r="A8446" s="3">
        <v>2657.0</v>
      </c>
      <c r="B8446" s="4">
        <v>45418.52153935185</v>
      </c>
      <c r="C8446" s="3" t="s">
        <v>6</v>
      </c>
    </row>
    <row r="8447">
      <c r="A8447" s="3">
        <v>1916.0</v>
      </c>
      <c r="B8447" s="4">
        <v>45418.536886574075</v>
      </c>
      <c r="C8447" s="3" t="s">
        <v>7</v>
      </c>
    </row>
    <row r="8448">
      <c r="A8448" s="3">
        <v>3704.0</v>
      </c>
      <c r="B8448" s="4">
        <v>45418.53755787037</v>
      </c>
      <c r="C8448" s="3" t="s">
        <v>3</v>
      </c>
    </row>
    <row r="8449">
      <c r="A8449" s="3">
        <v>5552.0</v>
      </c>
      <c r="B8449" s="4">
        <v>45418.549988425926</v>
      </c>
      <c r="C8449" s="3" t="s">
        <v>5</v>
      </c>
    </row>
    <row r="8450">
      <c r="A8450" s="3">
        <v>2319.0</v>
      </c>
      <c r="B8450" s="4">
        <v>45418.550983796296</v>
      </c>
      <c r="C8450" s="3" t="s">
        <v>4</v>
      </c>
    </row>
    <row r="8451">
      <c r="A8451" s="3">
        <v>4790.0</v>
      </c>
      <c r="B8451" s="4">
        <v>45418.613217592596</v>
      </c>
      <c r="C8451" s="3" t="s">
        <v>3</v>
      </c>
    </row>
    <row r="8452">
      <c r="A8452" s="3">
        <v>6014.0</v>
      </c>
      <c r="B8452" s="4">
        <v>45418.65363425926</v>
      </c>
      <c r="C8452" s="3" t="s">
        <v>4</v>
      </c>
    </row>
    <row r="8453">
      <c r="A8453" s="3">
        <v>1123.0</v>
      </c>
      <c r="B8453" s="4">
        <v>45418.66993055555</v>
      </c>
      <c r="C8453" s="3" t="s">
        <v>4</v>
      </c>
    </row>
    <row r="8454">
      <c r="A8454" s="3">
        <v>4646.0</v>
      </c>
      <c r="B8454" s="4">
        <v>45418.711550925924</v>
      </c>
      <c r="C8454" s="3" t="s">
        <v>4</v>
      </c>
    </row>
    <row r="8455">
      <c r="A8455" s="3">
        <v>3501.0</v>
      </c>
      <c r="B8455" s="4">
        <v>45418.731574074074</v>
      </c>
      <c r="C8455" s="3" t="s">
        <v>3</v>
      </c>
    </row>
    <row r="8456">
      <c r="A8456" s="3">
        <v>4845.0</v>
      </c>
      <c r="B8456" s="4">
        <v>45418.75863425926</v>
      </c>
      <c r="C8456" s="3" t="s">
        <v>3</v>
      </c>
    </row>
    <row r="8457">
      <c r="A8457" s="3">
        <v>6761.0</v>
      </c>
      <c r="B8457" s="4">
        <v>45418.7709375</v>
      </c>
      <c r="C8457" s="3" t="s">
        <v>3</v>
      </c>
    </row>
    <row r="8458">
      <c r="A8458" s="3">
        <v>374.0</v>
      </c>
      <c r="B8458" s="4">
        <v>45418.79430555556</v>
      </c>
      <c r="C8458" s="3" t="s">
        <v>3</v>
      </c>
    </row>
    <row r="8459">
      <c r="A8459" s="3">
        <v>1558.0</v>
      </c>
      <c r="B8459" s="4">
        <v>45418.80142361111</v>
      </c>
      <c r="C8459" s="3" t="s">
        <v>4</v>
      </c>
    </row>
    <row r="8460">
      <c r="A8460" s="3">
        <v>2108.0</v>
      </c>
      <c r="B8460" s="4">
        <v>45418.81859953704</v>
      </c>
      <c r="C8460" s="3" t="s">
        <v>4</v>
      </c>
    </row>
    <row r="8461">
      <c r="A8461" s="3">
        <v>5138.0</v>
      </c>
      <c r="B8461" s="4">
        <v>45418.8341087963</v>
      </c>
      <c r="C8461" s="3" t="s">
        <v>5</v>
      </c>
    </row>
    <row r="8462">
      <c r="A8462" s="3">
        <v>6965.0</v>
      </c>
      <c r="B8462" s="4">
        <v>45418.8353587963</v>
      </c>
      <c r="C8462" s="3" t="s">
        <v>3</v>
      </c>
    </row>
    <row r="8463">
      <c r="A8463" s="3">
        <v>1515.0</v>
      </c>
      <c r="B8463" s="4">
        <v>45418.836875</v>
      </c>
      <c r="C8463" s="3" t="s">
        <v>7</v>
      </c>
    </row>
    <row r="8464">
      <c r="A8464" s="3">
        <v>3792.0</v>
      </c>
      <c r="B8464" s="4">
        <v>45418.8453125</v>
      </c>
      <c r="C8464" s="3" t="s">
        <v>3</v>
      </c>
    </row>
    <row r="8465">
      <c r="A8465" s="3">
        <v>6014.0</v>
      </c>
      <c r="B8465" s="4">
        <v>45418.845601851855</v>
      </c>
      <c r="C8465" s="3" t="s">
        <v>3</v>
      </c>
    </row>
    <row r="8466">
      <c r="A8466" s="3">
        <v>2319.0</v>
      </c>
      <c r="B8466" s="4">
        <v>45418.850277777776</v>
      </c>
      <c r="C8466" s="3" t="s">
        <v>3</v>
      </c>
    </row>
    <row r="8467">
      <c r="A8467" s="3">
        <v>347.0</v>
      </c>
      <c r="B8467" s="4">
        <v>45418.850324074076</v>
      </c>
      <c r="C8467" s="3" t="s">
        <v>6</v>
      </c>
    </row>
    <row r="8468">
      <c r="A8468" s="3">
        <v>1025.0</v>
      </c>
      <c r="B8468" s="4">
        <v>45418.85653935185</v>
      </c>
      <c r="C8468" s="3" t="s">
        <v>3</v>
      </c>
    </row>
    <row r="8469">
      <c r="A8469" s="3">
        <v>1216.0</v>
      </c>
      <c r="B8469" s="4">
        <v>45418.86130787037</v>
      </c>
      <c r="C8469" s="3" t="s">
        <v>3</v>
      </c>
    </row>
    <row r="8470">
      <c r="A8470" s="3">
        <v>2108.0</v>
      </c>
      <c r="B8470" s="4">
        <v>45418.87832175926</v>
      </c>
      <c r="C8470" s="3" t="s">
        <v>3</v>
      </c>
    </row>
    <row r="8471">
      <c r="A8471" s="3">
        <v>763.0</v>
      </c>
      <c r="B8471" s="4">
        <v>45418.87946759259</v>
      </c>
      <c r="C8471" s="3" t="s">
        <v>3</v>
      </c>
    </row>
    <row r="8472">
      <c r="A8472" s="3">
        <v>2715.0</v>
      </c>
      <c r="B8472" s="4">
        <v>45418.89981481482</v>
      </c>
      <c r="C8472" s="3" t="s">
        <v>3</v>
      </c>
    </row>
    <row r="8473">
      <c r="A8473" s="3">
        <v>6359.0</v>
      </c>
      <c r="B8473" s="4">
        <v>45418.906747685185</v>
      </c>
      <c r="C8473" s="3" t="s">
        <v>4</v>
      </c>
    </row>
    <row r="8474">
      <c r="A8474" s="3">
        <v>6761.0</v>
      </c>
      <c r="B8474" s="4">
        <v>45418.9125462963</v>
      </c>
      <c r="C8474" s="3" t="s">
        <v>4</v>
      </c>
    </row>
    <row r="8475">
      <c r="A8475" s="3">
        <v>544.0</v>
      </c>
      <c r="B8475" s="4">
        <v>45418.938159722224</v>
      </c>
      <c r="C8475" s="3" t="s">
        <v>4</v>
      </c>
    </row>
    <row r="8476">
      <c r="A8476" s="3">
        <v>5317.0</v>
      </c>
      <c r="B8476" s="4">
        <v>45418.93875</v>
      </c>
      <c r="C8476" s="3" t="s">
        <v>6</v>
      </c>
    </row>
    <row r="8477">
      <c r="A8477" s="3">
        <v>6246.0</v>
      </c>
      <c r="B8477" s="4">
        <v>45418.969988425924</v>
      </c>
      <c r="C8477" s="3" t="s">
        <v>4</v>
      </c>
    </row>
    <row r="8478">
      <c r="A8478" s="3">
        <v>6246.0</v>
      </c>
      <c r="B8478" s="4">
        <v>45418.973703703705</v>
      </c>
      <c r="C8478" s="3" t="s">
        <v>6</v>
      </c>
    </row>
    <row r="8479">
      <c r="A8479" s="3">
        <v>2482.0</v>
      </c>
      <c r="B8479" s="4">
        <v>45418.98394675926</v>
      </c>
      <c r="C8479" s="3" t="s">
        <v>3</v>
      </c>
    </row>
    <row r="8480">
      <c r="A8480" s="3">
        <v>4288.0</v>
      </c>
      <c r="B8480" s="4">
        <v>45418.9972337963</v>
      </c>
      <c r="C8480" s="3" t="s">
        <v>3</v>
      </c>
    </row>
    <row r="8481">
      <c r="A8481" s="3">
        <v>2561.0</v>
      </c>
      <c r="B8481" s="4">
        <v>45419.01961805556</v>
      </c>
      <c r="C8481" s="3" t="s">
        <v>3</v>
      </c>
    </row>
    <row r="8482">
      <c r="A8482" s="3">
        <v>3602.0</v>
      </c>
      <c r="B8482" s="4">
        <v>45419.02071759259</v>
      </c>
      <c r="C8482" s="3" t="s">
        <v>3</v>
      </c>
    </row>
    <row r="8483">
      <c r="A8483" s="3">
        <v>6947.0</v>
      </c>
      <c r="B8483" s="4">
        <v>45419.02615740741</v>
      </c>
      <c r="C8483" s="3" t="s">
        <v>3</v>
      </c>
    </row>
    <row r="8484">
      <c r="A8484" s="3">
        <v>3613.0</v>
      </c>
      <c r="B8484" s="4">
        <v>45419.03670138889</v>
      </c>
      <c r="C8484" s="3" t="s">
        <v>5</v>
      </c>
    </row>
    <row r="8485">
      <c r="A8485" s="3">
        <v>7780.0</v>
      </c>
      <c r="B8485" s="4">
        <v>45419.063043981485</v>
      </c>
      <c r="C8485" s="3" t="s">
        <v>5</v>
      </c>
    </row>
    <row r="8486">
      <c r="A8486" s="3">
        <v>5267.0</v>
      </c>
      <c r="B8486" s="4">
        <v>45419.08319444444</v>
      </c>
      <c r="C8486" s="3" t="s">
        <v>4</v>
      </c>
    </row>
    <row r="8487">
      <c r="A8487" s="3">
        <v>1376.0</v>
      </c>
      <c r="B8487" s="4">
        <v>45419.08368055556</v>
      </c>
      <c r="C8487" s="3" t="s">
        <v>3</v>
      </c>
    </row>
    <row r="8488">
      <c r="A8488" s="3">
        <v>2542.0</v>
      </c>
      <c r="B8488" s="4">
        <v>45419.08662037037</v>
      </c>
      <c r="C8488" s="3" t="s">
        <v>3</v>
      </c>
    </row>
    <row r="8489">
      <c r="A8489" s="3">
        <v>5081.0</v>
      </c>
      <c r="B8489" s="4">
        <v>45419.115625</v>
      </c>
      <c r="C8489" s="3" t="s">
        <v>6</v>
      </c>
    </row>
    <row r="8490">
      <c r="A8490" s="3">
        <v>6692.0</v>
      </c>
      <c r="B8490" s="4">
        <v>45419.13099537037</v>
      </c>
      <c r="C8490" s="3" t="s">
        <v>6</v>
      </c>
    </row>
    <row r="8491">
      <c r="A8491" s="3">
        <v>806.0</v>
      </c>
      <c r="B8491" s="4">
        <v>45419.13957175926</v>
      </c>
      <c r="C8491" s="3" t="s">
        <v>3</v>
      </c>
    </row>
    <row r="8492">
      <c r="A8492" s="3">
        <v>2753.0</v>
      </c>
      <c r="B8492" s="4">
        <v>45419.15283564815</v>
      </c>
      <c r="C8492" s="3" t="s">
        <v>3</v>
      </c>
    </row>
    <row r="8493">
      <c r="A8493" s="3">
        <v>1216.0</v>
      </c>
      <c r="B8493" s="4">
        <v>45419.17393518519</v>
      </c>
      <c r="C8493" s="3" t="s">
        <v>5</v>
      </c>
    </row>
    <row r="8494">
      <c r="A8494" s="3">
        <v>3321.0</v>
      </c>
      <c r="B8494" s="4">
        <v>45419.187268518515</v>
      </c>
      <c r="C8494" s="3" t="s">
        <v>3</v>
      </c>
    </row>
    <row r="8495">
      <c r="A8495" s="3">
        <v>2944.0</v>
      </c>
      <c r="B8495" s="4">
        <v>45419.196967592594</v>
      </c>
      <c r="C8495" s="3" t="s">
        <v>4</v>
      </c>
    </row>
    <row r="8496">
      <c r="A8496" s="3">
        <v>3572.0</v>
      </c>
      <c r="B8496" s="4">
        <v>45419.220509259256</v>
      </c>
      <c r="C8496" s="3" t="s">
        <v>3</v>
      </c>
    </row>
    <row r="8497">
      <c r="A8497" s="3">
        <v>7753.0</v>
      </c>
      <c r="B8497" s="4">
        <v>45419.222291666665</v>
      </c>
      <c r="C8497" s="3" t="s">
        <v>3</v>
      </c>
    </row>
    <row r="8498">
      <c r="A8498" s="3">
        <v>655.0</v>
      </c>
      <c r="B8498" s="4">
        <v>45419.22758101852</v>
      </c>
      <c r="C8498" s="3" t="s">
        <v>3</v>
      </c>
    </row>
    <row r="8499">
      <c r="A8499" s="3">
        <v>970.0</v>
      </c>
      <c r="B8499" s="4">
        <v>45419.24690972222</v>
      </c>
      <c r="C8499" s="3" t="s">
        <v>3</v>
      </c>
    </row>
    <row r="8500">
      <c r="A8500" s="3">
        <v>2013.0</v>
      </c>
      <c r="B8500" s="4">
        <v>45419.24707175926</v>
      </c>
      <c r="C8500" s="3" t="s">
        <v>3</v>
      </c>
    </row>
    <row r="8501">
      <c r="A8501" s="3">
        <v>3363.0</v>
      </c>
      <c r="B8501" s="4">
        <v>45419.259664351855</v>
      </c>
      <c r="C8501" s="3" t="s">
        <v>7</v>
      </c>
    </row>
    <row r="8502">
      <c r="A8502" s="3">
        <v>7391.0</v>
      </c>
      <c r="B8502" s="4">
        <v>45419.26428240741</v>
      </c>
      <c r="C8502" s="3" t="s">
        <v>3</v>
      </c>
    </row>
    <row r="8503">
      <c r="A8503" s="3">
        <v>4055.0</v>
      </c>
      <c r="B8503" s="4">
        <v>45419.2665162037</v>
      </c>
      <c r="C8503" s="3" t="s">
        <v>5</v>
      </c>
    </row>
    <row r="8504">
      <c r="A8504" s="3">
        <v>2482.0</v>
      </c>
      <c r="B8504" s="4">
        <v>45419.304756944446</v>
      </c>
      <c r="C8504" s="3" t="s">
        <v>5</v>
      </c>
    </row>
    <row r="8505">
      <c r="A8505" s="3">
        <v>27.0</v>
      </c>
      <c r="B8505" s="4">
        <v>45419.33243055556</v>
      </c>
      <c r="C8505" s="3" t="s">
        <v>5</v>
      </c>
    </row>
    <row r="8506">
      <c r="A8506" s="3">
        <v>6883.0</v>
      </c>
      <c r="B8506" s="4">
        <v>45419.33603009259</v>
      </c>
      <c r="C8506" s="3" t="s">
        <v>3</v>
      </c>
    </row>
    <row r="8507">
      <c r="A8507" s="3">
        <v>6196.0</v>
      </c>
      <c r="B8507" s="4">
        <v>45419.336168981485</v>
      </c>
      <c r="C8507" s="3" t="s">
        <v>3</v>
      </c>
    </row>
    <row r="8508">
      <c r="A8508" s="3">
        <v>1438.0</v>
      </c>
      <c r="B8508" s="4">
        <v>45419.35402777778</v>
      </c>
      <c r="C8508" s="3" t="s">
        <v>3</v>
      </c>
    </row>
    <row r="8509">
      <c r="A8509" s="3">
        <v>5061.0</v>
      </c>
      <c r="B8509" s="4">
        <v>45419.36402777778</v>
      </c>
      <c r="C8509" s="3" t="s">
        <v>6</v>
      </c>
    </row>
    <row r="8510">
      <c r="A8510" s="3">
        <v>4942.0</v>
      </c>
      <c r="B8510" s="4">
        <v>45419.385787037034</v>
      </c>
      <c r="C8510" s="3" t="s">
        <v>4</v>
      </c>
    </row>
    <row r="8511">
      <c r="A8511" s="3">
        <v>5319.0</v>
      </c>
      <c r="B8511" s="4">
        <v>45419.391168981485</v>
      </c>
      <c r="C8511" s="3" t="s">
        <v>5</v>
      </c>
    </row>
    <row r="8512">
      <c r="A8512" s="3">
        <v>3458.0</v>
      </c>
      <c r="B8512" s="4">
        <v>45419.39884259259</v>
      </c>
      <c r="C8512" s="3" t="s">
        <v>3</v>
      </c>
    </row>
    <row r="8513">
      <c r="A8513" s="3">
        <v>2511.0</v>
      </c>
      <c r="B8513" s="4">
        <v>45419.406435185185</v>
      </c>
      <c r="C8513" s="3" t="s">
        <v>3</v>
      </c>
    </row>
    <row r="8514">
      <c r="A8514" s="3">
        <v>6337.0</v>
      </c>
      <c r="B8514" s="4">
        <v>45419.43760416667</v>
      </c>
      <c r="C8514" s="3" t="s">
        <v>3</v>
      </c>
    </row>
    <row r="8515">
      <c r="A8515" s="3">
        <v>6947.0</v>
      </c>
      <c r="B8515" s="4">
        <v>45419.444652777776</v>
      </c>
      <c r="C8515" s="3" t="s">
        <v>5</v>
      </c>
    </row>
    <row r="8516">
      <c r="A8516" s="3">
        <v>5887.0</v>
      </c>
      <c r="B8516" s="4">
        <v>45419.45230324074</v>
      </c>
      <c r="C8516" s="3" t="s">
        <v>3</v>
      </c>
    </row>
    <row r="8517">
      <c r="A8517" s="3">
        <v>5437.0</v>
      </c>
      <c r="B8517" s="4">
        <v>45419.45935185185</v>
      </c>
      <c r="C8517" s="3" t="s">
        <v>6</v>
      </c>
    </row>
    <row r="8518">
      <c r="A8518" s="3">
        <v>2624.0</v>
      </c>
      <c r="B8518" s="4">
        <v>45419.47814814815</v>
      </c>
      <c r="C8518" s="3" t="s">
        <v>5</v>
      </c>
    </row>
    <row r="8519">
      <c r="A8519" s="3">
        <v>1503.0</v>
      </c>
      <c r="B8519" s="4">
        <v>45419.47865740741</v>
      </c>
      <c r="C8519" s="3" t="s">
        <v>3</v>
      </c>
    </row>
    <row r="8520">
      <c r="A8520" s="3">
        <v>6246.0</v>
      </c>
      <c r="B8520" s="4">
        <v>45419.48962962963</v>
      </c>
      <c r="C8520" s="3" t="s">
        <v>5</v>
      </c>
    </row>
    <row r="8521">
      <c r="A8521" s="3">
        <v>2512.0</v>
      </c>
      <c r="B8521" s="4">
        <v>45419.496770833335</v>
      </c>
      <c r="C8521" s="3" t="s">
        <v>3</v>
      </c>
    </row>
    <row r="8522">
      <c r="A8522" s="3">
        <v>4845.0</v>
      </c>
      <c r="B8522" s="4">
        <v>45419.508472222224</v>
      </c>
      <c r="C8522" s="3" t="s">
        <v>4</v>
      </c>
    </row>
    <row r="8523">
      <c r="A8523" s="3">
        <v>2482.0</v>
      </c>
      <c r="B8523" s="4">
        <v>45419.5525</v>
      </c>
      <c r="C8523" s="3" t="s">
        <v>4</v>
      </c>
    </row>
    <row r="8524">
      <c r="A8524" s="3">
        <v>4429.0</v>
      </c>
      <c r="B8524" s="4">
        <v>45419.556342592594</v>
      </c>
      <c r="C8524" s="3" t="s">
        <v>6</v>
      </c>
    </row>
    <row r="8525">
      <c r="A8525" s="3">
        <v>6565.0</v>
      </c>
      <c r="B8525" s="4">
        <v>45419.5634375</v>
      </c>
      <c r="C8525" s="3" t="s">
        <v>4</v>
      </c>
    </row>
    <row r="8526">
      <c r="A8526" s="3">
        <v>1164.0</v>
      </c>
      <c r="B8526" s="4">
        <v>45419.57513888889</v>
      </c>
      <c r="C8526" s="3" t="s">
        <v>5</v>
      </c>
    </row>
    <row r="8527">
      <c r="A8527" s="3">
        <v>6679.0</v>
      </c>
      <c r="B8527" s="4">
        <v>45419.60424768519</v>
      </c>
      <c r="C8527" s="3" t="s">
        <v>7</v>
      </c>
    </row>
    <row r="8528">
      <c r="A8528" s="3">
        <v>4646.0</v>
      </c>
      <c r="B8528" s="4">
        <v>45419.612337962964</v>
      </c>
      <c r="C8528" s="3" t="s">
        <v>7</v>
      </c>
    </row>
    <row r="8529">
      <c r="A8529" s="3">
        <v>3841.0</v>
      </c>
      <c r="B8529" s="4">
        <v>45419.62056712963</v>
      </c>
      <c r="C8529" s="3" t="s">
        <v>3</v>
      </c>
    </row>
    <row r="8530">
      <c r="A8530" s="3">
        <v>7702.0</v>
      </c>
      <c r="B8530" s="4">
        <v>45419.62099537037</v>
      </c>
      <c r="C8530" s="3" t="s">
        <v>5</v>
      </c>
    </row>
    <row r="8531">
      <c r="A8531" s="3">
        <v>5391.0</v>
      </c>
      <c r="B8531" s="4">
        <v>45419.6559837963</v>
      </c>
      <c r="C8531" s="3" t="s">
        <v>3</v>
      </c>
    </row>
    <row r="8532">
      <c r="A8532" s="3">
        <v>5837.0</v>
      </c>
      <c r="B8532" s="4">
        <v>45419.66972222222</v>
      </c>
      <c r="C8532" s="3" t="s">
        <v>6</v>
      </c>
    </row>
    <row r="8533">
      <c r="A8533" s="3">
        <v>4635.0</v>
      </c>
      <c r="B8533" s="4">
        <v>45419.71313657407</v>
      </c>
      <c r="C8533" s="3" t="s">
        <v>3</v>
      </c>
    </row>
    <row r="8534">
      <c r="A8534" s="3">
        <v>5319.0</v>
      </c>
      <c r="B8534" s="4">
        <v>45419.71734953704</v>
      </c>
      <c r="C8534" s="3" t="s">
        <v>3</v>
      </c>
    </row>
    <row r="8535">
      <c r="A8535" s="3">
        <v>2883.0</v>
      </c>
      <c r="B8535" s="4">
        <v>45419.72170138889</v>
      </c>
      <c r="C8535" s="3" t="s">
        <v>5</v>
      </c>
    </row>
    <row r="8536">
      <c r="A8536" s="3">
        <v>4322.0</v>
      </c>
      <c r="B8536" s="4">
        <v>45419.7328587963</v>
      </c>
      <c r="C8536" s="3" t="s">
        <v>3</v>
      </c>
    </row>
    <row r="8537">
      <c r="A8537" s="3">
        <v>4038.0</v>
      </c>
      <c r="B8537" s="4">
        <v>45419.73997685185</v>
      </c>
      <c r="C8537" s="3" t="s">
        <v>3</v>
      </c>
    </row>
    <row r="8538">
      <c r="A8538" s="3">
        <v>4454.0</v>
      </c>
      <c r="B8538" s="4">
        <v>45419.7547337963</v>
      </c>
      <c r="C8538" s="3" t="s">
        <v>3</v>
      </c>
    </row>
    <row r="8539">
      <c r="A8539" s="3">
        <v>3993.0</v>
      </c>
      <c r="B8539" s="4">
        <v>45419.79550925926</v>
      </c>
      <c r="C8539" s="3" t="s">
        <v>3</v>
      </c>
    </row>
    <row r="8540">
      <c r="A8540" s="3">
        <v>5923.0</v>
      </c>
      <c r="B8540" s="4">
        <v>45419.811064814814</v>
      </c>
      <c r="C8540" s="3" t="s">
        <v>3</v>
      </c>
    </row>
    <row r="8541">
      <c r="A8541" s="3">
        <v>7619.0</v>
      </c>
      <c r="B8541" s="4">
        <v>45419.81275462963</v>
      </c>
      <c r="C8541" s="3" t="s">
        <v>5</v>
      </c>
    </row>
    <row r="8542">
      <c r="A8542" s="3">
        <v>4111.0</v>
      </c>
      <c r="B8542" s="4">
        <v>45419.82215277778</v>
      </c>
      <c r="C8542" s="3" t="s">
        <v>6</v>
      </c>
    </row>
    <row r="8543">
      <c r="A8543" s="3">
        <v>3701.0</v>
      </c>
      <c r="B8543" s="4">
        <v>45419.84673611111</v>
      </c>
      <c r="C8543" s="3" t="s">
        <v>3</v>
      </c>
    </row>
    <row r="8544">
      <c r="A8544" s="3">
        <v>1833.0</v>
      </c>
      <c r="B8544" s="4">
        <v>45419.857465277775</v>
      </c>
      <c r="C8544" s="3" t="s">
        <v>3</v>
      </c>
    </row>
    <row r="8545">
      <c r="A8545" s="3">
        <v>3086.0</v>
      </c>
      <c r="B8545" s="4">
        <v>45419.88686342593</v>
      </c>
      <c r="C8545" s="3" t="s">
        <v>3</v>
      </c>
    </row>
    <row r="8546">
      <c r="A8546" s="3">
        <v>5188.0</v>
      </c>
      <c r="B8546" s="4">
        <v>45419.888344907406</v>
      </c>
      <c r="C8546" s="3" t="s">
        <v>6</v>
      </c>
    </row>
    <row r="8547">
      <c r="A8547" s="3">
        <v>3856.0</v>
      </c>
      <c r="B8547" s="4">
        <v>45419.88958333333</v>
      </c>
      <c r="C8547" s="3" t="s">
        <v>6</v>
      </c>
    </row>
    <row r="8548">
      <c r="A8548" s="3">
        <v>4196.0</v>
      </c>
      <c r="B8548" s="4">
        <v>45419.906319444446</v>
      </c>
      <c r="C8548" s="3" t="s">
        <v>4</v>
      </c>
    </row>
    <row r="8549">
      <c r="A8549" s="3">
        <v>3344.0</v>
      </c>
      <c r="B8549" s="4">
        <v>45419.92084490741</v>
      </c>
      <c r="C8549" s="3" t="s">
        <v>3</v>
      </c>
    </row>
    <row r="8550">
      <c r="A8550" s="3">
        <v>5267.0</v>
      </c>
      <c r="B8550" s="4">
        <v>45419.93717592592</v>
      </c>
      <c r="C8550" s="3" t="s">
        <v>3</v>
      </c>
    </row>
    <row r="8551">
      <c r="A8551" s="3">
        <v>683.0</v>
      </c>
      <c r="B8551" s="4">
        <v>45419.944548611114</v>
      </c>
      <c r="C8551" s="3" t="s">
        <v>3</v>
      </c>
    </row>
    <row r="8552">
      <c r="A8552" s="3">
        <v>3964.0</v>
      </c>
      <c r="B8552" s="4">
        <v>45419.973541666666</v>
      </c>
      <c r="C8552" s="3" t="s">
        <v>3</v>
      </c>
    </row>
    <row r="8553">
      <c r="A8553" s="3">
        <v>7908.0</v>
      </c>
      <c r="B8553" s="4">
        <v>45419.98222222222</v>
      </c>
      <c r="C8553" s="3" t="s">
        <v>3</v>
      </c>
    </row>
    <row r="8554">
      <c r="A8554" s="3">
        <v>4196.0</v>
      </c>
      <c r="B8554" s="4">
        <v>45419.99344907407</v>
      </c>
      <c r="C8554" s="3" t="s">
        <v>3</v>
      </c>
    </row>
    <row r="8555">
      <c r="A8555" s="3">
        <v>5923.0</v>
      </c>
      <c r="B8555" s="4">
        <v>45420.00550925926</v>
      </c>
      <c r="C8555" s="3" t="s">
        <v>5</v>
      </c>
    </row>
    <row r="8556">
      <c r="A8556" s="3">
        <v>3572.0</v>
      </c>
      <c r="B8556" s="4">
        <v>45420.011967592596</v>
      </c>
      <c r="C8556" s="3" t="s">
        <v>7</v>
      </c>
    </row>
    <row r="8557">
      <c r="A8557" s="3">
        <v>6823.0</v>
      </c>
      <c r="B8557" s="4">
        <v>45420.09259259259</v>
      </c>
      <c r="C8557" s="3" t="s">
        <v>3</v>
      </c>
    </row>
    <row r="8558">
      <c r="A8558" s="3">
        <v>5138.0</v>
      </c>
      <c r="B8558" s="4">
        <v>45420.11252314815</v>
      </c>
      <c r="C8558" s="3" t="s">
        <v>6</v>
      </c>
    </row>
    <row r="8559">
      <c r="A8559" s="3">
        <v>6947.0</v>
      </c>
      <c r="B8559" s="4">
        <v>45420.139189814814</v>
      </c>
      <c r="C8559" s="3" t="s">
        <v>4</v>
      </c>
    </row>
    <row r="8560">
      <c r="A8560" s="3">
        <v>2680.0</v>
      </c>
      <c r="B8560" s="4">
        <v>45420.14574074074</v>
      </c>
      <c r="C8560" s="3" t="s">
        <v>3</v>
      </c>
    </row>
    <row r="8561">
      <c r="A8561" s="3">
        <v>6624.0</v>
      </c>
      <c r="B8561" s="4">
        <v>45420.15275462963</v>
      </c>
      <c r="C8561" s="3" t="s">
        <v>3</v>
      </c>
    </row>
    <row r="8562">
      <c r="A8562" s="3">
        <v>3358.0</v>
      </c>
      <c r="B8562" s="4">
        <v>45420.16302083333</v>
      </c>
      <c r="C8562" s="3" t="s">
        <v>3</v>
      </c>
    </row>
    <row r="8563">
      <c r="A8563" s="3">
        <v>3344.0</v>
      </c>
      <c r="B8563" s="4">
        <v>45420.17659722222</v>
      </c>
      <c r="C8563" s="3" t="s">
        <v>4</v>
      </c>
    </row>
    <row r="8564">
      <c r="A8564" s="3">
        <v>782.0</v>
      </c>
      <c r="B8564" s="4">
        <v>45420.19364583334</v>
      </c>
      <c r="C8564" s="3" t="s">
        <v>3</v>
      </c>
    </row>
    <row r="8565">
      <c r="A8565" s="3">
        <v>2944.0</v>
      </c>
      <c r="B8565" s="4">
        <v>45420.195081018515</v>
      </c>
      <c r="C8565" s="3" t="s">
        <v>6</v>
      </c>
    </row>
    <row r="8566">
      <c r="A8566" s="3">
        <v>1510.0</v>
      </c>
      <c r="B8566" s="4">
        <v>45420.202731481484</v>
      </c>
      <c r="C8566" s="3" t="s">
        <v>6</v>
      </c>
    </row>
    <row r="8567">
      <c r="A8567" s="3">
        <v>469.0</v>
      </c>
      <c r="B8567" s="4">
        <v>45420.21612268518</v>
      </c>
      <c r="C8567" s="3" t="s">
        <v>6</v>
      </c>
    </row>
    <row r="8568">
      <c r="A8568" s="3">
        <v>544.0</v>
      </c>
      <c r="B8568" s="4">
        <v>45420.217986111114</v>
      </c>
      <c r="C8568" s="3" t="s">
        <v>6</v>
      </c>
    </row>
    <row r="8569">
      <c r="A8569" s="3">
        <v>4336.0</v>
      </c>
      <c r="B8569" s="4">
        <v>45420.245844907404</v>
      </c>
      <c r="C8569" s="3" t="s">
        <v>3</v>
      </c>
    </row>
    <row r="8570">
      <c r="A8570" s="3">
        <v>6440.0</v>
      </c>
      <c r="B8570" s="4">
        <v>45420.26043981482</v>
      </c>
      <c r="C8570" s="3" t="s">
        <v>4</v>
      </c>
    </row>
    <row r="8571">
      <c r="A8571" s="3">
        <v>7052.0</v>
      </c>
      <c r="B8571" s="4">
        <v>45420.27355324074</v>
      </c>
      <c r="C8571" s="3" t="s">
        <v>3</v>
      </c>
    </row>
    <row r="8572">
      <c r="A8572" s="3">
        <v>5394.0</v>
      </c>
      <c r="B8572" s="4">
        <v>45420.28015046296</v>
      </c>
      <c r="C8572" s="3" t="s">
        <v>3</v>
      </c>
    </row>
    <row r="8573">
      <c r="A8573" s="3">
        <v>1579.0</v>
      </c>
      <c r="B8573" s="4">
        <v>45420.28554398148</v>
      </c>
      <c r="C8573" s="3" t="s">
        <v>3</v>
      </c>
    </row>
    <row r="8574">
      <c r="A8574" s="3">
        <v>3993.0</v>
      </c>
      <c r="B8574" s="4">
        <v>45420.333182870374</v>
      </c>
      <c r="C8574" s="3" t="s">
        <v>6</v>
      </c>
    </row>
    <row r="8575">
      <c r="A8575" s="3">
        <v>5711.0</v>
      </c>
      <c r="B8575" s="4">
        <v>45420.33678240741</v>
      </c>
      <c r="C8575" s="3" t="s">
        <v>4</v>
      </c>
    </row>
    <row r="8576">
      <c r="A8576" s="3">
        <v>3323.0</v>
      </c>
      <c r="B8576" s="4">
        <v>45420.34306712963</v>
      </c>
      <c r="C8576" s="3" t="s">
        <v>6</v>
      </c>
    </row>
    <row r="8577">
      <c r="A8577" s="3">
        <v>4711.0</v>
      </c>
      <c r="B8577" s="4">
        <v>45420.34675925926</v>
      </c>
      <c r="C8577" s="3" t="s">
        <v>5</v>
      </c>
    </row>
    <row r="8578">
      <c r="A8578" s="3">
        <v>5721.0</v>
      </c>
      <c r="B8578" s="4">
        <v>45420.3578125</v>
      </c>
      <c r="C8578" s="3" t="s">
        <v>3</v>
      </c>
    </row>
    <row r="8579">
      <c r="A8579" s="3">
        <v>6061.0</v>
      </c>
      <c r="B8579" s="4">
        <v>45420.358136574076</v>
      </c>
      <c r="C8579" s="3" t="s">
        <v>5</v>
      </c>
    </row>
    <row r="8580">
      <c r="A8580" s="3">
        <v>374.0</v>
      </c>
      <c r="B8580" s="4">
        <v>45420.364583333336</v>
      </c>
      <c r="C8580" s="3" t="s">
        <v>4</v>
      </c>
    </row>
    <row r="8581">
      <c r="A8581" s="3">
        <v>7052.0</v>
      </c>
      <c r="B8581" s="4">
        <v>45420.37</v>
      </c>
      <c r="C8581" s="3" t="s">
        <v>4</v>
      </c>
    </row>
    <row r="8582">
      <c r="A8582" s="3">
        <v>7873.0</v>
      </c>
      <c r="B8582" s="4">
        <v>45420.37229166667</v>
      </c>
      <c r="C8582" s="3" t="s">
        <v>3</v>
      </c>
    </row>
    <row r="8583">
      <c r="A8583" s="3">
        <v>1833.0</v>
      </c>
      <c r="B8583" s="4">
        <v>45420.38366898148</v>
      </c>
      <c r="C8583" s="3" t="s">
        <v>4</v>
      </c>
    </row>
    <row r="8584">
      <c r="A8584" s="3">
        <v>3572.0</v>
      </c>
      <c r="B8584" s="4">
        <v>45420.39900462963</v>
      </c>
      <c r="C8584" s="3" t="s">
        <v>5</v>
      </c>
    </row>
    <row r="8585">
      <c r="A8585" s="3">
        <v>1800.0</v>
      </c>
      <c r="B8585" s="4">
        <v>45420.40956018519</v>
      </c>
      <c r="C8585" s="3" t="s">
        <v>3</v>
      </c>
    </row>
    <row r="8586">
      <c r="A8586" s="3">
        <v>6534.0</v>
      </c>
      <c r="B8586" s="4">
        <v>45420.41584490741</v>
      </c>
      <c r="C8586" s="3" t="s">
        <v>3</v>
      </c>
    </row>
    <row r="8587">
      <c r="A8587" s="3">
        <v>2272.0</v>
      </c>
      <c r="B8587" s="4">
        <v>45420.427719907406</v>
      </c>
      <c r="C8587" s="3" t="s">
        <v>3</v>
      </c>
    </row>
    <row r="8588">
      <c r="A8588" s="3">
        <v>6426.0</v>
      </c>
      <c r="B8588" s="4">
        <v>45420.45673611111</v>
      </c>
      <c r="C8588" s="3" t="s">
        <v>4</v>
      </c>
    </row>
    <row r="8589">
      <c r="A8589" s="3">
        <v>4790.0</v>
      </c>
      <c r="B8589" s="4">
        <v>45420.45921296296</v>
      </c>
      <c r="C8589" s="3" t="s">
        <v>5</v>
      </c>
    </row>
    <row r="8590">
      <c r="A8590" s="3">
        <v>6687.0</v>
      </c>
      <c r="B8590" s="4">
        <v>45420.50913194445</v>
      </c>
      <c r="C8590" s="3" t="s">
        <v>4</v>
      </c>
    </row>
    <row r="8591">
      <c r="A8591" s="3">
        <v>7780.0</v>
      </c>
      <c r="B8591" s="4">
        <v>45420.52305555555</v>
      </c>
      <c r="C8591" s="3" t="s">
        <v>6</v>
      </c>
    </row>
    <row r="8592">
      <c r="A8592" s="3">
        <v>4005.0</v>
      </c>
      <c r="B8592" s="4">
        <v>45420.530127314814</v>
      </c>
      <c r="C8592" s="3" t="s">
        <v>5</v>
      </c>
    </row>
    <row r="8593">
      <c r="A8593" s="3">
        <v>1503.0</v>
      </c>
      <c r="B8593" s="4">
        <v>45420.53016203704</v>
      </c>
      <c r="C8593" s="3" t="s">
        <v>5</v>
      </c>
    </row>
    <row r="8594">
      <c r="A8594" s="3">
        <v>4790.0</v>
      </c>
      <c r="B8594" s="4">
        <v>45420.54268518519</v>
      </c>
      <c r="C8594" s="3" t="s">
        <v>4</v>
      </c>
    </row>
    <row r="8595">
      <c r="A8595" s="3">
        <v>3572.0</v>
      </c>
      <c r="B8595" s="4">
        <v>45420.56778935185</v>
      </c>
      <c r="C8595" s="3" t="s">
        <v>4</v>
      </c>
    </row>
    <row r="8596">
      <c r="A8596" s="3">
        <v>3993.0</v>
      </c>
      <c r="B8596" s="4">
        <v>45420.571018518516</v>
      </c>
      <c r="C8596" s="3" t="s">
        <v>4</v>
      </c>
    </row>
    <row r="8597">
      <c r="A8597" s="3">
        <v>5930.0</v>
      </c>
      <c r="B8597" s="4">
        <v>45420.57219907407</v>
      </c>
      <c r="C8597" s="3" t="s">
        <v>7</v>
      </c>
    </row>
    <row r="8598">
      <c r="A8598" s="3">
        <v>5118.0</v>
      </c>
      <c r="B8598" s="4">
        <v>45420.584340277775</v>
      </c>
      <c r="C8598" s="3" t="s">
        <v>6</v>
      </c>
    </row>
    <row r="8599">
      <c r="A8599" s="3">
        <v>683.0</v>
      </c>
      <c r="B8599" s="4">
        <v>45420.58520833333</v>
      </c>
      <c r="C8599" s="3" t="s">
        <v>4</v>
      </c>
    </row>
    <row r="8600">
      <c r="A8600" s="3">
        <v>2944.0</v>
      </c>
      <c r="B8600" s="4">
        <v>45420.59616898148</v>
      </c>
      <c r="C8600" s="3" t="s">
        <v>5</v>
      </c>
    </row>
    <row r="8601">
      <c r="A8601" s="3">
        <v>6675.0</v>
      </c>
      <c r="B8601" s="4">
        <v>45420.60444444444</v>
      </c>
      <c r="C8601" s="3" t="s">
        <v>3</v>
      </c>
    </row>
    <row r="8602">
      <c r="A8602" s="3">
        <v>5319.0</v>
      </c>
      <c r="B8602" s="4">
        <v>45420.608194444445</v>
      </c>
      <c r="C8602" s="3" t="s">
        <v>4</v>
      </c>
    </row>
    <row r="8603">
      <c r="A8603" s="3">
        <v>2624.0</v>
      </c>
      <c r="B8603" s="4">
        <v>45420.619675925926</v>
      </c>
      <c r="C8603" s="3" t="s">
        <v>4</v>
      </c>
    </row>
    <row r="8604">
      <c r="A8604" s="3">
        <v>4751.0</v>
      </c>
      <c r="B8604" s="4">
        <v>45420.65274305556</v>
      </c>
      <c r="C8604" s="3" t="s">
        <v>7</v>
      </c>
    </row>
    <row r="8605">
      <c r="A8605" s="3">
        <v>3321.0</v>
      </c>
      <c r="B8605" s="4">
        <v>45420.66013888889</v>
      </c>
      <c r="C8605" s="3" t="s">
        <v>5</v>
      </c>
    </row>
    <row r="8606">
      <c r="A8606" s="3">
        <v>2108.0</v>
      </c>
      <c r="B8606" s="4">
        <v>45420.66059027778</v>
      </c>
      <c r="C8606" s="3" t="s">
        <v>6</v>
      </c>
    </row>
    <row r="8607">
      <c r="A8607" s="3">
        <v>1376.0</v>
      </c>
      <c r="B8607" s="4">
        <v>45420.67912037037</v>
      </c>
      <c r="C8607" s="3" t="s">
        <v>4</v>
      </c>
    </row>
    <row r="8608">
      <c r="A8608" s="3">
        <v>4113.0</v>
      </c>
      <c r="B8608" s="4">
        <v>45420.6905787037</v>
      </c>
      <c r="C8608" s="3" t="s">
        <v>3</v>
      </c>
    </row>
    <row r="8609">
      <c r="A8609" s="3">
        <v>1025.0</v>
      </c>
      <c r="B8609" s="4">
        <v>45420.69908564815</v>
      </c>
      <c r="C8609" s="3" t="s">
        <v>4</v>
      </c>
    </row>
    <row r="8610">
      <c r="A8610" s="3">
        <v>2768.0</v>
      </c>
      <c r="B8610" s="4">
        <v>45420.70413194445</v>
      </c>
      <c r="C8610" s="3" t="s">
        <v>3</v>
      </c>
    </row>
    <row r="8611">
      <c r="A8611" s="3">
        <v>5825.0</v>
      </c>
      <c r="B8611" s="4">
        <v>45420.72699074074</v>
      </c>
      <c r="C8611" s="3" t="s">
        <v>3</v>
      </c>
    </row>
    <row r="8612">
      <c r="A8612" s="3">
        <v>7508.0</v>
      </c>
      <c r="B8612" s="4">
        <v>45420.73333333333</v>
      </c>
      <c r="C8612" s="3" t="s">
        <v>3</v>
      </c>
    </row>
    <row r="8613">
      <c r="A8613" s="3">
        <v>7755.0</v>
      </c>
      <c r="B8613" s="4">
        <v>45420.7658912037</v>
      </c>
      <c r="C8613" s="3" t="s">
        <v>3</v>
      </c>
    </row>
    <row r="8614">
      <c r="A8614" s="3">
        <v>5264.0</v>
      </c>
      <c r="B8614" s="4">
        <v>45420.770578703705</v>
      </c>
      <c r="C8614" s="3" t="s">
        <v>3</v>
      </c>
    </row>
    <row r="8615">
      <c r="A8615" s="3">
        <v>5825.0</v>
      </c>
      <c r="B8615" s="4">
        <v>45420.801099537035</v>
      </c>
      <c r="C8615" s="3" t="s">
        <v>4</v>
      </c>
    </row>
    <row r="8616">
      <c r="A8616" s="3">
        <v>5837.0</v>
      </c>
      <c r="B8616" s="4">
        <v>45420.80804398148</v>
      </c>
      <c r="C8616" s="3" t="s">
        <v>5</v>
      </c>
    </row>
    <row r="8617">
      <c r="A8617" s="3">
        <v>1458.0</v>
      </c>
      <c r="B8617" s="4">
        <v>45420.820856481485</v>
      </c>
      <c r="C8617" s="3" t="s">
        <v>3</v>
      </c>
    </row>
    <row r="8618">
      <c r="A8618" s="3">
        <v>6823.0</v>
      </c>
      <c r="B8618" s="4">
        <v>45420.82990740741</v>
      </c>
      <c r="C8618" s="3" t="s">
        <v>5</v>
      </c>
    </row>
    <row r="8619">
      <c r="A8619" s="3">
        <v>6852.0</v>
      </c>
      <c r="B8619" s="4">
        <v>45420.861805555556</v>
      </c>
      <c r="C8619" s="3" t="s">
        <v>3</v>
      </c>
    </row>
    <row r="8620">
      <c r="A8620" s="3">
        <v>4377.0</v>
      </c>
      <c r="B8620" s="4">
        <v>45420.869479166664</v>
      </c>
      <c r="C8620" s="3" t="s">
        <v>3</v>
      </c>
    </row>
    <row r="8621">
      <c r="A8621" s="3">
        <v>4687.0</v>
      </c>
      <c r="B8621" s="4">
        <v>45420.878333333334</v>
      </c>
      <c r="C8621" s="3" t="s">
        <v>7</v>
      </c>
    </row>
    <row r="8622">
      <c r="A8622" s="3">
        <v>1392.0</v>
      </c>
      <c r="B8622" s="4">
        <v>45420.881064814814</v>
      </c>
      <c r="C8622" s="3" t="s">
        <v>3</v>
      </c>
    </row>
    <row r="8623">
      <c r="A8623" s="3">
        <v>6426.0</v>
      </c>
      <c r="B8623" s="4">
        <v>45420.90118055556</v>
      </c>
      <c r="C8623" s="3" t="s">
        <v>3</v>
      </c>
    </row>
    <row r="8624">
      <c r="A8624" s="3">
        <v>955.0</v>
      </c>
      <c r="B8624" s="4">
        <v>45420.90650462963</v>
      </c>
      <c r="C8624" s="3" t="s">
        <v>3</v>
      </c>
    </row>
    <row r="8625">
      <c r="A8625" s="3">
        <v>5711.0</v>
      </c>
      <c r="B8625" s="4">
        <v>45420.93138888889</v>
      </c>
      <c r="C8625" s="3" t="s">
        <v>3</v>
      </c>
    </row>
    <row r="8626">
      <c r="A8626" s="3">
        <v>1515.0</v>
      </c>
      <c r="B8626" s="4">
        <v>45420.95212962963</v>
      </c>
      <c r="C8626" s="3" t="s">
        <v>6</v>
      </c>
    </row>
    <row r="8627">
      <c r="A8627" s="3">
        <v>1025.0</v>
      </c>
      <c r="B8627" s="4">
        <v>45420.968877314815</v>
      </c>
      <c r="C8627" s="3" t="s">
        <v>6</v>
      </c>
    </row>
    <row r="8628">
      <c r="A8628" s="3">
        <v>1873.0</v>
      </c>
      <c r="B8628" s="4">
        <v>45420.97350694444</v>
      </c>
      <c r="C8628" s="3" t="s">
        <v>7</v>
      </c>
    </row>
    <row r="8629">
      <c r="A8629" s="3">
        <v>2406.0</v>
      </c>
      <c r="B8629" s="4">
        <v>45420.975949074076</v>
      </c>
      <c r="C8629" s="3" t="s">
        <v>6</v>
      </c>
    </row>
    <row r="8630">
      <c r="A8630" s="3">
        <v>5760.0</v>
      </c>
      <c r="B8630" s="4">
        <v>45420.98756944444</v>
      </c>
      <c r="C8630" s="3" t="s">
        <v>4</v>
      </c>
    </row>
    <row r="8631">
      <c r="A8631" s="3">
        <v>2511.0</v>
      </c>
      <c r="B8631" s="4">
        <v>45420.99012731481</v>
      </c>
      <c r="C8631" s="3" t="s">
        <v>4</v>
      </c>
    </row>
    <row r="8632">
      <c r="A8632" s="3">
        <v>2883.0</v>
      </c>
      <c r="B8632" s="4">
        <v>45420.9966087963</v>
      </c>
      <c r="C8632" s="3" t="s">
        <v>7</v>
      </c>
    </row>
    <row r="8633">
      <c r="A8633" s="3">
        <v>1916.0</v>
      </c>
      <c r="B8633" s="4">
        <v>45421.02275462963</v>
      </c>
      <c r="C8633" s="3" t="s">
        <v>6</v>
      </c>
    </row>
    <row r="8634">
      <c r="A8634" s="3">
        <v>1080.0</v>
      </c>
      <c r="B8634" s="4">
        <v>45421.05351851852</v>
      </c>
      <c r="C8634" s="3" t="s">
        <v>6</v>
      </c>
    </row>
    <row r="8635">
      <c r="A8635" s="3">
        <v>3358.0</v>
      </c>
      <c r="B8635" s="4">
        <v>45421.06738425926</v>
      </c>
      <c r="C8635" s="3" t="s">
        <v>4</v>
      </c>
    </row>
    <row r="8636">
      <c r="A8636" s="3">
        <v>5295.0</v>
      </c>
      <c r="B8636" s="4">
        <v>45421.07859953704</v>
      </c>
      <c r="C8636" s="3" t="s">
        <v>3</v>
      </c>
    </row>
    <row r="8637">
      <c r="A8637" s="3">
        <v>7222.0</v>
      </c>
      <c r="B8637" s="4">
        <v>45421.09890046297</v>
      </c>
      <c r="C8637" s="3" t="s">
        <v>3</v>
      </c>
    </row>
    <row r="8638">
      <c r="A8638" s="3">
        <v>727.0</v>
      </c>
      <c r="B8638" s="4">
        <v>45421.11188657407</v>
      </c>
      <c r="C8638" s="3" t="s">
        <v>3</v>
      </c>
    </row>
    <row r="8639">
      <c r="A8639" s="3">
        <v>3716.0</v>
      </c>
      <c r="B8639" s="4">
        <v>45421.112604166665</v>
      </c>
      <c r="C8639" s="3" t="s">
        <v>3</v>
      </c>
    </row>
    <row r="8640">
      <c r="A8640" s="3">
        <v>2273.0</v>
      </c>
      <c r="B8640" s="4">
        <v>45421.12403935185</v>
      </c>
      <c r="C8640" s="3" t="s">
        <v>3</v>
      </c>
    </row>
    <row r="8641">
      <c r="A8641" s="3">
        <v>4113.0</v>
      </c>
      <c r="B8641" s="4">
        <v>45421.12510416667</v>
      </c>
      <c r="C8641" s="3" t="s">
        <v>4</v>
      </c>
    </row>
    <row r="8642">
      <c r="A8642" s="3">
        <v>1895.0</v>
      </c>
      <c r="B8642" s="4">
        <v>45421.13501157407</v>
      </c>
      <c r="C8642" s="3" t="s">
        <v>6</v>
      </c>
    </row>
    <row r="8643">
      <c r="A8643" s="3">
        <v>7716.0</v>
      </c>
      <c r="B8643" s="4">
        <v>45421.191712962966</v>
      </c>
      <c r="C8643" s="3" t="s">
        <v>3</v>
      </c>
    </row>
    <row r="8644">
      <c r="A8644" s="3">
        <v>5765.0</v>
      </c>
      <c r="B8644" s="4">
        <v>45421.19962962963</v>
      </c>
      <c r="C8644" s="3" t="s">
        <v>3</v>
      </c>
    </row>
    <row r="8645">
      <c r="A8645" s="3">
        <v>5560.0</v>
      </c>
      <c r="B8645" s="4">
        <v>45421.20065972222</v>
      </c>
      <c r="C8645" s="3" t="s">
        <v>3</v>
      </c>
    </row>
    <row r="8646">
      <c r="A8646" s="3">
        <v>5283.0</v>
      </c>
      <c r="B8646" s="4">
        <v>45421.22195601852</v>
      </c>
      <c r="C8646" s="3" t="s">
        <v>3</v>
      </c>
    </row>
    <row r="8647">
      <c r="A8647" s="3">
        <v>469.0</v>
      </c>
      <c r="B8647" s="4">
        <v>45421.22483796296</v>
      </c>
      <c r="C8647" s="3" t="s">
        <v>5</v>
      </c>
    </row>
    <row r="8648">
      <c r="A8648" s="3">
        <v>6679.0</v>
      </c>
      <c r="B8648" s="4">
        <v>45421.22835648148</v>
      </c>
      <c r="C8648" s="3" t="s">
        <v>6</v>
      </c>
    </row>
    <row r="8649">
      <c r="A8649" s="3">
        <v>1168.0</v>
      </c>
      <c r="B8649" s="4">
        <v>45421.23372685185</v>
      </c>
      <c r="C8649" s="3" t="s">
        <v>3</v>
      </c>
    </row>
    <row r="8650">
      <c r="A8650" s="3">
        <v>1619.0</v>
      </c>
      <c r="B8650" s="4">
        <v>45421.236759259256</v>
      </c>
      <c r="C8650" s="3" t="s">
        <v>3</v>
      </c>
    </row>
    <row r="8651">
      <c r="A8651" s="3">
        <v>1218.0</v>
      </c>
      <c r="B8651" s="4">
        <v>45421.25640046296</v>
      </c>
      <c r="C8651" s="3" t="s">
        <v>3</v>
      </c>
    </row>
    <row r="8652">
      <c r="A8652" s="3">
        <v>1025.0</v>
      </c>
      <c r="B8652" s="4">
        <v>45421.268530092595</v>
      </c>
      <c r="C8652" s="3" t="s">
        <v>5</v>
      </c>
    </row>
    <row r="8653">
      <c r="A8653" s="3">
        <v>4751.0</v>
      </c>
      <c r="B8653" s="4">
        <v>45421.2878587963</v>
      </c>
      <c r="C8653" s="3" t="s">
        <v>6</v>
      </c>
    </row>
    <row r="8654">
      <c r="A8654" s="3">
        <v>6852.0</v>
      </c>
      <c r="B8654" s="4">
        <v>45421.291493055556</v>
      </c>
      <c r="C8654" s="3" t="s">
        <v>4</v>
      </c>
    </row>
    <row r="8655">
      <c r="A8655" s="3">
        <v>2563.0</v>
      </c>
      <c r="B8655" s="4">
        <v>45421.32434027778</v>
      </c>
      <c r="C8655" s="3" t="s">
        <v>3</v>
      </c>
    </row>
    <row r="8656">
      <c r="A8656" s="3">
        <v>2275.0</v>
      </c>
      <c r="B8656" s="4">
        <v>45421.326365740744</v>
      </c>
      <c r="C8656" s="3" t="s">
        <v>3</v>
      </c>
    </row>
    <row r="8657">
      <c r="A8657" s="3">
        <v>1565.0</v>
      </c>
      <c r="B8657" s="4">
        <v>45421.343993055554</v>
      </c>
      <c r="C8657" s="3" t="s">
        <v>3</v>
      </c>
    </row>
    <row r="8658">
      <c r="A8658" s="3">
        <v>5923.0</v>
      </c>
      <c r="B8658" s="4">
        <v>45421.3581712963</v>
      </c>
      <c r="C8658" s="3" t="s">
        <v>4</v>
      </c>
    </row>
    <row r="8659">
      <c r="A8659" s="3">
        <v>1579.0</v>
      </c>
      <c r="B8659" s="4">
        <v>45421.364803240744</v>
      </c>
      <c r="C8659" s="3" t="s">
        <v>4</v>
      </c>
    </row>
    <row r="8660">
      <c r="A8660" s="3">
        <v>5079.0</v>
      </c>
      <c r="B8660" s="4">
        <v>45421.405439814815</v>
      </c>
      <c r="C8660" s="3" t="s">
        <v>3</v>
      </c>
    </row>
    <row r="8661">
      <c r="A8661" s="3">
        <v>2273.0</v>
      </c>
      <c r="B8661" s="4">
        <v>45421.41173611111</v>
      </c>
      <c r="C8661" s="3" t="s">
        <v>5</v>
      </c>
    </row>
    <row r="8662">
      <c r="A8662" s="3">
        <v>153.0</v>
      </c>
      <c r="B8662" s="4">
        <v>45421.43284722222</v>
      </c>
      <c r="C8662" s="3" t="s">
        <v>3</v>
      </c>
    </row>
    <row r="8663">
      <c r="A8663" s="3">
        <v>5972.0</v>
      </c>
      <c r="B8663" s="4">
        <v>45421.43827546296</v>
      </c>
      <c r="C8663" s="3" t="s">
        <v>4</v>
      </c>
    </row>
    <row r="8664">
      <c r="A8664" s="3">
        <v>5552.0</v>
      </c>
      <c r="B8664" s="4">
        <v>45421.459282407406</v>
      </c>
      <c r="C8664" s="3" t="s">
        <v>7</v>
      </c>
    </row>
    <row r="8665">
      <c r="A8665" s="3">
        <v>3174.0</v>
      </c>
      <c r="B8665" s="4">
        <v>45421.4640625</v>
      </c>
      <c r="C8665" s="3" t="s">
        <v>4</v>
      </c>
    </row>
    <row r="8666">
      <c r="A8666" s="3">
        <v>355.0</v>
      </c>
      <c r="B8666" s="4">
        <v>45421.46604166667</v>
      </c>
      <c r="C8666" s="3" t="s">
        <v>6</v>
      </c>
    </row>
    <row r="8667">
      <c r="A8667" s="3">
        <v>5188.0</v>
      </c>
      <c r="B8667" s="4">
        <v>45421.480520833335</v>
      </c>
      <c r="C8667" s="3" t="s">
        <v>7</v>
      </c>
    </row>
    <row r="8668">
      <c r="A8668" s="3">
        <v>544.0</v>
      </c>
      <c r="B8668" s="4">
        <v>45421.49648148148</v>
      </c>
      <c r="C8668" s="3" t="s">
        <v>5</v>
      </c>
    </row>
    <row r="8669">
      <c r="A8669" s="3">
        <v>1098.0</v>
      </c>
      <c r="B8669" s="4">
        <v>45421.511030092595</v>
      </c>
      <c r="C8669" s="3" t="s">
        <v>3</v>
      </c>
    </row>
    <row r="8670">
      <c r="A8670" s="3">
        <v>1657.0</v>
      </c>
      <c r="B8670" s="4">
        <v>45421.51635416667</v>
      </c>
      <c r="C8670" s="3" t="s">
        <v>6</v>
      </c>
    </row>
    <row r="8671">
      <c r="A8671" s="3">
        <v>5636.0</v>
      </c>
      <c r="B8671" s="4">
        <v>45421.52358796296</v>
      </c>
      <c r="C8671" s="3" t="s">
        <v>6</v>
      </c>
    </row>
    <row r="8672">
      <c r="A8672" s="3">
        <v>2259.0</v>
      </c>
      <c r="B8672" s="4">
        <v>45421.52585648148</v>
      </c>
      <c r="C8672" s="3" t="s">
        <v>3</v>
      </c>
    </row>
    <row r="8673">
      <c r="A8673" s="3">
        <v>6823.0</v>
      </c>
      <c r="B8673" s="4">
        <v>45421.54004629629</v>
      </c>
      <c r="C8673" s="3" t="s">
        <v>7</v>
      </c>
    </row>
    <row r="8674">
      <c r="A8674" s="3">
        <v>5395.0</v>
      </c>
      <c r="B8674" s="4">
        <v>45421.54430555556</v>
      </c>
      <c r="C8674" s="3" t="s">
        <v>3</v>
      </c>
    </row>
    <row r="8675">
      <c r="A8675" s="3">
        <v>647.0</v>
      </c>
      <c r="B8675" s="4">
        <v>45421.56922453704</v>
      </c>
      <c r="C8675" s="3" t="s">
        <v>3</v>
      </c>
    </row>
    <row r="8676">
      <c r="A8676" s="3">
        <v>6648.0</v>
      </c>
      <c r="B8676" s="4">
        <v>45421.590578703705</v>
      </c>
      <c r="C8676" s="3" t="s">
        <v>3</v>
      </c>
    </row>
    <row r="8677">
      <c r="A8677" s="3">
        <v>4249.0</v>
      </c>
      <c r="B8677" s="4">
        <v>45421.60734953704</v>
      </c>
      <c r="C8677" s="3" t="s">
        <v>3</v>
      </c>
    </row>
    <row r="8678">
      <c r="A8678" s="3">
        <v>4133.0</v>
      </c>
      <c r="B8678" s="4">
        <v>45421.62567129629</v>
      </c>
      <c r="C8678" s="3" t="s">
        <v>3</v>
      </c>
    </row>
    <row r="8679">
      <c r="A8679" s="3">
        <v>3.0</v>
      </c>
      <c r="B8679" s="4">
        <v>45421.630520833336</v>
      </c>
      <c r="C8679" s="3" t="s">
        <v>3</v>
      </c>
    </row>
    <row r="8680">
      <c r="A8680" s="3">
        <v>1833.0</v>
      </c>
      <c r="B8680" s="4">
        <v>45421.637708333335</v>
      </c>
      <c r="C8680" s="3" t="s">
        <v>7</v>
      </c>
    </row>
    <row r="8681">
      <c r="A8681" s="3">
        <v>374.0</v>
      </c>
      <c r="B8681" s="4">
        <v>45421.64292824074</v>
      </c>
      <c r="C8681" s="3" t="s">
        <v>7</v>
      </c>
    </row>
    <row r="8682">
      <c r="A8682" s="3">
        <v>6906.0</v>
      </c>
      <c r="B8682" s="4">
        <v>45421.64292824074</v>
      </c>
      <c r="C8682" s="3" t="s">
        <v>3</v>
      </c>
    </row>
    <row r="8683">
      <c r="A8683" s="3">
        <v>5837.0</v>
      </c>
      <c r="B8683" s="4">
        <v>45421.6621875</v>
      </c>
      <c r="C8683" s="3" t="s">
        <v>7</v>
      </c>
    </row>
    <row r="8684">
      <c r="A8684" s="3">
        <v>5295.0</v>
      </c>
      <c r="B8684" s="4">
        <v>45421.66630787037</v>
      </c>
      <c r="C8684" s="3" t="s">
        <v>4</v>
      </c>
    </row>
    <row r="8685">
      <c r="A8685" s="3">
        <v>4196.0</v>
      </c>
      <c r="B8685" s="4">
        <v>45421.66732638889</v>
      </c>
      <c r="C8685" s="3" t="s">
        <v>7</v>
      </c>
    </row>
    <row r="8686">
      <c r="A8686" s="3">
        <v>1596.0</v>
      </c>
      <c r="B8686" s="4">
        <v>45421.67511574074</v>
      </c>
      <c r="C8686" s="3" t="s">
        <v>6</v>
      </c>
    </row>
    <row r="8687">
      <c r="A8687" s="3">
        <v>4676.0</v>
      </c>
      <c r="B8687" s="4">
        <v>45421.68554398148</v>
      </c>
      <c r="C8687" s="3" t="s">
        <v>3</v>
      </c>
    </row>
    <row r="8688">
      <c r="A8688" s="3">
        <v>3396.0</v>
      </c>
      <c r="B8688" s="4">
        <v>45421.68790509259</v>
      </c>
      <c r="C8688" s="3" t="s">
        <v>3</v>
      </c>
    </row>
    <row r="8689">
      <c r="A8689" s="3">
        <v>2296.0</v>
      </c>
      <c r="B8689" s="4">
        <v>45421.69993055556</v>
      </c>
      <c r="C8689" s="3" t="s">
        <v>3</v>
      </c>
    </row>
    <row r="8690">
      <c r="A8690" s="3">
        <v>4944.0</v>
      </c>
      <c r="B8690" s="4">
        <v>45421.74003472222</v>
      </c>
      <c r="C8690" s="3" t="s">
        <v>3</v>
      </c>
    </row>
    <row r="8691">
      <c r="A8691" s="3">
        <v>1891.0</v>
      </c>
      <c r="B8691" s="4">
        <v>45421.74300925926</v>
      </c>
      <c r="C8691" s="3" t="s">
        <v>3</v>
      </c>
    </row>
    <row r="8692">
      <c r="A8692" s="3">
        <v>7908.0</v>
      </c>
      <c r="B8692" s="4">
        <v>45421.765393518515</v>
      </c>
      <c r="C8692" s="3" t="s">
        <v>4</v>
      </c>
    </row>
    <row r="8693">
      <c r="A8693" s="3">
        <v>250.0</v>
      </c>
      <c r="B8693" s="4">
        <v>45421.791354166664</v>
      </c>
      <c r="C8693" s="3" t="s">
        <v>3</v>
      </c>
    </row>
    <row r="8694">
      <c r="A8694" s="3">
        <v>4113.0</v>
      </c>
      <c r="B8694" s="4">
        <v>45421.79655092592</v>
      </c>
      <c r="C8694" s="3" t="s">
        <v>6</v>
      </c>
    </row>
    <row r="8695">
      <c r="A8695" s="3">
        <v>4845.0</v>
      </c>
      <c r="B8695" s="4">
        <v>45421.80375</v>
      </c>
      <c r="C8695" s="3" t="s">
        <v>7</v>
      </c>
    </row>
    <row r="8696">
      <c r="A8696" s="3">
        <v>4055.0</v>
      </c>
      <c r="B8696" s="4">
        <v>45421.82255787037</v>
      </c>
      <c r="C8696" s="3" t="s">
        <v>6</v>
      </c>
    </row>
    <row r="8697">
      <c r="A8697" s="3">
        <v>6852.0</v>
      </c>
      <c r="B8697" s="4">
        <v>45421.837164351855</v>
      </c>
      <c r="C8697" s="3" t="s">
        <v>5</v>
      </c>
    </row>
    <row r="8698">
      <c r="A8698" s="3">
        <v>3363.0</v>
      </c>
      <c r="B8698" s="4">
        <v>45421.84006944444</v>
      </c>
      <c r="C8698" s="3" t="s">
        <v>6</v>
      </c>
    </row>
    <row r="8699">
      <c r="A8699" s="3">
        <v>5972.0</v>
      </c>
      <c r="B8699" s="4">
        <v>45421.88113425926</v>
      </c>
      <c r="C8699" s="3" t="s">
        <v>3</v>
      </c>
    </row>
    <row r="8700">
      <c r="A8700" s="3">
        <v>4713.0</v>
      </c>
      <c r="B8700" s="4">
        <v>45421.90199074074</v>
      </c>
      <c r="C8700" s="3" t="s">
        <v>4</v>
      </c>
    </row>
    <row r="8701">
      <c r="A8701" s="3">
        <v>7702.0</v>
      </c>
      <c r="B8701" s="4">
        <v>45421.90217592593</v>
      </c>
      <c r="C8701" s="3" t="s">
        <v>6</v>
      </c>
    </row>
    <row r="8702">
      <c r="A8702" s="3">
        <v>6246.0</v>
      </c>
      <c r="B8702" s="4">
        <v>45421.91315972222</v>
      </c>
      <c r="C8702" s="3" t="s">
        <v>7</v>
      </c>
    </row>
    <row r="8703">
      <c r="A8703" s="3">
        <v>713.0</v>
      </c>
      <c r="B8703" s="4">
        <v>45421.92581018519</v>
      </c>
      <c r="C8703" s="3" t="s">
        <v>6</v>
      </c>
    </row>
    <row r="8704">
      <c r="A8704" s="3">
        <v>1175.0</v>
      </c>
      <c r="B8704" s="4">
        <v>45421.95386574074</v>
      </c>
      <c r="C8704" s="3" t="s">
        <v>7</v>
      </c>
    </row>
    <row r="8705">
      <c r="A8705" s="3">
        <v>683.0</v>
      </c>
      <c r="B8705" s="4">
        <v>45421.96543981481</v>
      </c>
      <c r="C8705" s="3" t="s">
        <v>5</v>
      </c>
    </row>
    <row r="8706">
      <c r="A8706" s="3">
        <v>1617.0</v>
      </c>
      <c r="B8706" s="4">
        <v>45421.98572916666</v>
      </c>
      <c r="C8706" s="3" t="s">
        <v>3</v>
      </c>
    </row>
    <row r="8707">
      <c r="A8707" s="3">
        <v>1175.0</v>
      </c>
      <c r="B8707" s="4">
        <v>45421.98810185185</v>
      </c>
      <c r="C8707" s="3" t="s">
        <v>6</v>
      </c>
    </row>
    <row r="8708">
      <c r="A8708" s="3">
        <v>7908.0</v>
      </c>
      <c r="B8708" s="4">
        <v>45422.06863425926</v>
      </c>
      <c r="C8708" s="3" t="s">
        <v>5</v>
      </c>
    </row>
    <row r="8709">
      <c r="A8709" s="3">
        <v>4084.0</v>
      </c>
      <c r="B8709" s="4">
        <v>45422.08752314815</v>
      </c>
      <c r="C8709" s="3" t="s">
        <v>3</v>
      </c>
    </row>
    <row r="8710">
      <c r="A8710" s="3">
        <v>4133.0</v>
      </c>
      <c r="B8710" s="4">
        <v>45422.08944444444</v>
      </c>
      <c r="C8710" s="3" t="s">
        <v>4</v>
      </c>
    </row>
    <row r="8711">
      <c r="A8711" s="3">
        <v>7128.0</v>
      </c>
      <c r="B8711" s="4">
        <v>45422.1078125</v>
      </c>
      <c r="C8711" s="3" t="s">
        <v>3</v>
      </c>
    </row>
    <row r="8712">
      <c r="A8712" s="3">
        <v>782.0</v>
      </c>
      <c r="B8712" s="4">
        <v>45422.10915509259</v>
      </c>
      <c r="C8712" s="3" t="s">
        <v>4</v>
      </c>
    </row>
    <row r="8713">
      <c r="A8713" s="3">
        <v>2511.0</v>
      </c>
      <c r="B8713" s="4">
        <v>45422.109247685185</v>
      </c>
      <c r="C8713" s="3" t="s">
        <v>5</v>
      </c>
    </row>
    <row r="8714">
      <c r="A8714" s="3">
        <v>2667.0</v>
      </c>
      <c r="B8714" s="4">
        <v>45422.1177662037</v>
      </c>
      <c r="C8714" s="3" t="s">
        <v>3</v>
      </c>
    </row>
    <row r="8715">
      <c r="A8715" s="3">
        <v>3714.0</v>
      </c>
      <c r="B8715" s="4">
        <v>45422.13966435185</v>
      </c>
      <c r="C8715" s="3" t="s">
        <v>3</v>
      </c>
    </row>
    <row r="8716">
      <c r="A8716" s="3">
        <v>1098.0</v>
      </c>
      <c r="B8716" s="4">
        <v>45422.14094907408</v>
      </c>
      <c r="C8716" s="3" t="s">
        <v>6</v>
      </c>
    </row>
    <row r="8717">
      <c r="A8717" s="3">
        <v>7900.0</v>
      </c>
      <c r="B8717" s="4">
        <v>45422.15770833333</v>
      </c>
      <c r="C8717" s="3" t="s">
        <v>3</v>
      </c>
    </row>
    <row r="8718">
      <c r="A8718" s="3">
        <v>1767.0</v>
      </c>
      <c r="B8718" s="4">
        <v>45422.185891203706</v>
      </c>
      <c r="C8718" s="3" t="s">
        <v>3</v>
      </c>
    </row>
    <row r="8719">
      <c r="A8719" s="3">
        <v>806.0</v>
      </c>
      <c r="B8719" s="4">
        <v>45422.19467592592</v>
      </c>
      <c r="C8719" s="3" t="s">
        <v>7</v>
      </c>
    </row>
    <row r="8720">
      <c r="A8720" s="3">
        <v>2275.0</v>
      </c>
      <c r="B8720" s="4">
        <v>45422.22027777778</v>
      </c>
      <c r="C8720" s="3" t="s">
        <v>4</v>
      </c>
    </row>
    <row r="8721">
      <c r="A8721" s="3">
        <v>2944.0</v>
      </c>
      <c r="B8721" s="4">
        <v>45422.22599537037</v>
      </c>
      <c r="C8721" s="3" t="s">
        <v>7</v>
      </c>
    </row>
    <row r="8722">
      <c r="A8722" s="3">
        <v>374.0</v>
      </c>
      <c r="B8722" s="4">
        <v>45422.22814814815</v>
      </c>
      <c r="C8722" s="3" t="s">
        <v>5</v>
      </c>
    </row>
    <row r="8723">
      <c r="A8723" s="3">
        <v>6648.0</v>
      </c>
      <c r="B8723" s="4">
        <v>45422.243310185186</v>
      </c>
      <c r="C8723" s="3" t="s">
        <v>7</v>
      </c>
    </row>
    <row r="8724">
      <c r="A8724" s="3">
        <v>4676.0</v>
      </c>
      <c r="B8724" s="4">
        <v>45422.35476851852</v>
      </c>
      <c r="C8724" s="3" t="s">
        <v>4</v>
      </c>
    </row>
    <row r="8725">
      <c r="A8725" s="3">
        <v>3532.0</v>
      </c>
      <c r="B8725" s="4">
        <v>45422.374872685185</v>
      </c>
      <c r="C8725" s="3" t="s">
        <v>3</v>
      </c>
    </row>
    <row r="8726">
      <c r="A8726" s="3">
        <v>1046.0</v>
      </c>
      <c r="B8726" s="4">
        <v>45422.38568287037</v>
      </c>
      <c r="C8726" s="3" t="s">
        <v>3</v>
      </c>
    </row>
    <row r="8727">
      <c r="A8727" s="3">
        <v>1185.0</v>
      </c>
      <c r="B8727" s="4">
        <v>45422.4158912037</v>
      </c>
      <c r="C8727" s="3" t="s">
        <v>3</v>
      </c>
    </row>
    <row r="8728">
      <c r="A8728" s="3">
        <v>3799.0</v>
      </c>
      <c r="B8728" s="4">
        <v>45422.46608796297</v>
      </c>
      <c r="C8728" s="3" t="s">
        <v>3</v>
      </c>
    </row>
    <row r="8729">
      <c r="A8729" s="3">
        <v>2108.0</v>
      </c>
      <c r="B8729" s="4">
        <v>45422.467997685184</v>
      </c>
      <c r="C8729" s="3" t="s">
        <v>5</v>
      </c>
    </row>
    <row r="8730">
      <c r="A8730" s="3">
        <v>5395.0</v>
      </c>
      <c r="B8730" s="4">
        <v>45422.47269675926</v>
      </c>
      <c r="C8730" s="3" t="s">
        <v>5</v>
      </c>
    </row>
    <row r="8731">
      <c r="A8731" s="3">
        <v>6653.0</v>
      </c>
      <c r="B8731" s="4">
        <v>45422.48947916667</v>
      </c>
      <c r="C8731" s="3" t="s">
        <v>3</v>
      </c>
    </row>
    <row r="8732">
      <c r="A8732" s="3">
        <v>6852.0</v>
      </c>
      <c r="B8732" s="4">
        <v>45422.49355324074</v>
      </c>
      <c r="C8732" s="3" t="s">
        <v>6</v>
      </c>
    </row>
    <row r="8733">
      <c r="A8733" s="3">
        <v>4377.0</v>
      </c>
      <c r="B8733" s="4">
        <v>45422.49800925926</v>
      </c>
      <c r="C8733" s="3" t="s">
        <v>4</v>
      </c>
    </row>
    <row r="8734">
      <c r="A8734" s="3">
        <v>4845.0</v>
      </c>
      <c r="B8734" s="4">
        <v>45422.505740740744</v>
      </c>
      <c r="C8734" s="3" t="s">
        <v>5</v>
      </c>
    </row>
    <row r="8735">
      <c r="A8735" s="3">
        <v>4625.0</v>
      </c>
      <c r="B8735" s="4">
        <v>45422.51258101852</v>
      </c>
      <c r="C8735" s="3" t="s">
        <v>3</v>
      </c>
    </row>
    <row r="8736">
      <c r="A8736" s="3">
        <v>4288.0</v>
      </c>
      <c r="B8736" s="4">
        <v>45422.52065972222</v>
      </c>
      <c r="C8736" s="3" t="s">
        <v>4</v>
      </c>
    </row>
    <row r="8737">
      <c r="A8737" s="3">
        <v>4687.0</v>
      </c>
      <c r="B8737" s="4">
        <v>45422.55134259259</v>
      </c>
      <c r="C8737" s="3" t="s">
        <v>6</v>
      </c>
    </row>
    <row r="8738">
      <c r="A8738" s="3">
        <v>647.0</v>
      </c>
      <c r="B8738" s="4">
        <v>45422.57084490741</v>
      </c>
      <c r="C8738" s="3" t="s">
        <v>4</v>
      </c>
    </row>
    <row r="8739">
      <c r="A8739" s="3">
        <v>7900.0</v>
      </c>
      <c r="B8739" s="4">
        <v>45422.60517361111</v>
      </c>
      <c r="C8739" s="3" t="s">
        <v>5</v>
      </c>
    </row>
    <row r="8740">
      <c r="A8740" s="3">
        <v>6852.0</v>
      </c>
      <c r="B8740" s="4">
        <v>45422.610347222224</v>
      </c>
      <c r="C8740" s="3" t="s">
        <v>7</v>
      </c>
    </row>
    <row r="8741">
      <c r="A8741" s="3">
        <v>1489.0</v>
      </c>
      <c r="B8741" s="4">
        <v>45422.62734953704</v>
      </c>
      <c r="C8741" s="3" t="s">
        <v>6</v>
      </c>
    </row>
    <row r="8742">
      <c r="A8742" s="3">
        <v>4395.0</v>
      </c>
      <c r="B8742" s="4">
        <v>45422.65975694444</v>
      </c>
      <c r="C8742" s="3" t="s">
        <v>3</v>
      </c>
    </row>
    <row r="8743">
      <c r="A8743" s="3">
        <v>5049.0</v>
      </c>
      <c r="B8743" s="4">
        <v>45422.672743055555</v>
      </c>
      <c r="C8743" s="3" t="s">
        <v>3</v>
      </c>
    </row>
    <row r="8744">
      <c r="A8744" s="3">
        <v>5530.0</v>
      </c>
      <c r="B8744" s="4">
        <v>45422.67769675926</v>
      </c>
      <c r="C8744" s="3" t="s">
        <v>4</v>
      </c>
    </row>
    <row r="8745">
      <c r="A8745" s="3">
        <v>1503.0</v>
      </c>
      <c r="B8745" s="4">
        <v>45422.69122685185</v>
      </c>
      <c r="C8745" s="3" t="s">
        <v>7</v>
      </c>
    </row>
    <row r="8746">
      <c r="A8746" s="3">
        <v>7900.0</v>
      </c>
      <c r="B8746" s="4">
        <v>45422.719293981485</v>
      </c>
      <c r="C8746" s="3" t="s">
        <v>4</v>
      </c>
    </row>
    <row r="8747">
      <c r="A8747" s="3">
        <v>5319.0</v>
      </c>
      <c r="B8747" s="4">
        <v>45422.72803240741</v>
      </c>
      <c r="C8747" s="3" t="s">
        <v>6</v>
      </c>
    </row>
    <row r="8748">
      <c r="A8748" s="3">
        <v>4336.0</v>
      </c>
      <c r="B8748" s="4">
        <v>45422.737129629626</v>
      </c>
      <c r="C8748" s="3" t="s">
        <v>4</v>
      </c>
    </row>
    <row r="8749">
      <c r="A8749" s="3">
        <v>1833.0</v>
      </c>
      <c r="B8749" s="4">
        <v>45422.76458333333</v>
      </c>
      <c r="C8749" s="3" t="s">
        <v>5</v>
      </c>
    </row>
    <row r="8750">
      <c r="A8750" s="3">
        <v>598.0</v>
      </c>
      <c r="B8750" s="4">
        <v>45422.768125</v>
      </c>
      <c r="C8750" s="3" t="s">
        <v>3</v>
      </c>
    </row>
    <row r="8751">
      <c r="A8751" s="3">
        <v>6426.0</v>
      </c>
      <c r="B8751" s="4">
        <v>45422.77991898148</v>
      </c>
      <c r="C8751" s="3" t="s">
        <v>5</v>
      </c>
    </row>
    <row r="8752">
      <c r="A8752" s="3">
        <v>1025.0</v>
      </c>
      <c r="B8752" s="4">
        <v>45422.79892361111</v>
      </c>
      <c r="C8752" s="3" t="s">
        <v>7</v>
      </c>
    </row>
    <row r="8753">
      <c r="A8753" s="3">
        <v>2228.0</v>
      </c>
      <c r="B8753" s="4">
        <v>45422.82369212963</v>
      </c>
      <c r="C8753" s="3" t="s">
        <v>6</v>
      </c>
    </row>
    <row r="8754">
      <c r="A8754" s="3">
        <v>6913.0</v>
      </c>
      <c r="B8754" s="4">
        <v>45422.83060185185</v>
      </c>
      <c r="C8754" s="3" t="s">
        <v>3</v>
      </c>
    </row>
    <row r="8755">
      <c r="A8755" s="3">
        <v>4377.0</v>
      </c>
      <c r="B8755" s="4">
        <v>45422.84793981481</v>
      </c>
      <c r="C8755" s="3" t="s">
        <v>7</v>
      </c>
    </row>
    <row r="8756">
      <c r="A8756" s="3">
        <v>806.0</v>
      </c>
      <c r="B8756" s="4">
        <v>45422.8647337963</v>
      </c>
      <c r="C8756" s="3" t="s">
        <v>5</v>
      </c>
    </row>
    <row r="8757">
      <c r="A8757" s="3">
        <v>6253.0</v>
      </c>
      <c r="B8757" s="4">
        <v>45422.872662037036</v>
      </c>
      <c r="C8757" s="3" t="s">
        <v>3</v>
      </c>
    </row>
    <row r="8758">
      <c r="A8758" s="3">
        <v>6010.0</v>
      </c>
      <c r="B8758" s="4">
        <v>45422.88065972222</v>
      </c>
      <c r="C8758" s="3" t="s">
        <v>3</v>
      </c>
    </row>
    <row r="8759">
      <c r="A8759" s="3">
        <v>437.0</v>
      </c>
      <c r="B8759" s="4">
        <v>45422.905277777776</v>
      </c>
      <c r="C8759" s="3" t="s">
        <v>3</v>
      </c>
    </row>
    <row r="8760">
      <c r="A8760" s="3">
        <v>7519.0</v>
      </c>
      <c r="B8760" s="4">
        <v>45422.90662037037</v>
      </c>
      <c r="C8760" s="3" t="s">
        <v>4</v>
      </c>
    </row>
    <row r="8761">
      <c r="A8761" s="3">
        <v>6675.0</v>
      </c>
      <c r="B8761" s="4">
        <v>45422.919490740744</v>
      </c>
      <c r="C8761" s="3" t="s">
        <v>4</v>
      </c>
    </row>
    <row r="8762">
      <c r="A8762" s="3">
        <v>7519.0</v>
      </c>
      <c r="B8762" s="4">
        <v>45422.936886574076</v>
      </c>
      <c r="C8762" s="3" t="s">
        <v>3</v>
      </c>
    </row>
    <row r="8763">
      <c r="A8763" s="3">
        <v>1617.0</v>
      </c>
      <c r="B8763" s="4">
        <v>45422.95452546296</v>
      </c>
      <c r="C8763" s="3" t="s">
        <v>5</v>
      </c>
    </row>
    <row r="8764">
      <c r="A8764" s="3">
        <v>1833.0</v>
      </c>
      <c r="B8764" s="4">
        <v>45422.95505787037</v>
      </c>
      <c r="C8764" s="3" t="s">
        <v>6</v>
      </c>
    </row>
    <row r="8765">
      <c r="A8765" s="3">
        <v>2517.0</v>
      </c>
      <c r="B8765" s="4">
        <v>45422.99138888889</v>
      </c>
      <c r="C8765" s="3" t="s">
        <v>6</v>
      </c>
    </row>
    <row r="8766">
      <c r="A8766" s="3">
        <v>6343.0</v>
      </c>
      <c r="B8766" s="4">
        <v>45423.04375</v>
      </c>
      <c r="C8766" s="3" t="s">
        <v>4</v>
      </c>
    </row>
    <row r="8767">
      <c r="A8767" s="3">
        <v>438.0</v>
      </c>
      <c r="B8767" s="4">
        <v>45423.06034722222</v>
      </c>
      <c r="C8767" s="3" t="s">
        <v>3</v>
      </c>
    </row>
    <row r="8768">
      <c r="A8768" s="3">
        <v>1892.0</v>
      </c>
      <c r="B8768" s="4">
        <v>45423.064930555556</v>
      </c>
      <c r="C8768" s="3" t="s">
        <v>3</v>
      </c>
    </row>
    <row r="8769">
      <c r="A8769" s="3">
        <v>6614.0</v>
      </c>
      <c r="B8769" s="4">
        <v>45423.07293981482</v>
      </c>
      <c r="C8769" s="3" t="s">
        <v>3</v>
      </c>
    </row>
    <row r="8770">
      <c r="A8770" s="3">
        <v>2834.0</v>
      </c>
      <c r="B8770" s="4">
        <v>45423.091898148145</v>
      </c>
      <c r="C8770" s="3" t="s">
        <v>3</v>
      </c>
    </row>
    <row r="8771">
      <c r="A8771" s="3">
        <v>2878.0</v>
      </c>
      <c r="B8771" s="4">
        <v>45423.09725694444</v>
      </c>
      <c r="C8771" s="3" t="s">
        <v>6</v>
      </c>
    </row>
    <row r="8772">
      <c r="A8772" s="3">
        <v>3026.0</v>
      </c>
      <c r="B8772" s="4">
        <v>45423.10928240741</v>
      </c>
      <c r="C8772" s="3" t="s">
        <v>4</v>
      </c>
    </row>
    <row r="8773">
      <c r="A8773" s="3">
        <v>1098.0</v>
      </c>
      <c r="B8773" s="4">
        <v>45423.11861111111</v>
      </c>
      <c r="C8773" s="3" t="s">
        <v>4</v>
      </c>
    </row>
    <row r="8774">
      <c r="A8774" s="3">
        <v>4196.0</v>
      </c>
      <c r="B8774" s="4">
        <v>45423.15493055555</v>
      </c>
      <c r="C8774" s="3" t="s">
        <v>5</v>
      </c>
    </row>
    <row r="8775">
      <c r="A8775" s="3">
        <v>7222.0</v>
      </c>
      <c r="B8775" s="4">
        <v>45423.15523148148</v>
      </c>
      <c r="C8775" s="3" t="s">
        <v>4</v>
      </c>
    </row>
    <row r="8776">
      <c r="A8776" s="3">
        <v>3026.0</v>
      </c>
      <c r="B8776" s="4">
        <v>45423.15957175926</v>
      </c>
      <c r="C8776" s="3" t="s">
        <v>3</v>
      </c>
    </row>
    <row r="8777">
      <c r="A8777" s="3">
        <v>1574.0</v>
      </c>
      <c r="B8777" s="4">
        <v>45423.1621875</v>
      </c>
      <c r="C8777" s="3" t="s">
        <v>3</v>
      </c>
    </row>
    <row r="8778">
      <c r="A8778" s="3">
        <v>438.0</v>
      </c>
      <c r="B8778" s="4">
        <v>45423.178506944445</v>
      </c>
      <c r="C8778" s="3" t="s">
        <v>4</v>
      </c>
    </row>
    <row r="8779">
      <c r="A8779" s="3">
        <v>5319.0</v>
      </c>
      <c r="B8779" s="4">
        <v>45423.20826388889</v>
      </c>
      <c r="C8779" s="3" t="s">
        <v>7</v>
      </c>
    </row>
    <row r="8780">
      <c r="A8780" s="3">
        <v>1800.0</v>
      </c>
      <c r="B8780" s="4">
        <v>45423.20953703704</v>
      </c>
      <c r="C8780" s="3" t="s">
        <v>4</v>
      </c>
    </row>
    <row r="8781">
      <c r="A8781" s="3">
        <v>6343.0</v>
      </c>
      <c r="B8781" s="4">
        <v>45423.21270833333</v>
      </c>
      <c r="C8781" s="3" t="s">
        <v>5</v>
      </c>
    </row>
    <row r="8782">
      <c r="A8782" s="3">
        <v>4377.0</v>
      </c>
      <c r="B8782" s="4">
        <v>45423.21417824074</v>
      </c>
      <c r="C8782" s="3" t="s">
        <v>5</v>
      </c>
    </row>
    <row r="8783">
      <c r="A8783" s="3">
        <v>4303.0</v>
      </c>
      <c r="B8783" s="4">
        <v>45423.24458333333</v>
      </c>
      <c r="C8783" s="3" t="s">
        <v>3</v>
      </c>
    </row>
    <row r="8784">
      <c r="A8784" s="3">
        <v>2883.0</v>
      </c>
      <c r="B8784" s="4">
        <v>45423.24476851852</v>
      </c>
      <c r="C8784" s="3" t="s">
        <v>6</v>
      </c>
    </row>
    <row r="8785">
      <c r="A8785" s="3">
        <v>7873.0</v>
      </c>
      <c r="B8785" s="4">
        <v>45423.27111111111</v>
      </c>
      <c r="C8785" s="3" t="s">
        <v>4</v>
      </c>
    </row>
    <row r="8786">
      <c r="A8786" s="3">
        <v>5391.0</v>
      </c>
      <c r="B8786" s="4">
        <v>45423.30353009259</v>
      </c>
      <c r="C8786" s="3" t="s">
        <v>4</v>
      </c>
    </row>
    <row r="8787">
      <c r="A8787" s="3">
        <v>2682.0</v>
      </c>
      <c r="B8787" s="4">
        <v>45423.33614583333</v>
      </c>
      <c r="C8787" s="3" t="s">
        <v>3</v>
      </c>
    </row>
    <row r="8788">
      <c r="A8788" s="3">
        <v>940.0</v>
      </c>
      <c r="B8788" s="4">
        <v>45423.363229166665</v>
      </c>
      <c r="C8788" s="3" t="s">
        <v>3</v>
      </c>
    </row>
    <row r="8789">
      <c r="A8789" s="3">
        <v>2273.0</v>
      </c>
      <c r="B8789" s="4">
        <v>45423.37673611111</v>
      </c>
      <c r="C8789" s="3" t="s">
        <v>4</v>
      </c>
    </row>
    <row r="8790">
      <c r="A8790" s="3">
        <v>683.0</v>
      </c>
      <c r="B8790" s="4">
        <v>45423.40122685185</v>
      </c>
      <c r="C8790" s="3" t="s">
        <v>7</v>
      </c>
    </row>
    <row r="8791">
      <c r="A8791" s="3">
        <v>1558.0</v>
      </c>
      <c r="B8791" s="4">
        <v>45423.442395833335</v>
      </c>
      <c r="C8791" s="3" t="s">
        <v>7</v>
      </c>
    </row>
    <row r="8792">
      <c r="A8792" s="3">
        <v>4249.0</v>
      </c>
      <c r="B8792" s="4">
        <v>45423.46052083333</v>
      </c>
      <c r="C8792" s="3" t="s">
        <v>4</v>
      </c>
    </row>
    <row r="8793">
      <c r="A8793" s="3">
        <v>5395.0</v>
      </c>
      <c r="B8793" s="4">
        <v>45423.49576388889</v>
      </c>
      <c r="C8793" s="3" t="s">
        <v>4</v>
      </c>
    </row>
    <row r="8794">
      <c r="A8794" s="3">
        <v>7225.0</v>
      </c>
      <c r="B8794" s="4">
        <v>45423.51939814815</v>
      </c>
      <c r="C8794" s="3" t="s">
        <v>3</v>
      </c>
    </row>
    <row r="8795">
      <c r="A8795" s="3">
        <v>6648.0</v>
      </c>
      <c r="B8795" s="4">
        <v>45423.53289351852</v>
      </c>
      <c r="C8795" s="3" t="s">
        <v>5</v>
      </c>
    </row>
    <row r="8796">
      <c r="A8796" s="3">
        <v>5552.0</v>
      </c>
      <c r="B8796" s="4">
        <v>45423.570925925924</v>
      </c>
      <c r="C8796" s="3" t="s">
        <v>6</v>
      </c>
    </row>
    <row r="8797">
      <c r="A8797" s="3">
        <v>5817.0</v>
      </c>
      <c r="B8797" s="4">
        <v>45423.612233796295</v>
      </c>
      <c r="C8797" s="3" t="s">
        <v>3</v>
      </c>
    </row>
    <row r="8798">
      <c r="A8798" s="3">
        <v>3245.0</v>
      </c>
      <c r="B8798" s="4">
        <v>45423.61274305556</v>
      </c>
      <c r="C8798" s="3" t="s">
        <v>3</v>
      </c>
    </row>
    <row r="8799">
      <c r="A8799" s="3">
        <v>130.0</v>
      </c>
      <c r="B8799" s="4">
        <v>45423.64232638889</v>
      </c>
      <c r="C8799" s="3" t="s">
        <v>3</v>
      </c>
    </row>
    <row r="8800">
      <c r="A8800" s="3">
        <v>7888.0</v>
      </c>
      <c r="B8800" s="4">
        <v>45423.65819444445</v>
      </c>
      <c r="C8800" s="3" t="s">
        <v>3</v>
      </c>
    </row>
    <row r="8801">
      <c r="A8801" s="3">
        <v>3358.0</v>
      </c>
      <c r="B8801" s="4">
        <v>45423.709652777776</v>
      </c>
      <c r="C8801" s="3" t="s">
        <v>7</v>
      </c>
    </row>
    <row r="8802">
      <c r="A8802" s="3">
        <v>4377.0</v>
      </c>
      <c r="B8802" s="4">
        <v>45423.74903935185</v>
      </c>
      <c r="C8802" s="3" t="s">
        <v>6</v>
      </c>
    </row>
    <row r="8803">
      <c r="A8803" s="3">
        <v>2511.0</v>
      </c>
      <c r="B8803" s="4">
        <v>45423.75072916667</v>
      </c>
      <c r="C8803" s="3" t="s">
        <v>6</v>
      </c>
    </row>
    <row r="8804">
      <c r="A8804" s="3">
        <v>7052.0</v>
      </c>
      <c r="B8804" s="4">
        <v>45423.808171296296</v>
      </c>
      <c r="C8804" s="3" t="s">
        <v>7</v>
      </c>
    </row>
    <row r="8805">
      <c r="A8805" s="3">
        <v>4395.0</v>
      </c>
      <c r="B8805" s="4">
        <v>45423.80866898148</v>
      </c>
      <c r="C8805" s="3" t="s">
        <v>4</v>
      </c>
    </row>
    <row r="8806">
      <c r="A8806" s="3">
        <v>1216.0</v>
      </c>
      <c r="B8806" s="4">
        <v>45423.814733796295</v>
      </c>
      <c r="C8806" s="3" t="s">
        <v>7</v>
      </c>
    </row>
    <row r="8807">
      <c r="A8807" s="3">
        <v>6343.0</v>
      </c>
      <c r="B8807" s="4">
        <v>45423.82568287037</v>
      </c>
      <c r="C8807" s="3" t="s">
        <v>3</v>
      </c>
    </row>
    <row r="8808">
      <c r="A8808" s="3">
        <v>6253.0</v>
      </c>
      <c r="B8808" s="4">
        <v>45423.84731481481</v>
      </c>
      <c r="C8808" s="3" t="s">
        <v>4</v>
      </c>
    </row>
    <row r="8809">
      <c r="A8809" s="3">
        <v>6653.0</v>
      </c>
      <c r="B8809" s="4">
        <v>45423.85517361111</v>
      </c>
      <c r="C8809" s="3" t="s">
        <v>4</v>
      </c>
    </row>
    <row r="8810">
      <c r="A8810" s="3">
        <v>3245.0</v>
      </c>
      <c r="B8810" s="4">
        <v>45423.866956018515</v>
      </c>
      <c r="C8810" s="3" t="s">
        <v>5</v>
      </c>
    </row>
    <row r="8811">
      <c r="A8811" s="3">
        <v>5765.0</v>
      </c>
      <c r="B8811" s="4">
        <v>45423.90081018519</v>
      </c>
      <c r="C8811" s="3" t="s">
        <v>4</v>
      </c>
    </row>
    <row r="8812">
      <c r="A8812" s="3">
        <v>1521.0</v>
      </c>
      <c r="B8812" s="4">
        <v>45423.906331018516</v>
      </c>
      <c r="C8812" s="3" t="s">
        <v>3</v>
      </c>
    </row>
    <row r="8813">
      <c r="A8813" s="3">
        <v>7908.0</v>
      </c>
      <c r="B8813" s="4">
        <v>45423.93528935185</v>
      </c>
      <c r="C8813" s="3" t="s">
        <v>7</v>
      </c>
    </row>
    <row r="8814">
      <c r="A8814" s="3">
        <v>6648.0</v>
      </c>
      <c r="B8814" s="4">
        <v>45423.94086805556</v>
      </c>
      <c r="C8814" s="3" t="s">
        <v>4</v>
      </c>
    </row>
    <row r="8815">
      <c r="A8815" s="3">
        <v>5730.0</v>
      </c>
      <c r="B8815" s="4">
        <v>45423.96533564815</v>
      </c>
      <c r="C8815" s="3" t="s">
        <v>3</v>
      </c>
    </row>
    <row r="8816">
      <c r="A8816" s="3">
        <v>6061.0</v>
      </c>
      <c r="B8816" s="4">
        <v>45423.97204861111</v>
      </c>
      <c r="C8816" s="3" t="s">
        <v>7</v>
      </c>
    </row>
    <row r="8817">
      <c r="A8817" s="3">
        <v>6076.0</v>
      </c>
      <c r="B8817" s="4">
        <v>45423.97822916666</v>
      </c>
      <c r="C8817" s="3" t="s">
        <v>6</v>
      </c>
    </row>
    <row r="8818">
      <c r="A8818" s="3">
        <v>3928.0</v>
      </c>
      <c r="B8818" s="4">
        <v>45424.00295138889</v>
      </c>
      <c r="C8818" s="3" t="s">
        <v>3</v>
      </c>
    </row>
    <row r="8819">
      <c r="A8819" s="3">
        <v>2068.0</v>
      </c>
      <c r="B8819" s="4">
        <v>45424.04355324074</v>
      </c>
      <c r="C8819" s="3" t="s">
        <v>4</v>
      </c>
    </row>
    <row r="8820">
      <c r="A8820" s="3">
        <v>1579.0</v>
      </c>
      <c r="B8820" s="4">
        <v>45424.05603009259</v>
      </c>
      <c r="C8820" s="3" t="s">
        <v>5</v>
      </c>
    </row>
    <row r="8821">
      <c r="A8821" s="3">
        <v>4303.0</v>
      </c>
      <c r="B8821" s="4">
        <v>45424.06768518518</v>
      </c>
      <c r="C8821" s="3" t="s">
        <v>7</v>
      </c>
    </row>
    <row r="8822">
      <c r="A8822" s="3">
        <v>7554.0</v>
      </c>
      <c r="B8822" s="4">
        <v>45424.090787037036</v>
      </c>
      <c r="C8822" s="3" t="s">
        <v>3</v>
      </c>
    </row>
    <row r="8823">
      <c r="A8823" s="3">
        <v>1539.0</v>
      </c>
      <c r="B8823" s="4">
        <v>45424.09465277778</v>
      </c>
      <c r="C8823" s="3" t="s">
        <v>3</v>
      </c>
    </row>
    <row r="8824">
      <c r="A8824" s="3">
        <v>7222.0</v>
      </c>
      <c r="B8824" s="4">
        <v>45424.16206018518</v>
      </c>
      <c r="C8824" s="3" t="s">
        <v>5</v>
      </c>
    </row>
    <row r="8825">
      <c r="A8825" s="3">
        <v>128.0</v>
      </c>
      <c r="B8825" s="4">
        <v>45424.16336805555</v>
      </c>
      <c r="C8825" s="3" t="s">
        <v>3</v>
      </c>
    </row>
    <row r="8826">
      <c r="A8826" s="3">
        <v>4614.0</v>
      </c>
      <c r="B8826" s="4">
        <v>45424.18163194445</v>
      </c>
      <c r="C8826" s="3" t="s">
        <v>3</v>
      </c>
    </row>
    <row r="8827">
      <c r="A8827" s="3">
        <v>4113.0</v>
      </c>
      <c r="B8827" s="4">
        <v>45424.19496527778</v>
      </c>
      <c r="C8827" s="3" t="s">
        <v>5</v>
      </c>
    </row>
    <row r="8828">
      <c r="A8828" s="3">
        <v>3529.0</v>
      </c>
      <c r="B8828" s="4">
        <v>45424.20119212963</v>
      </c>
      <c r="C8828" s="3" t="s">
        <v>6</v>
      </c>
    </row>
    <row r="8829">
      <c r="A8829" s="3">
        <v>3391.0</v>
      </c>
      <c r="B8829" s="4">
        <v>45424.20445601852</v>
      </c>
      <c r="C8829" s="3" t="s">
        <v>3</v>
      </c>
    </row>
    <row r="8830">
      <c r="A8830" s="3">
        <v>7688.0</v>
      </c>
      <c r="B8830" s="4">
        <v>45424.23185185185</v>
      </c>
      <c r="C8830" s="3" t="s">
        <v>3</v>
      </c>
    </row>
    <row r="8831">
      <c r="A8831" s="3">
        <v>5476.0</v>
      </c>
      <c r="B8831" s="4">
        <v>45424.26023148148</v>
      </c>
      <c r="C8831" s="3" t="s">
        <v>3</v>
      </c>
    </row>
    <row r="8832">
      <c r="A8832" s="3">
        <v>6343.0</v>
      </c>
      <c r="B8832" s="4">
        <v>45424.26300925926</v>
      </c>
      <c r="C8832" s="3" t="s">
        <v>7</v>
      </c>
    </row>
    <row r="8833">
      <c r="A8833" s="3">
        <v>2319.0</v>
      </c>
      <c r="B8833" s="4">
        <v>45424.276770833334</v>
      </c>
      <c r="C8833" s="3" t="s">
        <v>6</v>
      </c>
    </row>
    <row r="8834">
      <c r="A8834" s="3">
        <v>4491.0</v>
      </c>
      <c r="B8834" s="4">
        <v>45424.29206018519</v>
      </c>
      <c r="C8834" s="3" t="s">
        <v>3</v>
      </c>
    </row>
    <row r="8835">
      <c r="A8835" s="3">
        <v>5784.0</v>
      </c>
      <c r="B8835" s="4">
        <v>45424.30386574074</v>
      </c>
      <c r="C8835" s="3" t="s">
        <v>3</v>
      </c>
    </row>
    <row r="8836">
      <c r="A8836" s="3">
        <v>4537.0</v>
      </c>
      <c r="B8836" s="4">
        <v>45424.348587962966</v>
      </c>
      <c r="C8836" s="3" t="s">
        <v>3</v>
      </c>
    </row>
    <row r="8837">
      <c r="A8837" s="3">
        <v>2645.0</v>
      </c>
      <c r="B8837" s="4">
        <v>45424.35663194444</v>
      </c>
      <c r="C8837" s="3" t="s">
        <v>3</v>
      </c>
    </row>
    <row r="8838">
      <c r="A8838" s="3">
        <v>4790.0</v>
      </c>
      <c r="B8838" s="4">
        <v>45424.36273148148</v>
      </c>
      <c r="C8838" s="3" t="s">
        <v>6</v>
      </c>
    </row>
    <row r="8839">
      <c r="A8839" s="3">
        <v>3108.0</v>
      </c>
      <c r="B8839" s="4">
        <v>45424.371400462966</v>
      </c>
      <c r="C8839" s="3" t="s">
        <v>3</v>
      </c>
    </row>
    <row r="8840">
      <c r="A8840" s="3">
        <v>2339.0</v>
      </c>
      <c r="B8840" s="4">
        <v>45424.381377314814</v>
      </c>
      <c r="C8840" s="3" t="s">
        <v>3</v>
      </c>
    </row>
    <row r="8841">
      <c r="A8841" s="3">
        <v>6624.0</v>
      </c>
      <c r="B8841" s="4">
        <v>45424.3971875</v>
      </c>
      <c r="C8841" s="3" t="s">
        <v>4</v>
      </c>
    </row>
    <row r="8842">
      <c r="A8842" s="3">
        <v>2682.0</v>
      </c>
      <c r="B8842" s="4">
        <v>45424.427094907405</v>
      </c>
      <c r="C8842" s="3" t="s">
        <v>4</v>
      </c>
    </row>
    <row r="8843">
      <c r="A8843" s="3">
        <v>7899.0</v>
      </c>
      <c r="B8843" s="4">
        <v>45424.45788194444</v>
      </c>
      <c r="C8843" s="3" t="s">
        <v>4</v>
      </c>
    </row>
    <row r="8844">
      <c r="A8844" s="3">
        <v>6308.0</v>
      </c>
      <c r="B8844" s="4">
        <v>45424.51497685185</v>
      </c>
      <c r="C8844" s="3" t="s">
        <v>3</v>
      </c>
    </row>
    <row r="8845">
      <c r="A8845" s="3">
        <v>7794.0</v>
      </c>
      <c r="B8845" s="4">
        <v>45424.520416666666</v>
      </c>
      <c r="C8845" s="3" t="s">
        <v>4</v>
      </c>
    </row>
    <row r="8846">
      <c r="A8846" s="3">
        <v>5101.0</v>
      </c>
      <c r="B8846" s="4">
        <v>45424.55366898148</v>
      </c>
      <c r="C8846" s="3" t="s">
        <v>4</v>
      </c>
    </row>
    <row r="8847">
      <c r="A8847" s="3">
        <v>5730.0</v>
      </c>
      <c r="B8847" s="4">
        <v>45424.58490740741</v>
      </c>
      <c r="C8847" s="3" t="s">
        <v>5</v>
      </c>
    </row>
    <row r="8848">
      <c r="A8848" s="3">
        <v>3396.0</v>
      </c>
      <c r="B8848" s="4">
        <v>45424.60517361111</v>
      </c>
      <c r="C8848" s="3" t="s">
        <v>4</v>
      </c>
    </row>
    <row r="8849">
      <c r="A8849" s="3">
        <v>7899.0</v>
      </c>
      <c r="B8849" s="4">
        <v>45424.61853009259</v>
      </c>
      <c r="C8849" s="3" t="s">
        <v>3</v>
      </c>
    </row>
    <row r="8850">
      <c r="A8850" s="3">
        <v>7716.0</v>
      </c>
      <c r="B8850" s="4">
        <v>45424.65771990741</v>
      </c>
      <c r="C8850" s="3" t="s">
        <v>4</v>
      </c>
    </row>
    <row r="8851">
      <c r="A8851" s="3">
        <v>7508.0</v>
      </c>
      <c r="B8851" s="4">
        <v>45424.66306712963</v>
      </c>
      <c r="C8851" s="3" t="s">
        <v>4</v>
      </c>
    </row>
    <row r="8852">
      <c r="A8852" s="3">
        <v>3358.0</v>
      </c>
      <c r="B8852" s="4">
        <v>45424.676030092596</v>
      </c>
      <c r="C8852" s="3" t="s">
        <v>5</v>
      </c>
    </row>
    <row r="8853">
      <c r="A8853" s="3">
        <v>4395.0</v>
      </c>
      <c r="B8853" s="4">
        <v>45424.68466435185</v>
      </c>
      <c r="C8853" s="3" t="s">
        <v>5</v>
      </c>
    </row>
    <row r="8854">
      <c r="A8854" s="3">
        <v>5180.0</v>
      </c>
      <c r="B8854" s="4">
        <v>45424.69232638889</v>
      </c>
      <c r="C8854" s="3" t="s">
        <v>3</v>
      </c>
    </row>
    <row r="8855">
      <c r="A8855" s="3">
        <v>2838.0</v>
      </c>
      <c r="B8855" s="4">
        <v>45424.715902777774</v>
      </c>
      <c r="C8855" s="3" t="s">
        <v>3</v>
      </c>
    </row>
    <row r="8856">
      <c r="A8856" s="3">
        <v>6947.0</v>
      </c>
      <c r="B8856" s="4">
        <v>45424.72010416666</v>
      </c>
      <c r="C8856" s="3" t="s">
        <v>6</v>
      </c>
    </row>
    <row r="8857">
      <c r="A8857" s="3">
        <v>3928.0</v>
      </c>
      <c r="B8857" s="4">
        <v>45424.72783564815</v>
      </c>
      <c r="C8857" s="3" t="s">
        <v>4</v>
      </c>
    </row>
    <row r="8858">
      <c r="A8858" s="3">
        <v>7329.0</v>
      </c>
      <c r="B8858" s="4">
        <v>45424.79446759259</v>
      </c>
      <c r="C8858" s="3" t="s">
        <v>6</v>
      </c>
    </row>
    <row r="8859">
      <c r="A8859" s="3">
        <v>5395.0</v>
      </c>
      <c r="B8859" s="4">
        <v>45424.79824074074</v>
      </c>
      <c r="C8859" s="3" t="s">
        <v>7</v>
      </c>
    </row>
    <row r="8860">
      <c r="A8860" s="3">
        <v>2645.0</v>
      </c>
      <c r="B8860" s="4">
        <v>45424.810648148145</v>
      </c>
      <c r="C8860" s="3" t="s">
        <v>4</v>
      </c>
    </row>
    <row r="8861">
      <c r="A8861" s="3">
        <v>2055.0</v>
      </c>
      <c r="B8861" s="4">
        <v>45424.827523148146</v>
      </c>
      <c r="C8861" s="3" t="s">
        <v>3</v>
      </c>
    </row>
    <row r="8862">
      <c r="A8862" s="3">
        <v>4965.0</v>
      </c>
      <c r="B8862" s="4">
        <v>45424.83116898148</v>
      </c>
      <c r="C8862" s="3" t="s">
        <v>3</v>
      </c>
    </row>
    <row r="8863">
      <c r="A8863" s="3">
        <v>2339.0</v>
      </c>
      <c r="B8863" s="4">
        <v>45424.83335648148</v>
      </c>
      <c r="C8863" s="3" t="s">
        <v>4</v>
      </c>
    </row>
    <row r="8864">
      <c r="A8864" s="3">
        <v>2068.0</v>
      </c>
      <c r="B8864" s="4">
        <v>45424.83777777778</v>
      </c>
      <c r="C8864" s="3" t="s">
        <v>3</v>
      </c>
    </row>
    <row r="8865">
      <c r="A8865" s="3">
        <v>3137.0</v>
      </c>
      <c r="B8865" s="4">
        <v>45424.86690972222</v>
      </c>
      <c r="C8865" s="3" t="s">
        <v>3</v>
      </c>
    </row>
    <row r="8866">
      <c r="A8866" s="3">
        <v>6947.0</v>
      </c>
      <c r="B8866" s="4">
        <v>45424.8672337963</v>
      </c>
      <c r="C8866" s="3" t="s">
        <v>7</v>
      </c>
    </row>
    <row r="8867">
      <c r="A8867" s="3">
        <v>727.0</v>
      </c>
      <c r="B8867" s="4">
        <v>45424.868425925924</v>
      </c>
      <c r="C8867" s="3" t="s">
        <v>4</v>
      </c>
    </row>
    <row r="8868">
      <c r="A8868" s="3">
        <v>5817.0</v>
      </c>
      <c r="B8868" s="4">
        <v>45424.875243055554</v>
      </c>
      <c r="C8868" s="3" t="s">
        <v>4</v>
      </c>
    </row>
    <row r="8869">
      <c r="A8869" s="3">
        <v>795.0</v>
      </c>
      <c r="B8869" s="4">
        <v>45424.88486111111</v>
      </c>
      <c r="C8869" s="3" t="s">
        <v>3</v>
      </c>
    </row>
    <row r="8870">
      <c r="A8870" s="3">
        <v>7688.0</v>
      </c>
      <c r="B8870" s="4">
        <v>45424.894270833334</v>
      </c>
      <c r="C8870" s="3" t="s">
        <v>4</v>
      </c>
    </row>
    <row r="8871">
      <c r="A8871" s="3">
        <v>6241.0</v>
      </c>
      <c r="B8871" s="4">
        <v>45424.92288194445</v>
      </c>
      <c r="C8871" s="3" t="s">
        <v>3</v>
      </c>
    </row>
    <row r="8872">
      <c r="A8872" s="3">
        <v>2273.0</v>
      </c>
      <c r="B8872" s="4">
        <v>45424.92438657407</v>
      </c>
      <c r="C8872" s="3" t="s">
        <v>7</v>
      </c>
    </row>
    <row r="8873">
      <c r="A8873" s="3">
        <v>6804.0</v>
      </c>
      <c r="B8873" s="4">
        <v>45424.93739583333</v>
      </c>
      <c r="C8873" s="3" t="s">
        <v>6</v>
      </c>
    </row>
    <row r="8874">
      <c r="A8874" s="3">
        <v>1609.0</v>
      </c>
      <c r="B8874" s="4">
        <v>45424.954409722224</v>
      </c>
      <c r="C8874" s="3" t="s">
        <v>3</v>
      </c>
    </row>
    <row r="8875">
      <c r="A8875" s="3">
        <v>7794.0</v>
      </c>
      <c r="B8875" s="4">
        <v>45424.96288194445</v>
      </c>
      <c r="C8875" s="3" t="s">
        <v>3</v>
      </c>
    </row>
    <row r="8876">
      <c r="A8876" s="3">
        <v>5572.0</v>
      </c>
      <c r="B8876" s="4">
        <v>45424.96340277778</v>
      </c>
      <c r="C8876" s="3" t="s">
        <v>3</v>
      </c>
    </row>
    <row r="8877">
      <c r="A8877" s="3">
        <v>5101.0</v>
      </c>
      <c r="B8877" s="4">
        <v>45424.96834490741</v>
      </c>
      <c r="C8877" s="3" t="s">
        <v>3</v>
      </c>
    </row>
    <row r="8878">
      <c r="A8878" s="3">
        <v>5022.0</v>
      </c>
      <c r="B8878" s="4">
        <v>45424.97019675926</v>
      </c>
      <c r="C8878" s="3" t="s">
        <v>3</v>
      </c>
    </row>
    <row r="8879">
      <c r="A8879" s="3">
        <v>4395.0</v>
      </c>
      <c r="B8879" s="4">
        <v>45424.979467592595</v>
      </c>
      <c r="C8879" s="3" t="s">
        <v>6</v>
      </c>
    </row>
    <row r="8880">
      <c r="A8880" s="3">
        <v>6823.0</v>
      </c>
      <c r="B8880" s="4">
        <v>45424.985925925925</v>
      </c>
      <c r="C8880" s="3" t="s">
        <v>6</v>
      </c>
    </row>
    <row r="8881">
      <c r="A8881" s="3">
        <v>1321.0</v>
      </c>
      <c r="B8881" s="4">
        <v>45424.9874537037</v>
      </c>
      <c r="C8881" s="3" t="s">
        <v>3</v>
      </c>
    </row>
    <row r="8882">
      <c r="A8882" s="3">
        <v>2103.0</v>
      </c>
      <c r="B8882" s="4">
        <v>45424.990335648145</v>
      </c>
      <c r="C8882" s="3" t="s">
        <v>3</v>
      </c>
    </row>
    <row r="8883">
      <c r="A8883" s="3">
        <v>4845.0</v>
      </c>
      <c r="B8883" s="4">
        <v>45425.02820601852</v>
      </c>
      <c r="C8883" s="3" t="s">
        <v>6</v>
      </c>
    </row>
    <row r="8884">
      <c r="A8884" s="3">
        <v>5796.0</v>
      </c>
      <c r="B8884" s="4">
        <v>45425.0297337963</v>
      </c>
      <c r="C8884" s="3" t="s">
        <v>3</v>
      </c>
    </row>
    <row r="8885">
      <c r="A8885" s="3">
        <v>1609.0</v>
      </c>
      <c r="B8885" s="4">
        <v>45425.04476851852</v>
      </c>
      <c r="C8885" s="3" t="s">
        <v>5</v>
      </c>
    </row>
    <row r="8886">
      <c r="A8886" s="3">
        <v>7583.0</v>
      </c>
      <c r="B8886" s="4">
        <v>45425.06815972222</v>
      </c>
      <c r="C8886" s="3" t="s">
        <v>5</v>
      </c>
    </row>
    <row r="8887">
      <c r="A8887" s="3">
        <v>7583.0</v>
      </c>
      <c r="B8887" s="4">
        <v>45425.10575231481</v>
      </c>
      <c r="C8887" s="3" t="s">
        <v>3</v>
      </c>
    </row>
    <row r="8888">
      <c r="A8888" s="3">
        <v>997.0</v>
      </c>
      <c r="B8888" s="4">
        <v>45425.11015046296</v>
      </c>
      <c r="C8888" s="3" t="s">
        <v>3</v>
      </c>
    </row>
    <row r="8889">
      <c r="A8889" s="3">
        <v>7444.0</v>
      </c>
      <c r="B8889" s="4">
        <v>45425.13104166667</v>
      </c>
      <c r="C8889" s="3" t="s">
        <v>6</v>
      </c>
    </row>
    <row r="8890">
      <c r="A8890" s="3">
        <v>5295.0</v>
      </c>
      <c r="B8890" s="4">
        <v>45425.1325462963</v>
      </c>
      <c r="C8890" s="3" t="s">
        <v>7</v>
      </c>
    </row>
    <row r="8891">
      <c r="A8891" s="3">
        <v>6253.0</v>
      </c>
      <c r="B8891" s="4">
        <v>45425.15862268519</v>
      </c>
      <c r="C8891" s="3" t="s">
        <v>5</v>
      </c>
    </row>
    <row r="8892">
      <c r="A8892" s="3">
        <v>7060.0</v>
      </c>
      <c r="B8892" s="4">
        <v>45425.22751157408</v>
      </c>
      <c r="C8892" s="3" t="s">
        <v>3</v>
      </c>
    </row>
    <row r="8893">
      <c r="A8893" s="3">
        <v>1503.0</v>
      </c>
      <c r="B8893" s="4">
        <v>45425.249074074076</v>
      </c>
      <c r="C8893" s="3" t="s">
        <v>6</v>
      </c>
    </row>
    <row r="8894">
      <c r="A8894" s="3">
        <v>3358.0</v>
      </c>
      <c r="B8894" s="4">
        <v>45425.30107638889</v>
      </c>
      <c r="C8894" s="3" t="s">
        <v>6</v>
      </c>
    </row>
    <row r="8895">
      <c r="A8895" s="3">
        <v>3321.0</v>
      </c>
      <c r="B8895" s="4">
        <v>45425.307662037034</v>
      </c>
      <c r="C8895" s="3" t="s">
        <v>6</v>
      </c>
    </row>
    <row r="8896">
      <c r="A8896" s="3">
        <v>5267.0</v>
      </c>
      <c r="B8896" s="4">
        <v>45425.316828703704</v>
      </c>
      <c r="C8896" s="3" t="s">
        <v>6</v>
      </c>
    </row>
    <row r="8897">
      <c r="A8897" s="3">
        <v>627.0</v>
      </c>
      <c r="B8897" s="4">
        <v>45425.327361111114</v>
      </c>
      <c r="C8897" s="3" t="s">
        <v>3</v>
      </c>
    </row>
    <row r="8898">
      <c r="A8898" s="3">
        <v>438.0</v>
      </c>
      <c r="B8898" s="4">
        <v>45425.34107638889</v>
      </c>
      <c r="C8898" s="3" t="s">
        <v>6</v>
      </c>
    </row>
    <row r="8899">
      <c r="A8899" s="3">
        <v>2048.0</v>
      </c>
      <c r="B8899" s="4">
        <v>45425.3484375</v>
      </c>
      <c r="C8899" s="3" t="s">
        <v>3</v>
      </c>
    </row>
    <row r="8900">
      <c r="A8900" s="3">
        <v>6662.0</v>
      </c>
      <c r="B8900" s="4">
        <v>45425.368101851855</v>
      </c>
      <c r="C8900" s="3" t="s">
        <v>3</v>
      </c>
    </row>
    <row r="8901">
      <c r="A8901" s="3">
        <v>3274.0</v>
      </c>
      <c r="B8901" s="4">
        <v>45425.38315972222</v>
      </c>
      <c r="C8901" s="3" t="s">
        <v>3</v>
      </c>
    </row>
    <row r="8902">
      <c r="A8902" s="3">
        <v>3108.0</v>
      </c>
      <c r="B8902" s="4">
        <v>45425.38443287037</v>
      </c>
      <c r="C8902" s="3" t="s">
        <v>4</v>
      </c>
    </row>
    <row r="8903">
      <c r="A8903" s="3">
        <v>5629.0</v>
      </c>
      <c r="B8903" s="4">
        <v>45425.38673611111</v>
      </c>
      <c r="C8903" s="3" t="s">
        <v>3</v>
      </c>
    </row>
    <row r="8904">
      <c r="A8904" s="3">
        <v>5629.0</v>
      </c>
      <c r="B8904" s="4">
        <v>45425.40646990741</v>
      </c>
      <c r="C8904" s="3" t="s">
        <v>4</v>
      </c>
    </row>
    <row r="8905">
      <c r="A8905" s="3">
        <v>3264.0</v>
      </c>
      <c r="B8905" s="4">
        <v>45425.45009259259</v>
      </c>
      <c r="C8905" s="3" t="s">
        <v>3</v>
      </c>
    </row>
    <row r="8906">
      <c r="A8906" s="3">
        <v>6035.0</v>
      </c>
      <c r="B8906" s="4">
        <v>45425.4687962963</v>
      </c>
      <c r="C8906" s="3" t="s">
        <v>4</v>
      </c>
    </row>
    <row r="8907">
      <c r="A8907" s="3">
        <v>1619.0</v>
      </c>
      <c r="B8907" s="4">
        <v>45425.51262731481</v>
      </c>
      <c r="C8907" s="3" t="s">
        <v>5</v>
      </c>
    </row>
    <row r="8908">
      <c r="A8908" s="3">
        <v>4303.0</v>
      </c>
      <c r="B8908" s="4">
        <v>45425.514016203706</v>
      </c>
      <c r="C8908" s="3" t="s">
        <v>6</v>
      </c>
    </row>
    <row r="8909">
      <c r="A8909" s="3">
        <v>6215.0</v>
      </c>
      <c r="B8909" s="4">
        <v>45425.53864583333</v>
      </c>
      <c r="C8909" s="3" t="s">
        <v>3</v>
      </c>
    </row>
    <row r="8910">
      <c r="A8910" s="3">
        <v>356.0</v>
      </c>
      <c r="B8910" s="4">
        <v>45425.547118055554</v>
      </c>
      <c r="C8910" s="3" t="s">
        <v>3</v>
      </c>
    </row>
    <row r="8911">
      <c r="A8911" s="3">
        <v>6241.0</v>
      </c>
      <c r="B8911" s="4">
        <v>45425.55633101852</v>
      </c>
      <c r="C8911" s="3" t="s">
        <v>4</v>
      </c>
    </row>
    <row r="8912">
      <c r="A8912" s="3">
        <v>2449.0</v>
      </c>
      <c r="B8912" s="4">
        <v>45425.56324074074</v>
      </c>
      <c r="C8912" s="3" t="s">
        <v>3</v>
      </c>
    </row>
    <row r="8913">
      <c r="A8913" s="3">
        <v>7939.0</v>
      </c>
      <c r="B8913" s="4">
        <v>45425.59365740741</v>
      </c>
      <c r="C8913" s="3" t="s">
        <v>3</v>
      </c>
    </row>
    <row r="8914">
      <c r="A8914" s="3">
        <v>5784.0</v>
      </c>
      <c r="B8914" s="4">
        <v>45425.609247685185</v>
      </c>
      <c r="C8914" s="3" t="s">
        <v>5</v>
      </c>
    </row>
    <row r="8915">
      <c r="A8915" s="3">
        <v>3245.0</v>
      </c>
      <c r="B8915" s="4">
        <v>45425.609398148146</v>
      </c>
      <c r="C8915" s="3" t="s">
        <v>4</v>
      </c>
    </row>
    <row r="8916">
      <c r="A8916" s="3">
        <v>6253.0</v>
      </c>
      <c r="B8916" s="4">
        <v>45425.61424768518</v>
      </c>
      <c r="C8916" s="3" t="s">
        <v>7</v>
      </c>
    </row>
    <row r="8917">
      <c r="A8917" s="3">
        <v>1330.0</v>
      </c>
      <c r="B8917" s="4">
        <v>45425.6228125</v>
      </c>
      <c r="C8917" s="3" t="s">
        <v>3</v>
      </c>
    </row>
    <row r="8918">
      <c r="A8918" s="3">
        <v>795.0</v>
      </c>
      <c r="B8918" s="4">
        <v>45425.625555555554</v>
      </c>
      <c r="C8918" s="3" t="s">
        <v>6</v>
      </c>
    </row>
    <row r="8919">
      <c r="A8919" s="3">
        <v>6663.0</v>
      </c>
      <c r="B8919" s="4">
        <v>45425.63699074074</v>
      </c>
      <c r="C8919" s="3" t="s">
        <v>3</v>
      </c>
    </row>
    <row r="8920">
      <c r="A8920" s="3">
        <v>6035.0</v>
      </c>
      <c r="B8920" s="4">
        <v>45425.65336805556</v>
      </c>
      <c r="C8920" s="3" t="s">
        <v>3</v>
      </c>
    </row>
    <row r="8921">
      <c r="A8921" s="3">
        <v>5492.0</v>
      </c>
      <c r="B8921" s="4">
        <v>45425.66244212963</v>
      </c>
      <c r="C8921" s="3" t="s">
        <v>4</v>
      </c>
    </row>
    <row r="8922">
      <c r="A8922" s="3">
        <v>2339.0</v>
      </c>
      <c r="B8922" s="4">
        <v>45425.67171296296</v>
      </c>
      <c r="C8922" s="3" t="s">
        <v>5</v>
      </c>
    </row>
    <row r="8923">
      <c r="A8923" s="3">
        <v>2624.0</v>
      </c>
      <c r="B8923" s="4">
        <v>45425.676574074074</v>
      </c>
      <c r="C8923" s="3" t="s">
        <v>6</v>
      </c>
    </row>
    <row r="8924">
      <c r="A8924" s="3">
        <v>7900.0</v>
      </c>
      <c r="B8924" s="4">
        <v>45425.682025462964</v>
      </c>
      <c r="C8924" s="3" t="s">
        <v>6</v>
      </c>
    </row>
    <row r="8925">
      <c r="A8925" s="3">
        <v>5153.0</v>
      </c>
      <c r="B8925" s="4">
        <v>45425.684849537036</v>
      </c>
      <c r="C8925" s="3" t="s">
        <v>3</v>
      </c>
    </row>
    <row r="8926">
      <c r="A8926" s="3">
        <v>5923.0</v>
      </c>
      <c r="B8926" s="4">
        <v>45425.72337962963</v>
      </c>
      <c r="C8926" s="3" t="s">
        <v>6</v>
      </c>
    </row>
    <row r="8927">
      <c r="A8927" s="3">
        <v>5784.0</v>
      </c>
      <c r="B8927" s="4">
        <v>45425.78407407407</v>
      </c>
      <c r="C8927" s="3" t="s">
        <v>7</v>
      </c>
    </row>
    <row r="8928">
      <c r="A8928" s="3">
        <v>6294.0</v>
      </c>
      <c r="B8928" s="4">
        <v>45425.79138888889</v>
      </c>
      <c r="C8928" s="3" t="s">
        <v>3</v>
      </c>
    </row>
    <row r="8929">
      <c r="A8929" s="3">
        <v>1744.0</v>
      </c>
      <c r="B8929" s="4">
        <v>45425.805127314816</v>
      </c>
      <c r="C8929" s="3" t="s">
        <v>3</v>
      </c>
    </row>
    <row r="8930">
      <c r="A8930" s="3">
        <v>1321.0</v>
      </c>
      <c r="B8930" s="4">
        <v>45425.80887731481</v>
      </c>
      <c r="C8930" s="3" t="s">
        <v>4</v>
      </c>
    </row>
    <row r="8931">
      <c r="A8931" s="3">
        <v>1580.0</v>
      </c>
      <c r="B8931" s="4">
        <v>45425.8146875</v>
      </c>
      <c r="C8931" s="3" t="s">
        <v>3</v>
      </c>
    </row>
    <row r="8932">
      <c r="A8932" s="3">
        <v>2482.0</v>
      </c>
      <c r="B8932" s="4">
        <v>45425.841631944444</v>
      </c>
      <c r="C8932" s="3" t="s">
        <v>6</v>
      </c>
    </row>
    <row r="8933">
      <c r="A8933" s="3">
        <v>3613.0</v>
      </c>
      <c r="B8933" s="4">
        <v>45425.84811342593</v>
      </c>
      <c r="C8933" s="3" t="s">
        <v>6</v>
      </c>
    </row>
    <row r="8934">
      <c r="A8934" s="3">
        <v>5153.0</v>
      </c>
      <c r="B8934" s="4">
        <v>45425.85574074074</v>
      </c>
      <c r="C8934" s="3" t="s">
        <v>4</v>
      </c>
    </row>
    <row r="8935">
      <c r="A8935" s="3">
        <v>4196.0</v>
      </c>
      <c r="B8935" s="4">
        <v>45425.855844907404</v>
      </c>
      <c r="C8935" s="3" t="s">
        <v>6</v>
      </c>
    </row>
    <row r="8936">
      <c r="A8936" s="3">
        <v>7052.0</v>
      </c>
      <c r="B8936" s="4">
        <v>45425.89258101852</v>
      </c>
      <c r="C8936" s="3" t="s">
        <v>6</v>
      </c>
    </row>
    <row r="8937">
      <c r="A8937" s="3">
        <v>5492.0</v>
      </c>
      <c r="B8937" s="4">
        <v>45425.96239583333</v>
      </c>
      <c r="C8937" s="3" t="s">
        <v>3</v>
      </c>
    </row>
    <row r="8938">
      <c r="A8938" s="3">
        <v>6061.0</v>
      </c>
      <c r="B8938" s="4">
        <v>45425.962789351855</v>
      </c>
      <c r="C8938" s="3" t="s">
        <v>6</v>
      </c>
    </row>
    <row r="8939">
      <c r="A8939" s="3">
        <v>7900.0</v>
      </c>
      <c r="B8939" s="4">
        <v>45425.969039351854</v>
      </c>
      <c r="C8939" s="3" t="s">
        <v>7</v>
      </c>
    </row>
    <row r="8940">
      <c r="A8940" s="3">
        <v>4113.0</v>
      </c>
      <c r="B8940" s="4">
        <v>45425.97638888889</v>
      </c>
      <c r="C8940" s="3" t="s">
        <v>7</v>
      </c>
    </row>
    <row r="8941">
      <c r="A8941" s="3">
        <v>5825.0</v>
      </c>
      <c r="B8941" s="4">
        <v>45426.03770833334</v>
      </c>
      <c r="C8941" s="3" t="s">
        <v>7</v>
      </c>
    </row>
    <row r="8942">
      <c r="A8942" s="3">
        <v>7695.0</v>
      </c>
      <c r="B8942" s="4">
        <v>45426.084016203706</v>
      </c>
      <c r="C8942" s="3" t="s">
        <v>3</v>
      </c>
    </row>
    <row r="8943">
      <c r="A8943" s="3">
        <v>2087.0</v>
      </c>
      <c r="B8943" s="4">
        <v>45426.14616898148</v>
      </c>
      <c r="C8943" s="3" t="s">
        <v>3</v>
      </c>
    </row>
    <row r="8944">
      <c r="A8944" s="3">
        <v>2667.0</v>
      </c>
      <c r="B8944" s="4">
        <v>45426.1481712963</v>
      </c>
      <c r="C8944" s="3" t="s">
        <v>4</v>
      </c>
    </row>
    <row r="8945">
      <c r="A8945" s="3">
        <v>5629.0</v>
      </c>
      <c r="B8945" s="4">
        <v>45426.16068287037</v>
      </c>
      <c r="C8945" s="3" t="s">
        <v>5</v>
      </c>
    </row>
    <row r="8946">
      <c r="A8946" s="3">
        <v>430.0</v>
      </c>
      <c r="B8946" s="4">
        <v>45426.16334490741</v>
      </c>
      <c r="C8946" s="3" t="s">
        <v>4</v>
      </c>
    </row>
    <row r="8947">
      <c r="A8947" s="3">
        <v>6182.0</v>
      </c>
      <c r="B8947" s="4">
        <v>45426.169120370374</v>
      </c>
      <c r="C8947" s="3" t="s">
        <v>3</v>
      </c>
    </row>
    <row r="8948">
      <c r="A8948" s="3">
        <v>7794.0</v>
      </c>
      <c r="B8948" s="4">
        <v>45426.17915509259</v>
      </c>
      <c r="C8948" s="3" t="s">
        <v>6</v>
      </c>
    </row>
    <row r="8949">
      <c r="A8949" s="3">
        <v>7583.0</v>
      </c>
      <c r="B8949" s="4">
        <v>45426.18454861111</v>
      </c>
      <c r="C8949" s="3" t="s">
        <v>4</v>
      </c>
    </row>
    <row r="8950">
      <c r="A8950" s="3">
        <v>78.0</v>
      </c>
      <c r="B8950" s="4">
        <v>45426.188796296294</v>
      </c>
      <c r="C8950" s="3" t="s">
        <v>3</v>
      </c>
    </row>
    <row r="8951">
      <c r="A8951" s="3">
        <v>3108.0</v>
      </c>
      <c r="B8951" s="4">
        <v>45426.194872685184</v>
      </c>
      <c r="C8951" s="3" t="s">
        <v>6</v>
      </c>
    </row>
    <row r="8952">
      <c r="A8952" s="3">
        <v>2645.0</v>
      </c>
      <c r="B8952" s="4">
        <v>45426.19519675926</v>
      </c>
      <c r="C8952" s="3" t="s">
        <v>5</v>
      </c>
    </row>
    <row r="8953">
      <c r="A8953" s="3">
        <v>7908.0</v>
      </c>
      <c r="B8953" s="4">
        <v>45426.248136574075</v>
      </c>
      <c r="C8953" s="3" t="s">
        <v>6</v>
      </c>
    </row>
    <row r="8954">
      <c r="A8954" s="3">
        <v>6662.0</v>
      </c>
      <c r="B8954" s="4">
        <v>45426.27460648148</v>
      </c>
      <c r="C8954" s="3" t="s">
        <v>4</v>
      </c>
    </row>
    <row r="8955">
      <c r="A8955" s="3">
        <v>1264.0</v>
      </c>
      <c r="B8955" s="4">
        <v>45426.28238425926</v>
      </c>
      <c r="C8955" s="3" t="s">
        <v>3</v>
      </c>
    </row>
    <row r="8956">
      <c r="A8956" s="3">
        <v>6904.0</v>
      </c>
      <c r="B8956" s="4">
        <v>45426.306493055556</v>
      </c>
      <c r="C8956" s="3" t="s">
        <v>3</v>
      </c>
    </row>
    <row r="8957">
      <c r="A8957" s="3">
        <v>5189.0</v>
      </c>
      <c r="B8957" s="4">
        <v>45426.313310185185</v>
      </c>
      <c r="C8957" s="3" t="s">
        <v>3</v>
      </c>
    </row>
    <row r="8958">
      <c r="A8958" s="3">
        <v>4920.0</v>
      </c>
      <c r="B8958" s="4">
        <v>45426.32675925926</v>
      </c>
      <c r="C8958" s="3" t="s">
        <v>3</v>
      </c>
    </row>
    <row r="8959">
      <c r="A8959" s="3">
        <v>3379.0</v>
      </c>
      <c r="B8959" s="4">
        <v>45426.34112268518</v>
      </c>
      <c r="C8959" s="3" t="s">
        <v>3</v>
      </c>
    </row>
    <row r="8960">
      <c r="A8960" s="3">
        <v>1558.0</v>
      </c>
      <c r="B8960" s="4">
        <v>45426.357569444444</v>
      </c>
      <c r="C8960" s="3" t="s">
        <v>6</v>
      </c>
    </row>
    <row r="8961">
      <c r="A8961" s="3">
        <v>5180.0</v>
      </c>
      <c r="B8961" s="4">
        <v>45426.36172453704</v>
      </c>
      <c r="C8961" s="3" t="s">
        <v>4</v>
      </c>
    </row>
    <row r="8962">
      <c r="A8962" s="3">
        <v>430.0</v>
      </c>
      <c r="B8962" s="4">
        <v>45426.383368055554</v>
      </c>
      <c r="C8962" s="3" t="s">
        <v>3</v>
      </c>
    </row>
    <row r="8963">
      <c r="A8963" s="3">
        <v>7222.0</v>
      </c>
      <c r="B8963" s="4">
        <v>45426.39363425926</v>
      </c>
      <c r="C8963" s="3" t="s">
        <v>6</v>
      </c>
    </row>
    <row r="8964">
      <c r="A8964" s="3">
        <v>7734.0</v>
      </c>
      <c r="B8964" s="4">
        <v>45426.398935185185</v>
      </c>
      <c r="C8964" s="3" t="s">
        <v>3</v>
      </c>
    </row>
    <row r="8965">
      <c r="A8965" s="3">
        <v>4249.0</v>
      </c>
      <c r="B8965" s="4">
        <v>45426.403495370374</v>
      </c>
      <c r="C8965" s="3" t="s">
        <v>6</v>
      </c>
    </row>
    <row r="8966">
      <c r="A8966" s="3">
        <v>3200.0</v>
      </c>
      <c r="B8966" s="4">
        <v>45426.42181712963</v>
      </c>
      <c r="C8966" s="3" t="s">
        <v>5</v>
      </c>
    </row>
    <row r="8967">
      <c r="A8967" s="3">
        <v>5977.0</v>
      </c>
      <c r="B8967" s="4">
        <v>45426.43769675926</v>
      </c>
      <c r="C8967" s="3" t="s">
        <v>3</v>
      </c>
    </row>
    <row r="8968">
      <c r="A8968" s="3">
        <v>4355.0</v>
      </c>
      <c r="B8968" s="4">
        <v>45426.49988425926</v>
      </c>
      <c r="C8968" s="3" t="s">
        <v>3</v>
      </c>
    </row>
    <row r="8969">
      <c r="A8969" s="3">
        <v>5784.0</v>
      </c>
      <c r="B8969" s="4">
        <v>45426.55966435185</v>
      </c>
      <c r="C8969" s="3" t="s">
        <v>4</v>
      </c>
    </row>
    <row r="8970">
      <c r="A8970" s="3">
        <v>1609.0</v>
      </c>
      <c r="B8970" s="4">
        <v>45426.58335648148</v>
      </c>
      <c r="C8970" s="3" t="s">
        <v>4</v>
      </c>
    </row>
    <row r="8971">
      <c r="A8971" s="3">
        <v>1376.0</v>
      </c>
      <c r="B8971" s="4">
        <v>45426.59181712963</v>
      </c>
      <c r="C8971" s="3" t="s">
        <v>6</v>
      </c>
    </row>
    <row r="8972">
      <c r="A8972" s="3">
        <v>5825.0</v>
      </c>
      <c r="B8972" s="4">
        <v>45426.5940162037</v>
      </c>
      <c r="C8972" s="3" t="s">
        <v>6</v>
      </c>
    </row>
    <row r="8973">
      <c r="A8973" s="3">
        <v>3200.0</v>
      </c>
      <c r="B8973" s="4">
        <v>45426.600023148145</v>
      </c>
      <c r="C8973" s="3" t="s">
        <v>3</v>
      </c>
    </row>
    <row r="8974">
      <c r="A8974" s="3">
        <v>795.0</v>
      </c>
      <c r="B8974" s="4">
        <v>45426.63377314815</v>
      </c>
      <c r="C8974" s="3" t="s">
        <v>7</v>
      </c>
    </row>
    <row r="8975">
      <c r="A8975" s="3">
        <v>3579.0</v>
      </c>
      <c r="B8975" s="4">
        <v>45426.63793981481</v>
      </c>
      <c r="C8975" s="3" t="s">
        <v>3</v>
      </c>
    </row>
    <row r="8976">
      <c r="A8976" s="3">
        <v>4395.0</v>
      </c>
      <c r="B8976" s="4">
        <v>45426.638703703706</v>
      </c>
      <c r="C8976" s="3" t="s">
        <v>7</v>
      </c>
    </row>
    <row r="8977">
      <c r="A8977" s="3">
        <v>6308.0</v>
      </c>
      <c r="B8977" s="4">
        <v>45426.646006944444</v>
      </c>
      <c r="C8977" s="3" t="s">
        <v>4</v>
      </c>
    </row>
    <row r="8978">
      <c r="A8978" s="3">
        <v>5101.0</v>
      </c>
      <c r="B8978" s="4">
        <v>45426.70085648148</v>
      </c>
      <c r="C8978" s="3" t="s">
        <v>5</v>
      </c>
    </row>
    <row r="8979">
      <c r="A8979" s="3">
        <v>6913.0</v>
      </c>
      <c r="B8979" s="4">
        <v>45426.71413194444</v>
      </c>
      <c r="C8979" s="3" t="s">
        <v>4</v>
      </c>
    </row>
    <row r="8980">
      <c r="A8980" s="3">
        <v>5865.0</v>
      </c>
      <c r="B8980" s="4">
        <v>45426.74413194445</v>
      </c>
      <c r="C8980" s="3" t="s">
        <v>3</v>
      </c>
    </row>
    <row r="8981">
      <c r="A8981" s="3">
        <v>5817.0</v>
      </c>
      <c r="B8981" s="4">
        <v>45426.76871527778</v>
      </c>
      <c r="C8981" s="3" t="s">
        <v>6</v>
      </c>
    </row>
    <row r="8982">
      <c r="A8982" s="3">
        <v>2645.0</v>
      </c>
      <c r="B8982" s="4">
        <v>45426.78739583334</v>
      </c>
      <c r="C8982" s="3" t="s">
        <v>6</v>
      </c>
    </row>
    <row r="8983">
      <c r="A8983" s="3">
        <v>3026.0</v>
      </c>
      <c r="B8983" s="4">
        <v>45426.78836805555</v>
      </c>
      <c r="C8983" s="3" t="s">
        <v>7</v>
      </c>
    </row>
    <row r="8984">
      <c r="A8984" s="3">
        <v>4511.0</v>
      </c>
      <c r="B8984" s="4">
        <v>45426.79640046296</v>
      </c>
      <c r="C8984" s="3" t="s">
        <v>3</v>
      </c>
    </row>
    <row r="8985">
      <c r="A8985" s="3">
        <v>5429.0</v>
      </c>
      <c r="B8985" s="4">
        <v>45426.82145833333</v>
      </c>
      <c r="C8985" s="3" t="s">
        <v>3</v>
      </c>
    </row>
    <row r="8986">
      <c r="A8986" s="3">
        <v>7795.0</v>
      </c>
      <c r="B8986" s="4">
        <v>45426.84091435185</v>
      </c>
      <c r="C8986" s="3" t="s">
        <v>3</v>
      </c>
    </row>
    <row r="8987">
      <c r="A8987" s="3">
        <v>2273.0</v>
      </c>
      <c r="B8987" s="4">
        <v>45426.84758101852</v>
      </c>
      <c r="C8987" s="3" t="s">
        <v>6</v>
      </c>
    </row>
    <row r="8988">
      <c r="A8988" s="3">
        <v>2048.0</v>
      </c>
      <c r="B8988" s="4">
        <v>45426.859618055554</v>
      </c>
      <c r="C8988" s="3" t="s">
        <v>4</v>
      </c>
    </row>
    <row r="8989">
      <c r="A8989" s="3">
        <v>997.0</v>
      </c>
      <c r="B8989" s="4">
        <v>45426.86153935185</v>
      </c>
      <c r="C8989" s="3" t="s">
        <v>4</v>
      </c>
    </row>
    <row r="8990">
      <c r="A8990" s="3">
        <v>5492.0</v>
      </c>
      <c r="B8990" s="4">
        <v>45426.8644212963</v>
      </c>
      <c r="C8990" s="3" t="s">
        <v>7</v>
      </c>
    </row>
    <row r="8991">
      <c r="A8991" s="3">
        <v>1579.0</v>
      </c>
      <c r="B8991" s="4">
        <v>45426.88746527778</v>
      </c>
      <c r="C8991" s="3" t="s">
        <v>7</v>
      </c>
    </row>
    <row r="8992">
      <c r="A8992" s="3">
        <v>5881.0</v>
      </c>
      <c r="B8992" s="4">
        <v>45426.91515046296</v>
      </c>
      <c r="C8992" s="3" t="s">
        <v>3</v>
      </c>
    </row>
    <row r="8993">
      <c r="A8993" s="3">
        <v>1098.0</v>
      </c>
      <c r="B8993" s="4">
        <v>45426.92805555555</v>
      </c>
      <c r="C8993" s="3" t="s">
        <v>7</v>
      </c>
    </row>
    <row r="8994">
      <c r="A8994" s="3">
        <v>7688.0</v>
      </c>
      <c r="B8994" s="4">
        <v>45426.93487268518</v>
      </c>
      <c r="C8994" s="3" t="s">
        <v>5</v>
      </c>
    </row>
    <row r="8995">
      <c r="A8995" s="3">
        <v>795.0</v>
      </c>
      <c r="B8995" s="4">
        <v>45426.939375</v>
      </c>
      <c r="C8995" s="3" t="s">
        <v>4</v>
      </c>
    </row>
    <row r="8996">
      <c r="A8996" s="3">
        <v>7688.0</v>
      </c>
      <c r="B8996" s="4">
        <v>45426.95846064815</v>
      </c>
      <c r="C8996" s="3" t="s">
        <v>6</v>
      </c>
    </row>
    <row r="8997">
      <c r="A8997" s="3">
        <v>6648.0</v>
      </c>
      <c r="B8997" s="4">
        <v>45426.963692129626</v>
      </c>
      <c r="C8997" s="3" t="s">
        <v>6</v>
      </c>
    </row>
    <row r="8998">
      <c r="A8998" s="3">
        <v>2645.0</v>
      </c>
      <c r="B8998" s="4">
        <v>45426.98819444444</v>
      </c>
      <c r="C8998" s="3" t="s">
        <v>7</v>
      </c>
    </row>
    <row r="8999">
      <c r="A8999" s="3">
        <v>4625.0</v>
      </c>
      <c r="B8999" s="4">
        <v>45426.99574074074</v>
      </c>
      <c r="C8999" s="3" t="s">
        <v>4</v>
      </c>
    </row>
    <row r="9000">
      <c r="A9000" s="3">
        <v>605.0</v>
      </c>
      <c r="B9000" s="4">
        <v>45427.00341435185</v>
      </c>
      <c r="C9000" s="3" t="s">
        <v>3</v>
      </c>
    </row>
    <row r="9001">
      <c r="A9001" s="3">
        <v>3274.0</v>
      </c>
      <c r="B9001" s="4">
        <v>45427.023877314816</v>
      </c>
      <c r="C9001" s="3" t="s">
        <v>4</v>
      </c>
    </row>
    <row r="9002">
      <c r="A9002" s="3">
        <v>2402.0</v>
      </c>
      <c r="B9002" s="4">
        <v>45427.05716435185</v>
      </c>
      <c r="C9002" s="3" t="s">
        <v>3</v>
      </c>
    </row>
    <row r="9003">
      <c r="A9003" s="3">
        <v>6310.0</v>
      </c>
      <c r="B9003" s="4">
        <v>45427.068344907406</v>
      </c>
      <c r="C9003" s="3" t="s">
        <v>5</v>
      </c>
    </row>
    <row r="9004">
      <c r="A9004" s="3">
        <v>3069.0</v>
      </c>
      <c r="B9004" s="4">
        <v>45427.070914351854</v>
      </c>
      <c r="C9004" s="3" t="s">
        <v>3</v>
      </c>
    </row>
    <row r="9005">
      <c r="A9005" s="3">
        <v>1580.0</v>
      </c>
      <c r="B9005" s="4">
        <v>45427.090729166666</v>
      </c>
      <c r="C9005" s="3" t="s">
        <v>4</v>
      </c>
    </row>
    <row r="9006">
      <c r="A9006" s="3">
        <v>806.0</v>
      </c>
      <c r="B9006" s="4">
        <v>45427.11363425926</v>
      </c>
      <c r="C9006" s="3" t="s">
        <v>6</v>
      </c>
    </row>
    <row r="9007">
      <c r="A9007" s="3">
        <v>4249.0</v>
      </c>
      <c r="B9007" s="4">
        <v>45427.11715277778</v>
      </c>
      <c r="C9007" s="3" t="s">
        <v>7</v>
      </c>
    </row>
    <row r="9008">
      <c r="A9008" s="3">
        <v>3704.0</v>
      </c>
      <c r="B9008" s="4">
        <v>45427.17611111111</v>
      </c>
      <c r="C9008" s="3" t="s">
        <v>6</v>
      </c>
    </row>
    <row r="9009">
      <c r="A9009" s="3">
        <v>5637.0</v>
      </c>
      <c r="B9009" s="4">
        <v>45427.18377314815</v>
      </c>
      <c r="C9009" s="3" t="s">
        <v>3</v>
      </c>
    </row>
    <row r="9010">
      <c r="A9010" s="3">
        <v>6394.0</v>
      </c>
      <c r="B9010" s="4">
        <v>45427.19385416667</v>
      </c>
      <c r="C9010" s="3" t="s">
        <v>3</v>
      </c>
    </row>
    <row r="9011">
      <c r="A9011" s="3">
        <v>6310.0</v>
      </c>
      <c r="B9011" s="4">
        <v>45427.21679398148</v>
      </c>
      <c r="C9011" s="3" t="s">
        <v>3</v>
      </c>
    </row>
    <row r="9012">
      <c r="A9012" s="3">
        <v>5982.0</v>
      </c>
      <c r="B9012" s="4">
        <v>45427.24586805556</v>
      </c>
      <c r="C9012" s="3" t="s">
        <v>3</v>
      </c>
    </row>
    <row r="9013">
      <c r="A9013" s="3">
        <v>529.0</v>
      </c>
      <c r="B9013" s="4">
        <v>45427.25241898148</v>
      </c>
      <c r="C9013" s="3" t="s">
        <v>3</v>
      </c>
    </row>
    <row r="9014">
      <c r="A9014" s="3">
        <v>1332.0</v>
      </c>
      <c r="B9014" s="4">
        <v>45427.26091435185</v>
      </c>
      <c r="C9014" s="3" t="s">
        <v>3</v>
      </c>
    </row>
    <row r="9015">
      <c r="A9015" s="3">
        <v>6426.0</v>
      </c>
      <c r="B9015" s="4">
        <v>45427.29491898148</v>
      </c>
      <c r="C9015" s="3" t="s">
        <v>6</v>
      </c>
    </row>
    <row r="9016">
      <c r="A9016" s="3">
        <v>3026.0</v>
      </c>
      <c r="B9016" s="4">
        <v>45427.33837962963</v>
      </c>
      <c r="C9016" s="3" t="s">
        <v>5</v>
      </c>
    </row>
    <row r="9017">
      <c r="A9017" s="3">
        <v>2435.0</v>
      </c>
      <c r="B9017" s="4">
        <v>45427.35643518518</v>
      </c>
      <c r="C9017" s="3" t="s">
        <v>3</v>
      </c>
    </row>
    <row r="9018">
      <c r="A9018" s="3">
        <v>1216.0</v>
      </c>
      <c r="B9018" s="4">
        <v>45427.38193287037</v>
      </c>
      <c r="C9018" s="3" t="s">
        <v>6</v>
      </c>
    </row>
    <row r="9019">
      <c r="A9019" s="3">
        <v>5492.0</v>
      </c>
      <c r="B9019" s="4">
        <v>45427.38353009259</v>
      </c>
      <c r="C9019" s="3" t="s">
        <v>6</v>
      </c>
    </row>
    <row r="9020">
      <c r="A9020" s="3">
        <v>3928.0</v>
      </c>
      <c r="B9020" s="4">
        <v>45427.40729166667</v>
      </c>
      <c r="C9020" s="3" t="s">
        <v>5</v>
      </c>
    </row>
    <row r="9021">
      <c r="A9021" s="3">
        <v>529.0</v>
      </c>
      <c r="B9021" s="4">
        <v>45427.40730324074</v>
      </c>
      <c r="C9021" s="3" t="s">
        <v>4</v>
      </c>
    </row>
    <row r="9022">
      <c r="A9022" s="3">
        <v>3200.0</v>
      </c>
      <c r="B9022" s="4">
        <v>45427.409467592595</v>
      </c>
      <c r="C9022" s="3" t="s">
        <v>7</v>
      </c>
    </row>
    <row r="9023">
      <c r="A9023" s="3">
        <v>997.0</v>
      </c>
      <c r="B9023" s="4">
        <v>45427.44362268518</v>
      </c>
      <c r="C9023" s="3" t="s">
        <v>5</v>
      </c>
    </row>
    <row r="9024">
      <c r="A9024" s="3">
        <v>605.0</v>
      </c>
      <c r="B9024" s="4">
        <v>45427.45825231481</v>
      </c>
      <c r="C9024" s="3" t="s">
        <v>4</v>
      </c>
    </row>
    <row r="9025">
      <c r="A9025" s="3">
        <v>3264.0</v>
      </c>
      <c r="B9025" s="4">
        <v>45427.474224537036</v>
      </c>
      <c r="C9025" s="3" t="s">
        <v>4</v>
      </c>
    </row>
    <row r="9026">
      <c r="A9026" s="3">
        <v>4788.0</v>
      </c>
      <c r="B9026" s="4">
        <v>45427.487962962965</v>
      </c>
      <c r="C9026" s="3" t="s">
        <v>3</v>
      </c>
    </row>
    <row r="9027">
      <c r="A9027" s="3">
        <v>5234.0</v>
      </c>
      <c r="B9027" s="4">
        <v>45427.49134259259</v>
      </c>
      <c r="C9027" s="3" t="s">
        <v>3</v>
      </c>
    </row>
    <row r="9028">
      <c r="A9028" s="3">
        <v>6182.0</v>
      </c>
      <c r="B9028" s="4">
        <v>45427.496516203704</v>
      </c>
      <c r="C9028" s="3" t="s">
        <v>4</v>
      </c>
    </row>
    <row r="9029">
      <c r="A9029" s="3">
        <v>6094.0</v>
      </c>
      <c r="B9029" s="4">
        <v>45427.516493055555</v>
      </c>
      <c r="C9029" s="3" t="s">
        <v>3</v>
      </c>
    </row>
    <row r="9030">
      <c r="A9030" s="3">
        <v>38.0</v>
      </c>
      <c r="B9030" s="4">
        <v>45427.52925925926</v>
      </c>
      <c r="C9030" s="3" t="s">
        <v>3</v>
      </c>
    </row>
    <row r="9031">
      <c r="A9031" s="3">
        <v>2514.0</v>
      </c>
      <c r="B9031" s="4">
        <v>45427.6015625</v>
      </c>
      <c r="C9031" s="3" t="s">
        <v>3</v>
      </c>
    </row>
    <row r="9032">
      <c r="A9032" s="3">
        <v>3245.0</v>
      </c>
      <c r="B9032" s="4">
        <v>45427.67621527778</v>
      </c>
      <c r="C9032" s="3" t="s">
        <v>6</v>
      </c>
    </row>
    <row r="9033">
      <c r="A9033" s="3">
        <v>6614.0</v>
      </c>
      <c r="B9033" s="4">
        <v>45427.72085648148</v>
      </c>
      <c r="C9033" s="3" t="s">
        <v>7</v>
      </c>
    </row>
    <row r="9034">
      <c r="A9034" s="3">
        <v>6614.0</v>
      </c>
      <c r="B9034" s="4">
        <v>45427.73824074074</v>
      </c>
      <c r="C9034" s="3" t="s">
        <v>5</v>
      </c>
    </row>
    <row r="9035">
      <c r="A9035" s="3">
        <v>5153.0</v>
      </c>
      <c r="B9035" s="4">
        <v>45427.74086805555</v>
      </c>
      <c r="C9035" s="3" t="s">
        <v>7</v>
      </c>
    </row>
    <row r="9036">
      <c r="A9036" s="3">
        <v>1227.0</v>
      </c>
      <c r="B9036" s="4">
        <v>45427.76168981481</v>
      </c>
      <c r="C9036" s="3" t="s">
        <v>3</v>
      </c>
    </row>
    <row r="9037">
      <c r="A9037" s="3">
        <v>356.0</v>
      </c>
      <c r="B9037" s="4">
        <v>45427.79109953704</v>
      </c>
      <c r="C9037" s="3" t="s">
        <v>4</v>
      </c>
    </row>
    <row r="9038">
      <c r="A9038" s="3">
        <v>3200.0</v>
      </c>
      <c r="B9038" s="4">
        <v>45427.79415509259</v>
      </c>
      <c r="C9038" s="3" t="s">
        <v>4</v>
      </c>
    </row>
    <row r="9039">
      <c r="A9039" s="3">
        <v>6821.0</v>
      </c>
      <c r="B9039" s="4">
        <v>45427.813564814816</v>
      </c>
      <c r="C9039" s="3" t="s">
        <v>3</v>
      </c>
    </row>
    <row r="9040">
      <c r="A9040" s="3">
        <v>438.0</v>
      </c>
      <c r="B9040" s="4">
        <v>45427.823217592595</v>
      </c>
      <c r="C9040" s="3" t="s">
        <v>7</v>
      </c>
    </row>
    <row r="9041">
      <c r="A9041" s="3">
        <v>374.0</v>
      </c>
      <c r="B9041" s="4">
        <v>45427.85940972222</v>
      </c>
      <c r="C9041" s="3" t="s">
        <v>6</v>
      </c>
    </row>
    <row r="9042">
      <c r="A9042" s="3">
        <v>1676.0</v>
      </c>
      <c r="B9042" s="4">
        <v>45427.88607638889</v>
      </c>
      <c r="C9042" s="3" t="s">
        <v>3</v>
      </c>
    </row>
    <row r="9043">
      <c r="A9043" s="3">
        <v>3576.0</v>
      </c>
      <c r="B9043" s="4">
        <v>45427.89173611111</v>
      </c>
      <c r="C9043" s="3" t="s">
        <v>3</v>
      </c>
    </row>
    <row r="9044">
      <c r="A9044" s="3">
        <v>5881.0</v>
      </c>
      <c r="B9044" s="4">
        <v>45427.89697916667</v>
      </c>
      <c r="C9044" s="3" t="s">
        <v>7</v>
      </c>
    </row>
    <row r="9045">
      <c r="A9045" s="3">
        <v>1423.0</v>
      </c>
      <c r="B9045" s="4">
        <v>45427.903020833335</v>
      </c>
      <c r="C9045" s="3" t="s">
        <v>3</v>
      </c>
    </row>
    <row r="9046">
      <c r="A9046" s="3">
        <v>4590.0</v>
      </c>
      <c r="B9046" s="4">
        <v>45427.945925925924</v>
      </c>
      <c r="C9046" s="3" t="s">
        <v>3</v>
      </c>
    </row>
    <row r="9047">
      <c r="A9047" s="3">
        <v>7399.0</v>
      </c>
      <c r="B9047" s="4">
        <v>45427.953668981485</v>
      </c>
      <c r="C9047" s="3" t="s">
        <v>3</v>
      </c>
    </row>
    <row r="9048">
      <c r="A9048" s="3">
        <v>4988.0</v>
      </c>
      <c r="B9048" s="4">
        <v>45427.96775462963</v>
      </c>
      <c r="C9048" s="3" t="s">
        <v>3</v>
      </c>
    </row>
    <row r="9049">
      <c r="A9049" s="3">
        <v>3359.0</v>
      </c>
      <c r="B9049" s="4">
        <v>45428.000393518516</v>
      </c>
      <c r="C9049" s="3" t="s">
        <v>4</v>
      </c>
    </row>
    <row r="9050">
      <c r="A9050" s="3">
        <v>2571.0</v>
      </c>
      <c r="B9050" s="4">
        <v>45428.003217592595</v>
      </c>
      <c r="C9050" s="3" t="s">
        <v>3</v>
      </c>
    </row>
    <row r="9051">
      <c r="A9051" s="3">
        <v>6032.0</v>
      </c>
      <c r="B9051" s="4">
        <v>45428.00460648148</v>
      </c>
      <c r="C9051" s="3" t="s">
        <v>3</v>
      </c>
    </row>
    <row r="9052">
      <c r="A9052" s="3">
        <v>4788.0</v>
      </c>
      <c r="B9052" s="4">
        <v>45428.01280092593</v>
      </c>
      <c r="C9052" s="3" t="s">
        <v>4</v>
      </c>
    </row>
    <row r="9053">
      <c r="A9053" s="3">
        <v>748.0</v>
      </c>
      <c r="B9053" s="4">
        <v>45428.01636574074</v>
      </c>
      <c r="C9053" s="3" t="s">
        <v>3</v>
      </c>
    </row>
    <row r="9054">
      <c r="A9054" s="3">
        <v>5101.0</v>
      </c>
      <c r="B9054" s="4">
        <v>45428.04414351852</v>
      </c>
      <c r="C9054" s="3" t="s">
        <v>6</v>
      </c>
    </row>
    <row r="9055">
      <c r="A9055" s="3">
        <v>1555.0</v>
      </c>
      <c r="B9055" s="4">
        <v>45428.05243055556</v>
      </c>
      <c r="C9055" s="3" t="s">
        <v>3</v>
      </c>
    </row>
    <row r="9056">
      <c r="A9056" s="3">
        <v>6675.0</v>
      </c>
      <c r="B9056" s="4">
        <v>45428.06875</v>
      </c>
      <c r="C9056" s="3" t="s">
        <v>6</v>
      </c>
    </row>
    <row r="9057">
      <c r="A9057" s="3">
        <v>4601.0</v>
      </c>
      <c r="B9057" s="4">
        <v>45428.084548611114</v>
      </c>
      <c r="C9057" s="3" t="s">
        <v>3</v>
      </c>
    </row>
    <row r="9058">
      <c r="A9058" s="3">
        <v>7215.0</v>
      </c>
      <c r="B9058" s="4">
        <v>45428.095347222225</v>
      </c>
      <c r="C9058" s="3" t="s">
        <v>3</v>
      </c>
    </row>
    <row r="9059">
      <c r="A9059" s="3">
        <v>4012.0</v>
      </c>
      <c r="B9059" s="4">
        <v>45428.11651620371</v>
      </c>
      <c r="C9059" s="3" t="s">
        <v>3</v>
      </c>
    </row>
    <row r="9060">
      <c r="A9060" s="3">
        <v>1227.0</v>
      </c>
      <c r="B9060" s="4">
        <v>45428.12633101852</v>
      </c>
      <c r="C9060" s="3" t="s">
        <v>4</v>
      </c>
    </row>
    <row r="9061">
      <c r="A9061" s="3">
        <v>3359.0</v>
      </c>
      <c r="B9061" s="4">
        <v>45428.160625</v>
      </c>
      <c r="C9061" s="3" t="s">
        <v>5</v>
      </c>
    </row>
    <row r="9062">
      <c r="A9062" s="3">
        <v>1047.0</v>
      </c>
      <c r="B9062" s="4">
        <v>45428.19215277778</v>
      </c>
      <c r="C9062" s="3" t="s">
        <v>3</v>
      </c>
    </row>
    <row r="9063">
      <c r="A9063" s="3">
        <v>5597.0</v>
      </c>
      <c r="B9063" s="4">
        <v>45428.268379629626</v>
      </c>
      <c r="C9063" s="3" t="s">
        <v>3</v>
      </c>
    </row>
    <row r="9064">
      <c r="A9064" s="3">
        <v>2514.0</v>
      </c>
      <c r="B9064" s="4">
        <v>45428.282743055555</v>
      </c>
      <c r="C9064" s="3" t="s">
        <v>4</v>
      </c>
    </row>
    <row r="9065">
      <c r="A9065" s="3">
        <v>7695.0</v>
      </c>
      <c r="B9065" s="4">
        <v>45428.30131944444</v>
      </c>
      <c r="C9065" s="3" t="s">
        <v>4</v>
      </c>
    </row>
    <row r="9066">
      <c r="A9066" s="3">
        <v>605.0</v>
      </c>
      <c r="B9066" s="4">
        <v>45428.33425925926</v>
      </c>
      <c r="C9066" s="3" t="s">
        <v>5</v>
      </c>
    </row>
    <row r="9067">
      <c r="A9067" s="3">
        <v>1423.0</v>
      </c>
      <c r="B9067" s="4">
        <v>45428.3571875</v>
      </c>
      <c r="C9067" s="3" t="s">
        <v>4</v>
      </c>
    </row>
    <row r="9068">
      <c r="A9068" s="3">
        <v>7399.0</v>
      </c>
      <c r="B9068" s="4">
        <v>45428.37758101852</v>
      </c>
      <c r="C9068" s="3" t="s">
        <v>5</v>
      </c>
    </row>
    <row r="9069">
      <c r="A9069" s="3">
        <v>1609.0</v>
      </c>
      <c r="B9069" s="4">
        <v>45428.37834490741</v>
      </c>
      <c r="C9069" s="3" t="s">
        <v>6</v>
      </c>
    </row>
    <row r="9070">
      <c r="A9070" s="3">
        <v>430.0</v>
      </c>
      <c r="B9070" s="4">
        <v>45428.40025462963</v>
      </c>
      <c r="C9070" s="3" t="s">
        <v>5</v>
      </c>
    </row>
    <row r="9071">
      <c r="A9071" s="3">
        <v>38.0</v>
      </c>
      <c r="B9071" s="4">
        <v>45428.437627314815</v>
      </c>
      <c r="C9071" s="3" t="s">
        <v>4</v>
      </c>
    </row>
    <row r="9072">
      <c r="A9072" s="3">
        <v>7899.0</v>
      </c>
      <c r="B9072" s="4">
        <v>45428.45799768518</v>
      </c>
      <c r="C9072" s="3" t="s">
        <v>5</v>
      </c>
    </row>
    <row r="9073">
      <c r="A9073" s="3">
        <v>2536.0</v>
      </c>
      <c r="B9073" s="4">
        <v>45428.463692129626</v>
      </c>
      <c r="C9073" s="3" t="s">
        <v>3</v>
      </c>
    </row>
    <row r="9074">
      <c r="A9074" s="3">
        <v>2951.0</v>
      </c>
      <c r="B9074" s="4">
        <v>45428.47373842593</v>
      </c>
      <c r="C9074" s="3" t="s">
        <v>3</v>
      </c>
    </row>
    <row r="9075">
      <c r="A9075" s="3">
        <v>4305.0</v>
      </c>
      <c r="B9075" s="4">
        <v>45428.50931712963</v>
      </c>
      <c r="C9075" s="3" t="s">
        <v>3</v>
      </c>
    </row>
    <row r="9076">
      <c r="A9076" s="3">
        <v>6367.0</v>
      </c>
      <c r="B9076" s="4">
        <v>45428.51193287037</v>
      </c>
      <c r="C9076" s="3" t="s">
        <v>3</v>
      </c>
    </row>
    <row r="9077">
      <c r="A9077" s="3">
        <v>2864.0</v>
      </c>
      <c r="B9077" s="4">
        <v>45428.5203125</v>
      </c>
      <c r="C9077" s="3" t="s">
        <v>3</v>
      </c>
    </row>
    <row r="9078">
      <c r="A9078" s="3">
        <v>4562.0</v>
      </c>
      <c r="B9078" s="4">
        <v>45428.52153935185</v>
      </c>
      <c r="C9078" s="3" t="s">
        <v>3</v>
      </c>
    </row>
    <row r="9079">
      <c r="A9079" s="3">
        <v>5294.0</v>
      </c>
      <c r="B9079" s="4">
        <v>45428.5216087963</v>
      </c>
      <c r="C9079" s="3" t="s">
        <v>3</v>
      </c>
    </row>
    <row r="9080">
      <c r="A9080" s="3">
        <v>5788.0</v>
      </c>
      <c r="B9080" s="4">
        <v>45428.5531712963</v>
      </c>
      <c r="C9080" s="3" t="s">
        <v>3</v>
      </c>
    </row>
    <row r="9081">
      <c r="A9081" s="3">
        <v>7519.0</v>
      </c>
      <c r="B9081" s="4">
        <v>45428.593506944446</v>
      </c>
      <c r="C9081" s="3" t="s">
        <v>6</v>
      </c>
    </row>
    <row r="9082">
      <c r="A9082" s="3">
        <v>1961.0</v>
      </c>
      <c r="B9082" s="4">
        <v>45428.60457175926</v>
      </c>
      <c r="C9082" s="3" t="s">
        <v>3</v>
      </c>
    </row>
    <row r="9083">
      <c r="A9083" s="3">
        <v>3379.0</v>
      </c>
      <c r="B9083" s="4">
        <v>45428.61832175926</v>
      </c>
      <c r="C9083" s="3" t="s">
        <v>4</v>
      </c>
    </row>
    <row r="9084">
      <c r="A9084" s="3">
        <v>6615.0</v>
      </c>
      <c r="B9084" s="4">
        <v>45428.64673611111</v>
      </c>
      <c r="C9084" s="3" t="s">
        <v>3</v>
      </c>
    </row>
    <row r="9085">
      <c r="A9085" s="3">
        <v>6627.0</v>
      </c>
      <c r="B9085" s="4">
        <v>45428.663125</v>
      </c>
      <c r="C9085" s="3" t="s">
        <v>3</v>
      </c>
    </row>
    <row r="9086">
      <c r="A9086" s="3">
        <v>7794.0</v>
      </c>
      <c r="B9086" s="4">
        <v>45428.66480324074</v>
      </c>
      <c r="C9086" s="3" t="s">
        <v>7</v>
      </c>
    </row>
    <row r="9087">
      <c r="A9087" s="3">
        <v>6615.0</v>
      </c>
      <c r="B9087" s="4">
        <v>45428.66521990741</v>
      </c>
      <c r="C9087" s="3" t="s">
        <v>4</v>
      </c>
    </row>
    <row r="9088">
      <c r="A9088" s="3">
        <v>7942.0</v>
      </c>
      <c r="B9088" s="4">
        <v>45428.68929398148</v>
      </c>
      <c r="C9088" s="3" t="s">
        <v>3</v>
      </c>
    </row>
    <row r="9089">
      <c r="A9089" s="3">
        <v>6662.0</v>
      </c>
      <c r="B9089" s="4">
        <v>45428.691655092596</v>
      </c>
      <c r="C9089" s="3" t="s">
        <v>5</v>
      </c>
    </row>
    <row r="9090">
      <c r="A9090" s="3">
        <v>7399.0</v>
      </c>
      <c r="B9090" s="4">
        <v>45428.69495370371</v>
      </c>
      <c r="C9090" s="3" t="s">
        <v>4</v>
      </c>
    </row>
    <row r="9091">
      <c r="A9091" s="3">
        <v>3359.0</v>
      </c>
      <c r="B9091" s="4">
        <v>45428.697962962964</v>
      </c>
      <c r="C9091" s="3" t="s">
        <v>3</v>
      </c>
    </row>
    <row r="9092">
      <c r="A9092" s="3">
        <v>7942.0</v>
      </c>
      <c r="B9092" s="4">
        <v>45428.71763888889</v>
      </c>
      <c r="C9092" s="3" t="s">
        <v>4</v>
      </c>
    </row>
    <row r="9093">
      <c r="A9093" s="3">
        <v>748.0</v>
      </c>
      <c r="B9093" s="4">
        <v>45428.71938657408</v>
      </c>
      <c r="C9093" s="3" t="s">
        <v>5</v>
      </c>
    </row>
    <row r="9094">
      <c r="A9094" s="3">
        <v>5852.0</v>
      </c>
      <c r="B9094" s="4">
        <v>45428.740208333336</v>
      </c>
      <c r="C9094" s="3" t="s">
        <v>3</v>
      </c>
    </row>
    <row r="9095">
      <c r="A9095" s="3">
        <v>683.0</v>
      </c>
      <c r="B9095" s="4">
        <v>45428.742430555554</v>
      </c>
      <c r="C9095" s="3" t="s">
        <v>6</v>
      </c>
    </row>
    <row r="9096">
      <c r="A9096" s="3">
        <v>1474.0</v>
      </c>
      <c r="B9096" s="4">
        <v>45428.74579861111</v>
      </c>
      <c r="C9096" s="3" t="s">
        <v>3</v>
      </c>
    </row>
    <row r="9097">
      <c r="A9097" s="3">
        <v>3197.0</v>
      </c>
      <c r="B9097" s="4">
        <v>45428.753969907404</v>
      </c>
      <c r="C9097" s="3" t="s">
        <v>3</v>
      </c>
    </row>
    <row r="9098">
      <c r="A9098" s="3">
        <v>6667.0</v>
      </c>
      <c r="B9098" s="4">
        <v>45428.76634259259</v>
      </c>
      <c r="C9098" s="3" t="s">
        <v>3</v>
      </c>
    </row>
    <row r="9099">
      <c r="A9099" s="3">
        <v>1555.0</v>
      </c>
      <c r="B9099" s="4">
        <v>45428.76883101852</v>
      </c>
      <c r="C9099" s="3" t="s">
        <v>4</v>
      </c>
    </row>
    <row r="9100">
      <c r="A9100" s="3">
        <v>6310.0</v>
      </c>
      <c r="B9100" s="4">
        <v>45428.77957175926</v>
      </c>
      <c r="C9100" s="3" t="s">
        <v>4</v>
      </c>
    </row>
    <row r="9101">
      <c r="A9101" s="3">
        <v>128.0</v>
      </c>
      <c r="B9101" s="4">
        <v>45428.82787037037</v>
      </c>
      <c r="C9101" s="3" t="s">
        <v>4</v>
      </c>
    </row>
    <row r="9102">
      <c r="A9102" s="3">
        <v>3572.0</v>
      </c>
      <c r="B9102" s="4">
        <v>45428.846712962964</v>
      </c>
      <c r="C9102" s="3" t="s">
        <v>6</v>
      </c>
    </row>
    <row r="9103">
      <c r="A9103" s="3">
        <v>154.0</v>
      </c>
      <c r="B9103" s="4">
        <v>45428.86418981481</v>
      </c>
      <c r="C9103" s="3" t="s">
        <v>3</v>
      </c>
    </row>
    <row r="9104">
      <c r="A9104" s="3">
        <v>5429.0</v>
      </c>
      <c r="B9104" s="4">
        <v>45428.868576388886</v>
      </c>
      <c r="C9104" s="3" t="s">
        <v>4</v>
      </c>
    </row>
    <row r="9105">
      <c r="A9105" s="3">
        <v>2435.0</v>
      </c>
      <c r="B9105" s="4">
        <v>45428.876851851855</v>
      </c>
      <c r="C9105" s="3" t="s">
        <v>4</v>
      </c>
    </row>
    <row r="9106">
      <c r="A9106" s="3">
        <v>1950.0</v>
      </c>
      <c r="B9106" s="4">
        <v>45428.888645833336</v>
      </c>
      <c r="C9106" s="3" t="s">
        <v>3</v>
      </c>
    </row>
    <row r="9107">
      <c r="A9107" s="3">
        <v>1540.0</v>
      </c>
      <c r="B9107" s="4">
        <v>45428.90136574074</v>
      </c>
      <c r="C9107" s="3" t="s">
        <v>3</v>
      </c>
    </row>
    <row r="9108">
      <c r="A9108" s="3">
        <v>6002.0</v>
      </c>
      <c r="B9108" s="4">
        <v>45428.94305555556</v>
      </c>
      <c r="C9108" s="3" t="s">
        <v>3</v>
      </c>
    </row>
    <row r="9109">
      <c r="A9109" s="3">
        <v>627.0</v>
      </c>
      <c r="B9109" s="4">
        <v>45428.94462962963</v>
      </c>
      <c r="C9109" s="3" t="s">
        <v>6</v>
      </c>
    </row>
    <row r="9110">
      <c r="A9110" s="3">
        <v>6035.0</v>
      </c>
      <c r="B9110" s="4">
        <v>45428.9681712963</v>
      </c>
      <c r="C9110" s="3" t="s">
        <v>6</v>
      </c>
    </row>
    <row r="9111">
      <c r="A9111" s="3">
        <v>2653.0</v>
      </c>
      <c r="B9111" s="4">
        <v>45428.96975694445</v>
      </c>
      <c r="C9111" s="3" t="s">
        <v>3</v>
      </c>
    </row>
    <row r="9112">
      <c r="A9112" s="3">
        <v>166.0</v>
      </c>
      <c r="B9112" s="4">
        <v>45429.01765046296</v>
      </c>
      <c r="C9112" s="3" t="s">
        <v>3</v>
      </c>
    </row>
    <row r="9113">
      <c r="A9113" s="3">
        <v>3459.0</v>
      </c>
      <c r="B9113" s="4">
        <v>45429.05253472222</v>
      </c>
      <c r="C9113" s="3" t="s">
        <v>3</v>
      </c>
    </row>
    <row r="9114">
      <c r="A9114" s="3">
        <v>6821.0</v>
      </c>
      <c r="B9114" s="4">
        <v>45429.05662037037</v>
      </c>
      <c r="C9114" s="3" t="s">
        <v>5</v>
      </c>
    </row>
    <row r="9115">
      <c r="A9115" s="3">
        <v>7420.0</v>
      </c>
      <c r="B9115" s="4">
        <v>45429.08111111111</v>
      </c>
      <c r="C9115" s="3" t="s">
        <v>3</v>
      </c>
    </row>
    <row r="9116">
      <c r="A9116" s="3">
        <v>1617.0</v>
      </c>
      <c r="B9116" s="4">
        <v>45429.10375</v>
      </c>
      <c r="C9116" s="3" t="s">
        <v>6</v>
      </c>
    </row>
    <row r="9117">
      <c r="A9117" s="3">
        <v>7688.0</v>
      </c>
      <c r="B9117" s="4">
        <v>45429.107083333336</v>
      </c>
      <c r="C9117" s="3" t="s">
        <v>7</v>
      </c>
    </row>
    <row r="9118">
      <c r="A9118" s="3">
        <v>3379.0</v>
      </c>
      <c r="B9118" s="4">
        <v>45429.134201388886</v>
      </c>
      <c r="C9118" s="3" t="s">
        <v>6</v>
      </c>
    </row>
    <row r="9119">
      <c r="A9119" s="3">
        <v>997.0</v>
      </c>
      <c r="B9119" s="4">
        <v>45429.16578703704</v>
      </c>
      <c r="C9119" s="3" t="s">
        <v>7</v>
      </c>
    </row>
    <row r="9120">
      <c r="A9120" s="3">
        <v>6367.0</v>
      </c>
      <c r="B9120" s="4">
        <v>45429.17099537037</v>
      </c>
      <c r="C9120" s="3" t="s">
        <v>4</v>
      </c>
    </row>
    <row r="9121">
      <c r="A9121" s="3">
        <v>6964.0</v>
      </c>
      <c r="B9121" s="4">
        <v>45429.17936342592</v>
      </c>
      <c r="C9121" s="3" t="s">
        <v>3</v>
      </c>
    </row>
    <row r="9122">
      <c r="A9122" s="3">
        <v>5738.0</v>
      </c>
      <c r="B9122" s="4">
        <v>45429.20693287037</v>
      </c>
      <c r="C9122" s="3" t="s">
        <v>3</v>
      </c>
    </row>
    <row r="9123">
      <c r="A9123" s="3">
        <v>7663.0</v>
      </c>
      <c r="B9123" s="4">
        <v>45429.21203703704</v>
      </c>
      <c r="C9123" s="3" t="s">
        <v>3</v>
      </c>
    </row>
    <row r="9124">
      <c r="A9124" s="3">
        <v>2664.0</v>
      </c>
      <c r="B9124" s="4">
        <v>45429.2133912037</v>
      </c>
      <c r="C9124" s="3" t="s">
        <v>3</v>
      </c>
    </row>
    <row r="9125">
      <c r="A9125" s="3">
        <v>3946.0</v>
      </c>
      <c r="B9125" s="4">
        <v>45429.226585648146</v>
      </c>
      <c r="C9125" s="3" t="s">
        <v>3</v>
      </c>
    </row>
    <row r="9126">
      <c r="A9126" s="3">
        <v>6367.0</v>
      </c>
      <c r="B9126" s="4">
        <v>45429.24920138889</v>
      </c>
      <c r="C9126" s="3" t="s">
        <v>5</v>
      </c>
    </row>
    <row r="9127">
      <c r="A9127" s="3">
        <v>802.0</v>
      </c>
      <c r="B9127" s="4">
        <v>45429.28236111111</v>
      </c>
      <c r="C9127" s="3" t="s">
        <v>3</v>
      </c>
    </row>
    <row r="9128">
      <c r="A9128" s="3">
        <v>4403.0</v>
      </c>
      <c r="B9128" s="4">
        <v>45429.31633101852</v>
      </c>
      <c r="C9128" s="3" t="s">
        <v>3</v>
      </c>
    </row>
    <row r="9129">
      <c r="A9129" s="3">
        <v>4167.0</v>
      </c>
      <c r="B9129" s="4">
        <v>45429.38337962963</v>
      </c>
      <c r="C9129" s="3" t="s">
        <v>3</v>
      </c>
    </row>
    <row r="9130">
      <c r="A9130" s="3">
        <v>7813.0</v>
      </c>
      <c r="B9130" s="4">
        <v>45429.39509259259</v>
      </c>
      <c r="C9130" s="3" t="s">
        <v>3</v>
      </c>
    </row>
    <row r="9131">
      <c r="A9131" s="3">
        <v>6094.0</v>
      </c>
      <c r="B9131" s="4">
        <v>45429.39634259259</v>
      </c>
      <c r="C9131" s="3" t="s">
        <v>5</v>
      </c>
    </row>
    <row r="9132">
      <c r="A9132" s="3">
        <v>3245.0</v>
      </c>
      <c r="B9132" s="4">
        <v>45429.40388888889</v>
      </c>
      <c r="C9132" s="3" t="s">
        <v>7</v>
      </c>
    </row>
    <row r="9133">
      <c r="A9133" s="3">
        <v>3240.0</v>
      </c>
      <c r="B9133" s="4">
        <v>45429.420115740744</v>
      </c>
      <c r="C9133" s="3" t="s">
        <v>3</v>
      </c>
    </row>
    <row r="9134">
      <c r="A9134" s="3">
        <v>3264.0</v>
      </c>
      <c r="B9134" s="4">
        <v>45429.44164351852</v>
      </c>
      <c r="C9134" s="3" t="s">
        <v>5</v>
      </c>
    </row>
    <row r="9135">
      <c r="A9135" s="3">
        <v>6367.0</v>
      </c>
      <c r="B9135" s="4">
        <v>45429.45758101852</v>
      </c>
      <c r="C9135" s="3" t="s">
        <v>6</v>
      </c>
    </row>
    <row r="9136">
      <c r="A9136" s="3">
        <v>1332.0</v>
      </c>
      <c r="B9136" s="4">
        <v>45429.469363425924</v>
      </c>
      <c r="C9136" s="3" t="s">
        <v>4</v>
      </c>
    </row>
    <row r="9137">
      <c r="A9137" s="3">
        <v>38.0</v>
      </c>
      <c r="B9137" s="4">
        <v>45429.48042824074</v>
      </c>
      <c r="C9137" s="3" t="s">
        <v>5</v>
      </c>
    </row>
    <row r="9138">
      <c r="A9138" s="3">
        <v>4060.0</v>
      </c>
      <c r="B9138" s="4">
        <v>45429.49400462963</v>
      </c>
      <c r="C9138" s="3" t="s">
        <v>3</v>
      </c>
    </row>
    <row r="9139">
      <c r="A9139" s="3">
        <v>6343.0</v>
      </c>
      <c r="B9139" s="4">
        <v>45429.518900462965</v>
      </c>
      <c r="C9139" s="3" t="s">
        <v>6</v>
      </c>
    </row>
    <row r="9140">
      <c r="A9140" s="3">
        <v>1264.0</v>
      </c>
      <c r="B9140" s="4">
        <v>45429.58409722222</v>
      </c>
      <c r="C9140" s="3" t="s">
        <v>5</v>
      </c>
    </row>
    <row r="9141">
      <c r="A9141" s="3">
        <v>7942.0</v>
      </c>
      <c r="B9141" s="4">
        <v>45429.6028125</v>
      </c>
      <c r="C9141" s="3" t="s">
        <v>5</v>
      </c>
    </row>
    <row r="9142">
      <c r="A9142" s="3">
        <v>1579.0</v>
      </c>
      <c r="B9142" s="4">
        <v>45429.639131944445</v>
      </c>
      <c r="C9142" s="3" t="s">
        <v>6</v>
      </c>
    </row>
    <row r="9143">
      <c r="A9143" s="3">
        <v>4844.0</v>
      </c>
      <c r="B9143" s="4">
        <v>45429.64129629629</v>
      </c>
      <c r="C9143" s="3" t="s">
        <v>3</v>
      </c>
    </row>
    <row r="9144">
      <c r="A9144" s="3">
        <v>2664.0</v>
      </c>
      <c r="B9144" s="4">
        <v>45429.65185185185</v>
      </c>
      <c r="C9144" s="3" t="s">
        <v>5</v>
      </c>
    </row>
    <row r="9145">
      <c r="A9145" s="3">
        <v>4268.0</v>
      </c>
      <c r="B9145" s="4">
        <v>45429.6865625</v>
      </c>
      <c r="C9145" s="3" t="s">
        <v>3</v>
      </c>
    </row>
    <row r="9146">
      <c r="A9146" s="3">
        <v>5295.0</v>
      </c>
      <c r="B9146" s="4">
        <v>45429.726805555554</v>
      </c>
      <c r="C9146" s="3" t="s">
        <v>6</v>
      </c>
    </row>
    <row r="9147">
      <c r="A9147" s="3">
        <v>6241.0</v>
      </c>
      <c r="B9147" s="4">
        <v>45429.73136574074</v>
      </c>
      <c r="C9147" s="3" t="s">
        <v>7</v>
      </c>
    </row>
    <row r="9148">
      <c r="A9148" s="3">
        <v>7776.0</v>
      </c>
      <c r="B9148" s="4">
        <v>45429.742164351854</v>
      </c>
      <c r="C9148" s="3" t="s">
        <v>3</v>
      </c>
    </row>
    <row r="9149">
      <c r="A9149" s="3">
        <v>5730.0</v>
      </c>
      <c r="B9149" s="4">
        <v>45429.756006944444</v>
      </c>
      <c r="C9149" s="3" t="s">
        <v>7</v>
      </c>
    </row>
    <row r="9150">
      <c r="A9150" s="3">
        <v>3487.0</v>
      </c>
      <c r="B9150" s="4">
        <v>45429.75696759259</v>
      </c>
      <c r="C9150" s="3" t="s">
        <v>3</v>
      </c>
    </row>
    <row r="9151">
      <c r="A9151" s="3">
        <v>4513.0</v>
      </c>
      <c r="B9151" s="4">
        <v>45429.769282407404</v>
      </c>
      <c r="C9151" s="3" t="s">
        <v>3</v>
      </c>
    </row>
    <row r="9152">
      <c r="A9152" s="3">
        <v>1540.0</v>
      </c>
      <c r="B9152" s="4">
        <v>45429.840902777774</v>
      </c>
      <c r="C9152" s="3" t="s">
        <v>4</v>
      </c>
    </row>
    <row r="9153">
      <c r="A9153" s="3">
        <v>5861.0</v>
      </c>
      <c r="B9153" s="4">
        <v>45429.85057870371</v>
      </c>
      <c r="C9153" s="3" t="s">
        <v>3</v>
      </c>
    </row>
    <row r="9154">
      <c r="A9154" s="3">
        <v>4268.0</v>
      </c>
      <c r="B9154" s="4">
        <v>45429.9237037037</v>
      </c>
      <c r="C9154" s="3" t="s">
        <v>4</v>
      </c>
    </row>
    <row r="9155">
      <c r="A9155" s="3">
        <v>6094.0</v>
      </c>
      <c r="B9155" s="4">
        <v>45429.92834490741</v>
      </c>
      <c r="C9155" s="3" t="s">
        <v>4</v>
      </c>
    </row>
    <row r="9156">
      <c r="A9156" s="3">
        <v>627.0</v>
      </c>
      <c r="B9156" s="4">
        <v>45429.94461805555</v>
      </c>
      <c r="C9156" s="3" t="s">
        <v>5</v>
      </c>
    </row>
    <row r="9157">
      <c r="A9157" s="3">
        <v>7939.0</v>
      </c>
      <c r="B9157" s="4">
        <v>45429.96140046296</v>
      </c>
      <c r="C9157" s="3" t="s">
        <v>4</v>
      </c>
    </row>
    <row r="9158">
      <c r="A9158" s="3">
        <v>6912.0</v>
      </c>
      <c r="B9158" s="4">
        <v>45429.973391203705</v>
      </c>
      <c r="C9158" s="3" t="s">
        <v>3</v>
      </c>
    </row>
    <row r="9159">
      <c r="A9159" s="3">
        <v>7929.0</v>
      </c>
      <c r="B9159" s="4">
        <v>45429.98125</v>
      </c>
      <c r="C9159" s="3" t="s">
        <v>3</v>
      </c>
    </row>
    <row r="9160">
      <c r="A9160" s="3">
        <v>2585.0</v>
      </c>
      <c r="B9160" s="4">
        <v>45430.00877314815</v>
      </c>
      <c r="C9160" s="3" t="s">
        <v>3</v>
      </c>
    </row>
    <row r="9161">
      <c r="A9161" s="3">
        <v>2458.0</v>
      </c>
      <c r="B9161" s="4">
        <v>45430.009247685186</v>
      </c>
      <c r="C9161" s="3" t="s">
        <v>4</v>
      </c>
    </row>
    <row r="9162">
      <c r="A9162" s="3">
        <v>2075.0</v>
      </c>
      <c r="B9162" s="4">
        <v>45430.01703703704</v>
      </c>
      <c r="C9162" s="3" t="s">
        <v>3</v>
      </c>
    </row>
    <row r="9163">
      <c r="A9163" s="3">
        <v>38.0</v>
      </c>
      <c r="B9163" s="4">
        <v>45430.02002314815</v>
      </c>
      <c r="C9163" s="3" t="s">
        <v>7</v>
      </c>
    </row>
    <row r="9164">
      <c r="A9164" s="3">
        <v>7899.0</v>
      </c>
      <c r="B9164" s="4">
        <v>45430.03181712963</v>
      </c>
      <c r="C9164" s="3" t="s">
        <v>7</v>
      </c>
    </row>
    <row r="9165">
      <c r="A9165" s="3">
        <v>4562.0</v>
      </c>
      <c r="B9165" s="4">
        <v>45430.0696875</v>
      </c>
      <c r="C9165" s="3" t="s">
        <v>7</v>
      </c>
    </row>
    <row r="9166">
      <c r="A9166" s="3">
        <v>1394.0</v>
      </c>
      <c r="B9166" s="4">
        <v>45430.080092592594</v>
      </c>
      <c r="C9166" s="3" t="s">
        <v>3</v>
      </c>
    </row>
    <row r="9167">
      <c r="A9167" s="3">
        <v>5637.0</v>
      </c>
      <c r="B9167" s="4">
        <v>45430.15346064815</v>
      </c>
      <c r="C9167" s="3" t="s">
        <v>5</v>
      </c>
    </row>
    <row r="9168">
      <c r="A9168" s="3">
        <v>1759.0</v>
      </c>
      <c r="B9168" s="4">
        <v>45430.17590277778</v>
      </c>
      <c r="C9168" s="3" t="s">
        <v>3</v>
      </c>
    </row>
    <row r="9169">
      <c r="A9169" s="3">
        <v>2186.0</v>
      </c>
      <c r="B9169" s="4">
        <v>45430.18467592593</v>
      </c>
      <c r="C9169" s="3" t="s">
        <v>3</v>
      </c>
    </row>
    <row r="9170">
      <c r="A9170" s="3">
        <v>6400.0</v>
      </c>
      <c r="B9170" s="4">
        <v>45430.20689814815</v>
      </c>
      <c r="C9170" s="3" t="s">
        <v>3</v>
      </c>
    </row>
    <row r="9171">
      <c r="A9171" s="3">
        <v>1028.0</v>
      </c>
      <c r="B9171" s="4">
        <v>45430.209398148145</v>
      </c>
      <c r="C9171" s="3" t="s">
        <v>3</v>
      </c>
    </row>
    <row r="9172">
      <c r="A9172" s="3">
        <v>4703.0</v>
      </c>
      <c r="B9172" s="4">
        <v>45430.220671296294</v>
      </c>
      <c r="C9172" s="3" t="s">
        <v>3</v>
      </c>
    </row>
    <row r="9173">
      <c r="A9173" s="3">
        <v>4268.0</v>
      </c>
      <c r="B9173" s="4">
        <v>45430.227164351854</v>
      </c>
      <c r="C9173" s="3" t="s">
        <v>6</v>
      </c>
    </row>
    <row r="9174">
      <c r="A9174" s="3">
        <v>4015.0</v>
      </c>
      <c r="B9174" s="4">
        <v>45430.227372685185</v>
      </c>
      <c r="C9174" s="3" t="s">
        <v>3</v>
      </c>
    </row>
    <row r="9175">
      <c r="A9175" s="3">
        <v>1540.0</v>
      </c>
      <c r="B9175" s="4">
        <v>45430.23211805556</v>
      </c>
      <c r="C9175" s="3" t="s">
        <v>7</v>
      </c>
    </row>
    <row r="9176">
      <c r="A9176" s="3">
        <v>7240.0</v>
      </c>
      <c r="B9176" s="4">
        <v>45430.24885416667</v>
      </c>
      <c r="C9176" s="3" t="s">
        <v>3</v>
      </c>
    </row>
    <row r="9177">
      <c r="A9177" s="3">
        <v>2870.0</v>
      </c>
      <c r="B9177" s="4">
        <v>45430.249027777776</v>
      </c>
      <c r="C9177" s="3" t="s">
        <v>3</v>
      </c>
    </row>
    <row r="9178">
      <c r="A9178" s="3">
        <v>2458.0</v>
      </c>
      <c r="B9178" s="4">
        <v>45430.26210648148</v>
      </c>
      <c r="C9178" s="3" t="s">
        <v>3</v>
      </c>
    </row>
    <row r="9179">
      <c r="A9179" s="3">
        <v>6002.0</v>
      </c>
      <c r="B9179" s="4">
        <v>45430.26449074074</v>
      </c>
      <c r="C9179" s="3" t="s">
        <v>6</v>
      </c>
    </row>
    <row r="9180">
      <c r="A9180" s="3">
        <v>1227.0</v>
      </c>
      <c r="B9180" s="4">
        <v>45430.27185185185</v>
      </c>
      <c r="C9180" s="3" t="s">
        <v>5</v>
      </c>
    </row>
    <row r="9181">
      <c r="A9181" s="3">
        <v>5629.0</v>
      </c>
      <c r="B9181" s="4">
        <v>45430.30684027778</v>
      </c>
      <c r="C9181" s="3" t="s">
        <v>6</v>
      </c>
    </row>
    <row r="9182">
      <c r="A9182" s="3">
        <v>6241.0</v>
      </c>
      <c r="B9182" s="4">
        <v>45430.31423611111</v>
      </c>
      <c r="C9182" s="3" t="s">
        <v>6</v>
      </c>
    </row>
    <row r="9183">
      <c r="A9183" s="3">
        <v>1394.0</v>
      </c>
      <c r="B9183" s="4">
        <v>45430.316712962966</v>
      </c>
      <c r="C9183" s="3" t="s">
        <v>5</v>
      </c>
    </row>
    <row r="9184">
      <c r="A9184" s="3">
        <v>2571.0</v>
      </c>
      <c r="B9184" s="4">
        <v>45430.35796296296</v>
      </c>
      <c r="C9184" s="3" t="s">
        <v>4</v>
      </c>
    </row>
    <row r="9185">
      <c r="A9185" s="3">
        <v>748.0</v>
      </c>
      <c r="B9185" s="4">
        <v>45430.360625</v>
      </c>
      <c r="C9185" s="3" t="s">
        <v>7</v>
      </c>
    </row>
    <row r="9186">
      <c r="A9186" s="3">
        <v>7715.0</v>
      </c>
      <c r="B9186" s="4">
        <v>45430.36206018519</v>
      </c>
      <c r="C9186" s="3" t="s">
        <v>3</v>
      </c>
    </row>
    <row r="9187">
      <c r="A9187" s="3">
        <v>1227.0</v>
      </c>
      <c r="B9187" s="4">
        <v>45430.36604166667</v>
      </c>
      <c r="C9187" s="3" t="s">
        <v>6</v>
      </c>
    </row>
    <row r="9188">
      <c r="A9188" s="3">
        <v>2664.0</v>
      </c>
      <c r="B9188" s="4">
        <v>45430.37619212963</v>
      </c>
      <c r="C9188" s="3" t="s">
        <v>4</v>
      </c>
    </row>
    <row r="9189">
      <c r="A9189" s="3">
        <v>5361.0</v>
      </c>
      <c r="B9189" s="4">
        <v>45430.380324074074</v>
      </c>
      <c r="C9189" s="3" t="s">
        <v>3</v>
      </c>
    </row>
    <row r="9190">
      <c r="A9190" s="3">
        <v>6400.0</v>
      </c>
      <c r="B9190" s="4">
        <v>45430.40295138889</v>
      </c>
      <c r="C9190" s="3" t="s">
        <v>4</v>
      </c>
    </row>
    <row r="9191">
      <c r="A9191" s="3">
        <v>5861.0</v>
      </c>
      <c r="B9191" s="4">
        <v>45430.40806712963</v>
      </c>
      <c r="C9191" s="3" t="s">
        <v>4</v>
      </c>
    </row>
    <row r="9192">
      <c r="A9192" s="3">
        <v>7112.0</v>
      </c>
      <c r="B9192" s="4">
        <v>45430.41546296296</v>
      </c>
      <c r="C9192" s="3" t="s">
        <v>3</v>
      </c>
    </row>
    <row r="9193">
      <c r="A9193" s="3">
        <v>5429.0</v>
      </c>
      <c r="B9193" s="4">
        <v>45430.42710648148</v>
      </c>
      <c r="C9193" s="3" t="s">
        <v>7</v>
      </c>
    </row>
    <row r="9194">
      <c r="A9194" s="3">
        <v>3928.0</v>
      </c>
      <c r="B9194" s="4">
        <v>45430.43434027778</v>
      </c>
      <c r="C9194" s="3" t="s">
        <v>6</v>
      </c>
    </row>
    <row r="9195">
      <c r="A9195" s="3">
        <v>1537.0</v>
      </c>
      <c r="B9195" s="4">
        <v>45430.49283564815</v>
      </c>
      <c r="C9195" s="3" t="s">
        <v>4</v>
      </c>
    </row>
    <row r="9196">
      <c r="A9196" s="3">
        <v>7471.0</v>
      </c>
      <c r="B9196" s="4">
        <v>45430.500439814816</v>
      </c>
      <c r="C9196" s="3" t="s">
        <v>3</v>
      </c>
    </row>
    <row r="9197">
      <c r="A9197" s="3">
        <v>2458.0</v>
      </c>
      <c r="B9197" s="4">
        <v>45430.51871527778</v>
      </c>
      <c r="C9197" s="3" t="s">
        <v>5</v>
      </c>
    </row>
    <row r="9198">
      <c r="A9198" s="3">
        <v>427.0</v>
      </c>
      <c r="B9198" s="4">
        <v>45430.5502662037</v>
      </c>
      <c r="C9198" s="3" t="s">
        <v>3</v>
      </c>
    </row>
    <row r="9199">
      <c r="A9199" s="3">
        <v>2514.0</v>
      </c>
      <c r="B9199" s="4">
        <v>45430.5759837963</v>
      </c>
      <c r="C9199" s="3" t="s">
        <v>7</v>
      </c>
    </row>
    <row r="9200">
      <c r="A9200" s="3">
        <v>4060.0</v>
      </c>
      <c r="B9200" s="4">
        <v>45430.58078703703</v>
      </c>
      <c r="C9200" s="3" t="s">
        <v>5</v>
      </c>
    </row>
    <row r="9201">
      <c r="A9201" s="3">
        <v>4268.0</v>
      </c>
      <c r="B9201" s="4">
        <v>45430.5890162037</v>
      </c>
      <c r="C9201" s="3" t="s">
        <v>7</v>
      </c>
    </row>
    <row r="9202">
      <c r="A9202" s="3">
        <v>4918.0</v>
      </c>
      <c r="B9202" s="4">
        <v>45430.607986111114</v>
      </c>
      <c r="C9202" s="3" t="s">
        <v>3</v>
      </c>
    </row>
    <row r="9203">
      <c r="A9203" s="3">
        <v>4192.0</v>
      </c>
      <c r="B9203" s="4">
        <v>45430.61730324074</v>
      </c>
      <c r="C9203" s="3" t="s">
        <v>3</v>
      </c>
    </row>
    <row r="9204">
      <c r="A9204" s="3">
        <v>1972.0</v>
      </c>
      <c r="B9204" s="4">
        <v>45430.62740740741</v>
      </c>
      <c r="C9204" s="3" t="s">
        <v>3</v>
      </c>
    </row>
    <row r="9205">
      <c r="A9205" s="3">
        <v>5861.0</v>
      </c>
      <c r="B9205" s="4">
        <v>45430.64277777778</v>
      </c>
      <c r="C9205" s="3" t="s">
        <v>6</v>
      </c>
    </row>
    <row r="9206">
      <c r="A9206" s="3">
        <v>4221.0</v>
      </c>
      <c r="B9206" s="4">
        <v>45430.651921296296</v>
      </c>
      <c r="C9206" s="3" t="s">
        <v>3</v>
      </c>
    </row>
    <row r="9207">
      <c r="A9207" s="3">
        <v>5438.0</v>
      </c>
      <c r="B9207" s="4">
        <v>45430.65875</v>
      </c>
      <c r="C9207" s="3" t="s">
        <v>3</v>
      </c>
    </row>
    <row r="9208">
      <c r="A9208" s="3">
        <v>4651.0</v>
      </c>
      <c r="B9208" s="4">
        <v>45430.659525462965</v>
      </c>
      <c r="C9208" s="3" t="s">
        <v>3</v>
      </c>
    </row>
    <row r="9209">
      <c r="A9209" s="3">
        <v>2767.0</v>
      </c>
      <c r="B9209" s="4">
        <v>45430.67570601852</v>
      </c>
      <c r="C9209" s="3" t="s">
        <v>3</v>
      </c>
    </row>
    <row r="9210">
      <c r="A9210" s="3">
        <v>1410.0</v>
      </c>
      <c r="B9210" s="4">
        <v>45430.69074074074</v>
      </c>
      <c r="C9210" s="3" t="s">
        <v>3</v>
      </c>
    </row>
    <row r="9211">
      <c r="A9211" s="3">
        <v>2339.0</v>
      </c>
      <c r="B9211" s="4">
        <v>45430.69398148148</v>
      </c>
      <c r="C9211" s="3" t="s">
        <v>6</v>
      </c>
    </row>
    <row r="9212">
      <c r="A9212" s="3">
        <v>5881.0</v>
      </c>
      <c r="B9212" s="4">
        <v>45430.7244212963</v>
      </c>
      <c r="C9212" s="3" t="s">
        <v>5</v>
      </c>
    </row>
    <row r="9213">
      <c r="A9213" s="3">
        <v>5861.0</v>
      </c>
      <c r="B9213" s="4">
        <v>45430.72837962963</v>
      </c>
      <c r="C9213" s="3" t="s">
        <v>5</v>
      </c>
    </row>
    <row r="9214">
      <c r="A9214" s="3">
        <v>1619.0</v>
      </c>
      <c r="B9214" s="4">
        <v>45430.77373842592</v>
      </c>
      <c r="C9214" s="3" t="s">
        <v>6</v>
      </c>
    </row>
    <row r="9215">
      <c r="A9215" s="3">
        <v>3417.0</v>
      </c>
      <c r="B9215" s="4">
        <v>45430.77649305556</v>
      </c>
      <c r="C9215" s="3" t="s">
        <v>3</v>
      </c>
    </row>
    <row r="9216">
      <c r="A9216" s="3">
        <v>6002.0</v>
      </c>
      <c r="B9216" s="4">
        <v>45430.79591435185</v>
      </c>
      <c r="C9216" s="3" t="s">
        <v>4</v>
      </c>
    </row>
    <row r="9217">
      <c r="A9217" s="3">
        <v>4221.0</v>
      </c>
      <c r="B9217" s="4">
        <v>45430.8075</v>
      </c>
      <c r="C9217" s="3" t="s">
        <v>4</v>
      </c>
    </row>
    <row r="9218">
      <c r="A9218" s="3">
        <v>2987.0</v>
      </c>
      <c r="B9218" s="4">
        <v>45430.81587962963</v>
      </c>
      <c r="C9218" s="3" t="s">
        <v>3</v>
      </c>
    </row>
    <row r="9219">
      <c r="A9219" s="3">
        <v>4562.0</v>
      </c>
      <c r="B9219" s="4">
        <v>45430.82104166667</v>
      </c>
      <c r="C9219" s="3" t="s">
        <v>4</v>
      </c>
    </row>
    <row r="9220">
      <c r="A9220" s="3">
        <v>5395.0</v>
      </c>
      <c r="B9220" s="4">
        <v>45430.82690972222</v>
      </c>
      <c r="C9220" s="3" t="s">
        <v>6</v>
      </c>
    </row>
    <row r="9221">
      <c r="A9221" s="3">
        <v>7332.0</v>
      </c>
      <c r="B9221" s="4">
        <v>45430.84685185185</v>
      </c>
      <c r="C9221" s="3" t="s">
        <v>3</v>
      </c>
    </row>
    <row r="9222">
      <c r="A9222" s="3">
        <v>5813.0</v>
      </c>
      <c r="B9222" s="4">
        <v>45430.85695601852</v>
      </c>
      <c r="C9222" s="3" t="s">
        <v>3</v>
      </c>
    </row>
    <row r="9223">
      <c r="A9223" s="3">
        <v>5763.0</v>
      </c>
      <c r="B9223" s="4">
        <v>45430.91527777778</v>
      </c>
      <c r="C9223" s="3" t="s">
        <v>3</v>
      </c>
    </row>
    <row r="9224">
      <c r="A9224" s="3">
        <v>1868.0</v>
      </c>
      <c r="B9224" s="4">
        <v>45430.951377314814</v>
      </c>
      <c r="C9224" s="3" t="s">
        <v>3</v>
      </c>
    </row>
    <row r="9225">
      <c r="A9225" s="3">
        <v>2972.0</v>
      </c>
      <c r="B9225" s="4">
        <v>45430.97443287037</v>
      </c>
      <c r="C9225" s="3" t="s">
        <v>3</v>
      </c>
    </row>
    <row r="9226">
      <c r="A9226" s="3">
        <v>1537.0</v>
      </c>
      <c r="B9226" s="4">
        <v>45430.982835648145</v>
      </c>
      <c r="C9226" s="3" t="s">
        <v>3</v>
      </c>
    </row>
    <row r="9227">
      <c r="A9227" s="3">
        <v>7297.0</v>
      </c>
      <c r="B9227" s="4">
        <v>45430.984606481485</v>
      </c>
      <c r="C9227" s="3" t="s">
        <v>3</v>
      </c>
    </row>
    <row r="9228">
      <c r="A9228" s="3">
        <v>5122.0</v>
      </c>
      <c r="B9228" s="4">
        <v>45430.99009259259</v>
      </c>
      <c r="C9228" s="3" t="s">
        <v>3</v>
      </c>
    </row>
    <row r="9229">
      <c r="A9229" s="3">
        <v>5191.0</v>
      </c>
      <c r="B9229" s="4">
        <v>45431.013645833336</v>
      </c>
      <c r="C9229" s="3" t="s">
        <v>3</v>
      </c>
    </row>
    <row r="9230">
      <c r="A9230" s="3">
        <v>5637.0</v>
      </c>
      <c r="B9230" s="4">
        <v>45431.01458333333</v>
      </c>
      <c r="C9230" s="3" t="s">
        <v>6</v>
      </c>
    </row>
    <row r="9231">
      <c r="A9231" s="3">
        <v>2974.0</v>
      </c>
      <c r="B9231" s="4">
        <v>45431.01537037037</v>
      </c>
      <c r="C9231" s="3" t="s">
        <v>4</v>
      </c>
    </row>
    <row r="9232">
      <c r="A9232" s="3">
        <v>2767.0</v>
      </c>
      <c r="B9232" s="4">
        <v>45431.02030092593</v>
      </c>
      <c r="C9232" s="3" t="s">
        <v>4</v>
      </c>
    </row>
    <row r="9233">
      <c r="A9233" s="3">
        <v>4226.0</v>
      </c>
      <c r="B9233" s="4">
        <v>45431.02951388889</v>
      </c>
      <c r="C9233" s="3" t="s">
        <v>4</v>
      </c>
    </row>
    <row r="9234">
      <c r="A9234" s="3">
        <v>627.0</v>
      </c>
      <c r="B9234" s="4">
        <v>45431.040127314816</v>
      </c>
      <c r="C9234" s="3" t="s">
        <v>7</v>
      </c>
    </row>
    <row r="9235">
      <c r="A9235" s="3">
        <v>788.0</v>
      </c>
      <c r="B9235" s="4">
        <v>45431.05755787037</v>
      </c>
      <c r="C9235" s="3" t="s">
        <v>4</v>
      </c>
    </row>
    <row r="9236">
      <c r="A9236" s="3">
        <v>3945.0</v>
      </c>
      <c r="B9236" s="4">
        <v>45431.08829861111</v>
      </c>
      <c r="C9236" s="3" t="s">
        <v>3</v>
      </c>
    </row>
    <row r="9237">
      <c r="A9237" s="3">
        <v>7941.0</v>
      </c>
      <c r="B9237" s="4">
        <v>45431.09260416667</v>
      </c>
      <c r="C9237" s="3" t="s">
        <v>3</v>
      </c>
    </row>
    <row r="9238">
      <c r="A9238" s="3">
        <v>1109.0</v>
      </c>
      <c r="B9238" s="4">
        <v>45431.09359953704</v>
      </c>
      <c r="C9238" s="3" t="s">
        <v>3</v>
      </c>
    </row>
    <row r="9239">
      <c r="A9239" s="3">
        <v>6032.0</v>
      </c>
      <c r="B9239" s="4">
        <v>45431.15269675926</v>
      </c>
      <c r="C9239" s="3" t="s">
        <v>4</v>
      </c>
    </row>
    <row r="9240">
      <c r="A9240" s="3">
        <v>6651.0</v>
      </c>
      <c r="B9240" s="4">
        <v>45431.15378472222</v>
      </c>
      <c r="C9240" s="3" t="s">
        <v>3</v>
      </c>
    </row>
    <row r="9241">
      <c r="A9241" s="3">
        <v>1047.0</v>
      </c>
      <c r="B9241" s="4">
        <v>45431.16061342593</v>
      </c>
      <c r="C9241" s="3" t="s">
        <v>5</v>
      </c>
    </row>
    <row r="9242">
      <c r="A9242" s="3">
        <v>5175.0</v>
      </c>
      <c r="B9242" s="4">
        <v>45431.171331018515</v>
      </c>
      <c r="C9242" s="3" t="s">
        <v>3</v>
      </c>
    </row>
    <row r="9243">
      <c r="A9243" s="3">
        <v>1759.0</v>
      </c>
      <c r="B9243" s="4">
        <v>45431.18582175926</v>
      </c>
      <c r="C9243" s="3" t="s">
        <v>7</v>
      </c>
    </row>
    <row r="9244">
      <c r="A9244" s="3">
        <v>6930.0</v>
      </c>
      <c r="B9244" s="4">
        <v>45431.190347222226</v>
      </c>
      <c r="C9244" s="3" t="s">
        <v>3</v>
      </c>
    </row>
    <row r="9245">
      <c r="A9245" s="3">
        <v>1555.0</v>
      </c>
      <c r="B9245" s="4">
        <v>45431.20515046296</v>
      </c>
      <c r="C9245" s="3" t="s">
        <v>5</v>
      </c>
    </row>
    <row r="9246">
      <c r="A9246" s="3">
        <v>4060.0</v>
      </c>
      <c r="B9246" s="4">
        <v>45431.22888888889</v>
      </c>
      <c r="C9246" s="3" t="s">
        <v>4</v>
      </c>
    </row>
    <row r="9247">
      <c r="A9247" s="3">
        <v>3200.0</v>
      </c>
      <c r="B9247" s="4">
        <v>45431.26420138889</v>
      </c>
      <c r="C9247" s="3" t="s">
        <v>6</v>
      </c>
    </row>
    <row r="9248">
      <c r="A9248" s="3">
        <v>6253.0</v>
      </c>
      <c r="B9248" s="4">
        <v>45431.2803587963</v>
      </c>
      <c r="C9248" s="3" t="s">
        <v>6</v>
      </c>
    </row>
    <row r="9249">
      <c r="A9249" s="3">
        <v>7776.0</v>
      </c>
      <c r="B9249" s="4">
        <v>45431.327256944445</v>
      </c>
      <c r="C9249" s="3" t="s">
        <v>5</v>
      </c>
    </row>
    <row r="9250">
      <c r="A9250" s="3">
        <v>6824.0</v>
      </c>
      <c r="B9250" s="4">
        <v>45431.32871527778</v>
      </c>
      <c r="C9250" s="3" t="s">
        <v>3</v>
      </c>
    </row>
    <row r="9251">
      <c r="A9251" s="3">
        <v>3459.0</v>
      </c>
      <c r="B9251" s="4">
        <v>45431.345347222225</v>
      </c>
      <c r="C9251" s="3" t="s">
        <v>5</v>
      </c>
    </row>
    <row r="9252">
      <c r="A9252" s="3">
        <v>1394.0</v>
      </c>
      <c r="B9252" s="4">
        <v>45431.347291666665</v>
      </c>
      <c r="C9252" s="3" t="s">
        <v>7</v>
      </c>
    </row>
    <row r="9253">
      <c r="A9253" s="3">
        <v>2974.0</v>
      </c>
      <c r="B9253" s="4">
        <v>45431.367743055554</v>
      </c>
      <c r="C9253" s="3" t="s">
        <v>3</v>
      </c>
    </row>
    <row r="9254">
      <c r="A9254" s="3">
        <v>3579.0</v>
      </c>
      <c r="B9254" s="4">
        <v>45431.38346064815</v>
      </c>
      <c r="C9254" s="3" t="s">
        <v>7</v>
      </c>
    </row>
    <row r="9255">
      <c r="A9255" s="3">
        <v>3579.0</v>
      </c>
      <c r="B9255" s="4">
        <v>45431.388761574075</v>
      </c>
      <c r="C9255" s="3" t="s">
        <v>6</v>
      </c>
    </row>
    <row r="9256">
      <c r="A9256" s="3">
        <v>5871.0</v>
      </c>
      <c r="B9256" s="4">
        <v>45431.40001157407</v>
      </c>
      <c r="C9256" s="3" t="s">
        <v>3</v>
      </c>
    </row>
    <row r="9257">
      <c r="A9257" s="3">
        <v>4562.0</v>
      </c>
      <c r="B9257" s="4">
        <v>45431.427708333336</v>
      </c>
      <c r="C9257" s="3" t="s">
        <v>5</v>
      </c>
    </row>
    <row r="9258">
      <c r="A9258" s="3">
        <v>1969.0</v>
      </c>
      <c r="B9258" s="4">
        <v>45431.4531712963</v>
      </c>
      <c r="C9258" s="3" t="s">
        <v>3</v>
      </c>
    </row>
    <row r="9259">
      <c r="A9259" s="3">
        <v>5881.0</v>
      </c>
      <c r="B9259" s="4">
        <v>45431.459189814814</v>
      </c>
      <c r="C9259" s="3" t="s">
        <v>6</v>
      </c>
    </row>
    <row r="9260">
      <c r="A9260" s="3">
        <v>62.0</v>
      </c>
      <c r="B9260" s="4">
        <v>45431.46693287037</v>
      </c>
      <c r="C9260" s="3" t="s">
        <v>3</v>
      </c>
    </row>
    <row r="9261">
      <c r="A9261" s="3">
        <v>2514.0</v>
      </c>
      <c r="B9261" s="4">
        <v>45431.46857638889</v>
      </c>
      <c r="C9261" s="3" t="s">
        <v>5</v>
      </c>
    </row>
    <row r="9262">
      <c r="A9262" s="3">
        <v>1950.0</v>
      </c>
      <c r="B9262" s="4">
        <v>45431.47405092593</v>
      </c>
      <c r="C9262" s="3" t="s">
        <v>4</v>
      </c>
    </row>
    <row r="9263">
      <c r="A9263" s="3">
        <v>427.0</v>
      </c>
      <c r="B9263" s="4">
        <v>45431.486550925925</v>
      </c>
      <c r="C9263" s="3" t="s">
        <v>4</v>
      </c>
    </row>
    <row r="9264">
      <c r="A9264" s="3">
        <v>6627.0</v>
      </c>
      <c r="B9264" s="4">
        <v>45431.49332175926</v>
      </c>
      <c r="C9264" s="3" t="s">
        <v>5</v>
      </c>
    </row>
    <row r="9265">
      <c r="A9265" s="3">
        <v>4221.0</v>
      </c>
      <c r="B9265" s="4">
        <v>45431.515601851854</v>
      </c>
      <c r="C9265" s="3" t="s">
        <v>5</v>
      </c>
    </row>
    <row r="9266">
      <c r="A9266" s="3">
        <v>2653.0</v>
      </c>
      <c r="B9266" s="4">
        <v>45431.51938657407</v>
      </c>
      <c r="C9266" s="3" t="s">
        <v>4</v>
      </c>
    </row>
    <row r="9267">
      <c r="A9267" s="3">
        <v>2428.0</v>
      </c>
      <c r="B9267" s="4">
        <v>45431.57671296296</v>
      </c>
      <c r="C9267" s="3" t="s">
        <v>3</v>
      </c>
    </row>
    <row r="9268">
      <c r="A9268" s="3">
        <v>1868.0</v>
      </c>
      <c r="B9268" s="4">
        <v>45431.597719907404</v>
      </c>
      <c r="C9268" s="3" t="s">
        <v>7</v>
      </c>
    </row>
    <row r="9269">
      <c r="A9269" s="3">
        <v>1592.0</v>
      </c>
      <c r="B9269" s="4">
        <v>45431.614328703705</v>
      </c>
      <c r="C9269" s="3" t="s">
        <v>3</v>
      </c>
    </row>
    <row r="9270">
      <c r="A9270" s="3">
        <v>5438.0</v>
      </c>
      <c r="B9270" s="4">
        <v>45431.63167824074</v>
      </c>
      <c r="C9270" s="3" t="s">
        <v>4</v>
      </c>
    </row>
    <row r="9271">
      <c r="A9271" s="3">
        <v>3459.0</v>
      </c>
      <c r="B9271" s="4">
        <v>45431.63244212963</v>
      </c>
      <c r="C9271" s="3" t="s">
        <v>4</v>
      </c>
    </row>
    <row r="9272">
      <c r="A9272" s="3">
        <v>1871.0</v>
      </c>
      <c r="B9272" s="4">
        <v>45431.63324074074</v>
      </c>
      <c r="C9272" s="3" t="s">
        <v>3</v>
      </c>
    </row>
    <row r="9273">
      <c r="A9273" s="3">
        <v>6662.0</v>
      </c>
      <c r="B9273" s="4">
        <v>45431.66243055555</v>
      </c>
      <c r="C9273" s="3" t="s">
        <v>6</v>
      </c>
    </row>
    <row r="9274">
      <c r="A9274" s="3">
        <v>6251.0</v>
      </c>
      <c r="B9274" s="4">
        <v>45431.66674768519</v>
      </c>
      <c r="C9274" s="3" t="s">
        <v>3</v>
      </c>
    </row>
    <row r="9275">
      <c r="A9275" s="3">
        <v>6824.0</v>
      </c>
      <c r="B9275" s="4">
        <v>45431.70759259259</v>
      </c>
      <c r="C9275" s="3" t="s">
        <v>4</v>
      </c>
    </row>
    <row r="9276">
      <c r="A9276" s="3">
        <v>1555.0</v>
      </c>
      <c r="B9276" s="4">
        <v>45431.736122685186</v>
      </c>
      <c r="C9276" s="3" t="s">
        <v>6</v>
      </c>
    </row>
    <row r="9277">
      <c r="A9277" s="3">
        <v>3881.0</v>
      </c>
      <c r="B9277" s="4">
        <v>45431.7371875</v>
      </c>
      <c r="C9277" s="3" t="s">
        <v>3</v>
      </c>
    </row>
    <row r="9278">
      <c r="A9278" s="3">
        <v>5784.0</v>
      </c>
      <c r="B9278" s="4">
        <v>45431.75299768519</v>
      </c>
      <c r="C9278" s="3" t="s">
        <v>6</v>
      </c>
    </row>
    <row r="9279">
      <c r="A9279" s="3">
        <v>1872.0</v>
      </c>
      <c r="B9279" s="4">
        <v>45431.75523148148</v>
      </c>
      <c r="C9279" s="3" t="s">
        <v>3</v>
      </c>
    </row>
    <row r="9280">
      <c r="A9280" s="3">
        <v>7776.0</v>
      </c>
      <c r="B9280" s="4">
        <v>45431.78696759259</v>
      </c>
      <c r="C9280" s="3" t="s">
        <v>4</v>
      </c>
    </row>
    <row r="9281">
      <c r="A9281" s="3">
        <v>1140.0</v>
      </c>
      <c r="B9281" s="4">
        <v>45431.814988425926</v>
      </c>
      <c r="C9281" s="3" t="s">
        <v>3</v>
      </c>
    </row>
    <row r="9282">
      <c r="A9282" s="3">
        <v>2428.0</v>
      </c>
      <c r="B9282" s="4">
        <v>45431.83167824074</v>
      </c>
      <c r="C9282" s="3" t="s">
        <v>4</v>
      </c>
    </row>
    <row r="9283">
      <c r="A9283" s="3">
        <v>473.0</v>
      </c>
      <c r="B9283" s="4">
        <v>45431.840775462966</v>
      </c>
      <c r="C9283" s="3" t="s">
        <v>3</v>
      </c>
    </row>
    <row r="9284">
      <c r="A9284" s="3">
        <v>2723.0</v>
      </c>
      <c r="B9284" s="4">
        <v>45431.84390046296</v>
      </c>
      <c r="C9284" s="3" t="s">
        <v>3</v>
      </c>
    </row>
    <row r="9285">
      <c r="A9285" s="3">
        <v>1871.0</v>
      </c>
      <c r="B9285" s="4">
        <v>45431.851585648146</v>
      </c>
      <c r="C9285" s="3" t="s">
        <v>4</v>
      </c>
    </row>
    <row r="9286">
      <c r="A9286" s="3">
        <v>2458.0</v>
      </c>
      <c r="B9286" s="4">
        <v>45431.859826388885</v>
      </c>
      <c r="C9286" s="3" t="s">
        <v>6</v>
      </c>
    </row>
    <row r="9287">
      <c r="A9287" s="3">
        <v>7112.0</v>
      </c>
      <c r="B9287" s="4">
        <v>45431.87861111111</v>
      </c>
      <c r="C9287" s="3" t="s">
        <v>7</v>
      </c>
    </row>
    <row r="9288">
      <c r="A9288" s="3">
        <v>1028.0</v>
      </c>
      <c r="B9288" s="4">
        <v>45431.88626157407</v>
      </c>
      <c r="C9288" s="3" t="s">
        <v>6</v>
      </c>
    </row>
    <row r="9289">
      <c r="A9289" s="3">
        <v>227.0</v>
      </c>
      <c r="B9289" s="4">
        <v>45431.888391203705</v>
      </c>
      <c r="C9289" s="3" t="s">
        <v>3</v>
      </c>
    </row>
    <row r="9290">
      <c r="A9290" s="3">
        <v>6824.0</v>
      </c>
      <c r="B9290" s="4">
        <v>45431.920578703706</v>
      </c>
      <c r="C9290" s="3" t="s">
        <v>5</v>
      </c>
    </row>
    <row r="9291">
      <c r="A9291" s="3">
        <v>4226.0</v>
      </c>
      <c r="B9291" s="4">
        <v>45431.93413194444</v>
      </c>
      <c r="C9291" s="3" t="s">
        <v>3</v>
      </c>
    </row>
    <row r="9292">
      <c r="A9292" s="3">
        <v>38.0</v>
      </c>
      <c r="B9292" s="4">
        <v>45431.935590277775</v>
      </c>
      <c r="C9292" s="3" t="s">
        <v>6</v>
      </c>
    </row>
    <row r="9293">
      <c r="A9293" s="3">
        <v>5788.0</v>
      </c>
      <c r="B9293" s="4">
        <v>45431.94461805555</v>
      </c>
      <c r="C9293" s="3" t="s">
        <v>4</v>
      </c>
    </row>
    <row r="9294">
      <c r="A9294" s="3">
        <v>3411.0</v>
      </c>
      <c r="B9294" s="4">
        <v>45431.950949074075</v>
      </c>
      <c r="C9294" s="3" t="s">
        <v>3</v>
      </c>
    </row>
    <row r="9295">
      <c r="A9295" s="3">
        <v>1868.0</v>
      </c>
      <c r="B9295" s="4">
        <v>45431.9525</v>
      </c>
      <c r="C9295" s="3" t="s">
        <v>6</v>
      </c>
    </row>
    <row r="9296">
      <c r="A9296" s="3">
        <v>1444.0</v>
      </c>
      <c r="B9296" s="4">
        <v>45431.97589120371</v>
      </c>
      <c r="C9296" s="3" t="s">
        <v>4</v>
      </c>
    </row>
    <row r="9297">
      <c r="A9297" s="3">
        <v>1444.0</v>
      </c>
      <c r="B9297" s="4">
        <v>45431.97642361111</v>
      </c>
      <c r="C9297" s="3" t="s">
        <v>3</v>
      </c>
    </row>
    <row r="9298">
      <c r="A9298" s="3">
        <v>748.0</v>
      </c>
      <c r="B9298" s="4">
        <v>45431.986122685186</v>
      </c>
      <c r="C9298" s="3" t="s">
        <v>6</v>
      </c>
    </row>
    <row r="9299">
      <c r="A9299" s="3">
        <v>1972.0</v>
      </c>
      <c r="B9299" s="4">
        <v>45431.993842592594</v>
      </c>
      <c r="C9299" s="3" t="s">
        <v>4</v>
      </c>
    </row>
    <row r="9300">
      <c r="A9300" s="3">
        <v>788.0</v>
      </c>
      <c r="B9300" s="4">
        <v>45431.99951388889</v>
      </c>
      <c r="C9300" s="3" t="s">
        <v>3</v>
      </c>
    </row>
    <row r="9301">
      <c r="A9301" s="3">
        <v>5178.0</v>
      </c>
      <c r="B9301" s="4">
        <v>45432.04042824074</v>
      </c>
      <c r="C9301" s="3" t="s">
        <v>3</v>
      </c>
    </row>
    <row r="9302">
      <c r="A9302" s="3">
        <v>303.0</v>
      </c>
      <c r="B9302" s="4">
        <v>45432.05060185185</v>
      </c>
      <c r="C9302" s="3" t="s">
        <v>3</v>
      </c>
    </row>
    <row r="9303">
      <c r="A9303" s="3">
        <v>473.0</v>
      </c>
      <c r="B9303" s="4">
        <v>45432.06486111111</v>
      </c>
      <c r="C9303" s="3" t="s">
        <v>4</v>
      </c>
    </row>
    <row r="9304">
      <c r="A9304" s="3">
        <v>4014.0</v>
      </c>
      <c r="B9304" s="4">
        <v>45432.07298611111</v>
      </c>
      <c r="C9304" s="3" t="s">
        <v>3</v>
      </c>
    </row>
    <row r="9305">
      <c r="A9305" s="3">
        <v>4197.0</v>
      </c>
      <c r="B9305" s="4">
        <v>45432.116944444446</v>
      </c>
      <c r="C9305" s="3" t="s">
        <v>3</v>
      </c>
    </row>
    <row r="9306">
      <c r="A9306" s="3">
        <v>1147.0</v>
      </c>
      <c r="B9306" s="4">
        <v>45432.14387731482</v>
      </c>
      <c r="C9306" s="3" t="s">
        <v>5</v>
      </c>
    </row>
    <row r="9307">
      <c r="A9307" s="3">
        <v>6614.0</v>
      </c>
      <c r="B9307" s="4">
        <v>45432.14638888889</v>
      </c>
      <c r="C9307" s="3" t="s">
        <v>6</v>
      </c>
    </row>
    <row r="9308">
      <c r="A9308" s="3">
        <v>4412.0</v>
      </c>
      <c r="B9308" s="4">
        <v>45432.14677083334</v>
      </c>
      <c r="C9308" s="3" t="s">
        <v>3</v>
      </c>
    </row>
    <row r="9309">
      <c r="A9309" s="3">
        <v>7694.0</v>
      </c>
      <c r="B9309" s="4">
        <v>45432.1471875</v>
      </c>
      <c r="C9309" s="3" t="s">
        <v>3</v>
      </c>
    </row>
    <row r="9310">
      <c r="A9310" s="3">
        <v>1028.0</v>
      </c>
      <c r="B9310" s="4">
        <v>45432.19914351852</v>
      </c>
      <c r="C9310" s="3" t="s">
        <v>4</v>
      </c>
    </row>
    <row r="9311">
      <c r="A9311" s="3">
        <v>2974.0</v>
      </c>
      <c r="B9311" s="4">
        <v>45432.213912037034</v>
      </c>
      <c r="C9311" s="3" t="s">
        <v>5</v>
      </c>
    </row>
    <row r="9312">
      <c r="A9312" s="3">
        <v>5191.0</v>
      </c>
      <c r="B9312" s="4">
        <v>45432.278333333335</v>
      </c>
      <c r="C9312" s="3" t="s">
        <v>4</v>
      </c>
    </row>
    <row r="9313">
      <c r="A9313" s="3">
        <v>1759.0</v>
      </c>
      <c r="B9313" s="4">
        <v>45432.288819444446</v>
      </c>
      <c r="C9313" s="3" t="s">
        <v>4</v>
      </c>
    </row>
    <row r="9314">
      <c r="A9314" s="3">
        <v>56.0</v>
      </c>
      <c r="B9314" s="4">
        <v>45432.320289351854</v>
      </c>
      <c r="C9314" s="3" t="s">
        <v>3</v>
      </c>
    </row>
    <row r="9315">
      <c r="A9315" s="3">
        <v>5122.0</v>
      </c>
      <c r="B9315" s="4">
        <v>45432.34501157407</v>
      </c>
      <c r="C9315" s="3" t="s">
        <v>4</v>
      </c>
    </row>
    <row r="9316">
      <c r="A9316" s="3">
        <v>4307.0</v>
      </c>
      <c r="B9316" s="4">
        <v>45432.34877314815</v>
      </c>
      <c r="C9316" s="3" t="s">
        <v>3</v>
      </c>
    </row>
    <row r="9317">
      <c r="A9317" s="3">
        <v>1394.0</v>
      </c>
      <c r="B9317" s="4">
        <v>45432.368935185186</v>
      </c>
      <c r="C9317" s="3" t="s">
        <v>4</v>
      </c>
    </row>
    <row r="9318">
      <c r="A9318" s="3">
        <v>7470.0</v>
      </c>
      <c r="B9318" s="4">
        <v>45432.38265046296</v>
      </c>
      <c r="C9318" s="3" t="s">
        <v>3</v>
      </c>
    </row>
    <row r="9319">
      <c r="A9319" s="3">
        <v>4529.0</v>
      </c>
      <c r="B9319" s="4">
        <v>45432.41570601852</v>
      </c>
      <c r="C9319" s="3" t="s">
        <v>3</v>
      </c>
    </row>
    <row r="9320">
      <c r="A9320" s="3">
        <v>7899.0</v>
      </c>
      <c r="B9320" s="4">
        <v>45432.44399305555</v>
      </c>
      <c r="C9320" s="3" t="s">
        <v>6</v>
      </c>
    </row>
    <row r="9321">
      <c r="A9321" s="3">
        <v>1147.0</v>
      </c>
      <c r="B9321" s="4">
        <v>45432.447488425925</v>
      </c>
      <c r="C9321" s="3" t="s">
        <v>3</v>
      </c>
    </row>
    <row r="9322">
      <c r="A9322" s="3">
        <v>3468.0</v>
      </c>
      <c r="B9322" s="4">
        <v>45432.46047453704</v>
      </c>
      <c r="C9322" s="3" t="s">
        <v>3</v>
      </c>
    </row>
    <row r="9323">
      <c r="A9323" s="3">
        <v>1606.0</v>
      </c>
      <c r="B9323" s="4">
        <v>45432.46581018518</v>
      </c>
      <c r="C9323" s="3" t="s">
        <v>3</v>
      </c>
    </row>
    <row r="9324">
      <c r="A9324" s="3">
        <v>227.0</v>
      </c>
      <c r="B9324" s="4">
        <v>45432.48179398148</v>
      </c>
      <c r="C9324" s="3" t="s">
        <v>4</v>
      </c>
    </row>
    <row r="9325">
      <c r="A9325" s="3">
        <v>5346.0</v>
      </c>
      <c r="B9325" s="4">
        <v>45432.511030092595</v>
      </c>
      <c r="C9325" s="3" t="s">
        <v>3</v>
      </c>
    </row>
    <row r="9326">
      <c r="A9326" s="3">
        <v>7941.0</v>
      </c>
      <c r="B9326" s="4">
        <v>45432.51435185185</v>
      </c>
      <c r="C9326" s="3" t="s">
        <v>5</v>
      </c>
    </row>
    <row r="9327">
      <c r="A9327" s="3">
        <v>6657.0</v>
      </c>
      <c r="B9327" s="4">
        <v>45432.53518518519</v>
      </c>
      <c r="C9327" s="3" t="s">
        <v>3</v>
      </c>
    </row>
    <row r="9328">
      <c r="A9328" s="3">
        <v>4818.0</v>
      </c>
      <c r="B9328" s="4">
        <v>45432.539560185185</v>
      </c>
      <c r="C9328" s="3" t="s">
        <v>3</v>
      </c>
    </row>
    <row r="9329">
      <c r="A9329" s="3">
        <v>1872.0</v>
      </c>
      <c r="B9329" s="4">
        <v>45432.5424537037</v>
      </c>
      <c r="C9329" s="3" t="s">
        <v>4</v>
      </c>
    </row>
    <row r="9330">
      <c r="A9330" s="3">
        <v>1109.0</v>
      </c>
      <c r="B9330" s="4">
        <v>45432.5522337963</v>
      </c>
      <c r="C9330" s="3" t="s">
        <v>6</v>
      </c>
    </row>
    <row r="9331">
      <c r="A9331" s="3">
        <v>1872.0</v>
      </c>
      <c r="B9331" s="4">
        <v>45432.560208333336</v>
      </c>
      <c r="C9331" s="3" t="s">
        <v>6</v>
      </c>
    </row>
    <row r="9332">
      <c r="A9332" s="3">
        <v>3197.0</v>
      </c>
      <c r="B9332" s="4">
        <v>45432.56030092593</v>
      </c>
      <c r="C9332" s="3" t="s">
        <v>4</v>
      </c>
    </row>
    <row r="9333">
      <c r="A9333" s="3">
        <v>7414.0</v>
      </c>
      <c r="B9333" s="4">
        <v>45432.56140046296</v>
      </c>
      <c r="C9333" s="3" t="s">
        <v>3</v>
      </c>
    </row>
    <row r="9334">
      <c r="A9334" s="3">
        <v>1047.0</v>
      </c>
      <c r="B9334" s="4">
        <v>45432.568344907406</v>
      </c>
      <c r="C9334" s="3" t="s">
        <v>7</v>
      </c>
    </row>
    <row r="9335">
      <c r="A9335" s="3">
        <v>3026.0</v>
      </c>
      <c r="B9335" s="4">
        <v>45432.57760416667</v>
      </c>
      <c r="C9335" s="3" t="s">
        <v>6</v>
      </c>
    </row>
    <row r="9336">
      <c r="A9336" s="3">
        <v>7112.0</v>
      </c>
      <c r="B9336" s="4">
        <v>45432.639027777775</v>
      </c>
      <c r="C9336" s="3" t="s">
        <v>4</v>
      </c>
    </row>
    <row r="9337">
      <c r="A9337" s="3">
        <v>2099.0</v>
      </c>
      <c r="B9337" s="4">
        <v>45432.65966435185</v>
      </c>
      <c r="C9337" s="3" t="s">
        <v>3</v>
      </c>
    </row>
    <row r="9338">
      <c r="A9338" s="3">
        <v>5178.0</v>
      </c>
      <c r="B9338" s="4">
        <v>45432.67758101852</v>
      </c>
      <c r="C9338" s="3" t="s">
        <v>4</v>
      </c>
    </row>
    <row r="9339">
      <c r="A9339" s="3">
        <v>1759.0</v>
      </c>
      <c r="B9339" s="4">
        <v>45432.6984375</v>
      </c>
      <c r="C9339" s="3" t="s">
        <v>6</v>
      </c>
    </row>
    <row r="9340">
      <c r="A9340" s="3">
        <v>427.0</v>
      </c>
      <c r="B9340" s="4">
        <v>45432.70134259259</v>
      </c>
      <c r="C9340" s="3" t="s">
        <v>5</v>
      </c>
    </row>
    <row r="9341">
      <c r="A9341" s="3">
        <v>1868.0</v>
      </c>
      <c r="B9341" s="4">
        <v>45432.70976851852</v>
      </c>
      <c r="C9341" s="3" t="s">
        <v>4</v>
      </c>
    </row>
    <row r="9342">
      <c r="A9342" s="3">
        <v>1264.0</v>
      </c>
      <c r="B9342" s="4">
        <v>45432.71519675926</v>
      </c>
      <c r="C9342" s="3" t="s">
        <v>6</v>
      </c>
    </row>
    <row r="9343">
      <c r="A9343" s="3">
        <v>2987.0</v>
      </c>
      <c r="B9343" s="4">
        <v>45432.7965625</v>
      </c>
      <c r="C9343" s="3" t="s">
        <v>4</v>
      </c>
    </row>
    <row r="9344">
      <c r="A9344" s="3">
        <v>2951.0</v>
      </c>
      <c r="B9344" s="4">
        <v>45432.80222222222</v>
      </c>
      <c r="C9344" s="3" t="s">
        <v>4</v>
      </c>
    </row>
    <row r="9345">
      <c r="A9345" s="3">
        <v>2514.0</v>
      </c>
      <c r="B9345" s="4">
        <v>45432.817928240744</v>
      </c>
      <c r="C9345" s="3" t="s">
        <v>6</v>
      </c>
    </row>
    <row r="9346">
      <c r="A9346" s="3">
        <v>5175.0</v>
      </c>
      <c r="B9346" s="4">
        <v>45432.82550925926</v>
      </c>
      <c r="C9346" s="3" t="s">
        <v>4</v>
      </c>
    </row>
    <row r="9347">
      <c r="A9347" s="3">
        <v>421.0</v>
      </c>
      <c r="B9347" s="4">
        <v>45432.84652777778</v>
      </c>
      <c r="C9347" s="3" t="s">
        <v>3</v>
      </c>
    </row>
    <row r="9348">
      <c r="A9348" s="3">
        <v>3437.0</v>
      </c>
      <c r="B9348" s="4">
        <v>45432.88269675926</v>
      </c>
      <c r="C9348" s="3" t="s">
        <v>3</v>
      </c>
    </row>
    <row r="9349">
      <c r="A9349" s="3">
        <v>7470.0</v>
      </c>
      <c r="B9349" s="4">
        <v>45432.917037037034</v>
      </c>
      <c r="C9349" s="3" t="s">
        <v>4</v>
      </c>
    </row>
    <row r="9350">
      <c r="A9350" s="3">
        <v>1208.0</v>
      </c>
      <c r="B9350" s="4">
        <v>45432.920486111114</v>
      </c>
      <c r="C9350" s="3" t="s">
        <v>3</v>
      </c>
    </row>
    <row r="9351">
      <c r="A9351" s="3">
        <v>5730.0</v>
      </c>
      <c r="B9351" s="4">
        <v>45432.921435185184</v>
      </c>
      <c r="C9351" s="3" t="s">
        <v>6</v>
      </c>
    </row>
    <row r="9352">
      <c r="A9352" s="3">
        <v>7399.0</v>
      </c>
      <c r="B9352" s="4">
        <v>45432.92969907408</v>
      </c>
      <c r="C9352" s="3" t="s">
        <v>6</v>
      </c>
    </row>
    <row r="9353">
      <c r="A9353" s="3">
        <v>6657.0</v>
      </c>
      <c r="B9353" s="4">
        <v>45432.95586805556</v>
      </c>
      <c r="C9353" s="3" t="s">
        <v>4</v>
      </c>
    </row>
    <row r="9354">
      <c r="A9354" s="3">
        <v>7776.0</v>
      </c>
      <c r="B9354" s="4">
        <v>45432.96177083333</v>
      </c>
      <c r="C9354" s="3" t="s">
        <v>7</v>
      </c>
    </row>
    <row r="9355">
      <c r="A9355" s="3">
        <v>7583.0</v>
      </c>
      <c r="B9355" s="4">
        <v>45432.96916666667</v>
      </c>
      <c r="C9355" s="3" t="s">
        <v>6</v>
      </c>
    </row>
    <row r="9356">
      <c r="A9356" s="3">
        <v>4764.0</v>
      </c>
      <c r="B9356" s="4">
        <v>45432.96971064815</v>
      </c>
      <c r="C9356" s="3" t="s">
        <v>3</v>
      </c>
    </row>
    <row r="9357">
      <c r="A9357" s="3">
        <v>189.0</v>
      </c>
      <c r="B9357" s="4">
        <v>45432.97736111111</v>
      </c>
      <c r="C9357" s="3" t="s">
        <v>3</v>
      </c>
    </row>
    <row r="9358">
      <c r="A9358" s="3">
        <v>6514.0</v>
      </c>
      <c r="B9358" s="4">
        <v>45433.00539351852</v>
      </c>
      <c r="C9358" s="3" t="s">
        <v>3</v>
      </c>
    </row>
    <row r="9359">
      <c r="A9359" s="3">
        <v>3881.0</v>
      </c>
      <c r="B9359" s="4">
        <v>45433.02722222222</v>
      </c>
      <c r="C9359" s="3" t="s">
        <v>4</v>
      </c>
    </row>
    <row r="9360">
      <c r="A9360" s="3">
        <v>5429.0</v>
      </c>
      <c r="B9360" s="4">
        <v>45433.04232638889</v>
      </c>
      <c r="C9360" s="3" t="s">
        <v>6</v>
      </c>
    </row>
    <row r="9361">
      <c r="A9361" s="3">
        <v>4370.0</v>
      </c>
      <c r="B9361" s="4">
        <v>45433.048263888886</v>
      </c>
      <c r="C9361" s="3" t="s">
        <v>4</v>
      </c>
    </row>
    <row r="9362">
      <c r="A9362" s="3">
        <v>473.0</v>
      </c>
      <c r="B9362" s="4">
        <v>45433.0958912037</v>
      </c>
      <c r="C9362" s="3" t="s">
        <v>6</v>
      </c>
    </row>
    <row r="9363">
      <c r="A9363" s="3">
        <v>1321.0</v>
      </c>
      <c r="B9363" s="4">
        <v>45433.10207175926</v>
      </c>
      <c r="C9363" s="3" t="s">
        <v>6</v>
      </c>
    </row>
    <row r="9364">
      <c r="A9364" s="3">
        <v>6094.0</v>
      </c>
      <c r="B9364" s="4">
        <v>45433.10366898148</v>
      </c>
      <c r="C9364" s="3" t="s">
        <v>7</v>
      </c>
    </row>
    <row r="9365">
      <c r="A9365" s="3">
        <v>2723.0</v>
      </c>
      <c r="B9365" s="4">
        <v>45433.125</v>
      </c>
      <c r="C9365" s="3" t="s">
        <v>4</v>
      </c>
    </row>
    <row r="9366">
      <c r="A9366" s="3">
        <v>7486.0</v>
      </c>
      <c r="B9366" s="4">
        <v>45433.170115740744</v>
      </c>
      <c r="C9366" s="3" t="s">
        <v>3</v>
      </c>
    </row>
    <row r="9367">
      <c r="A9367" s="3">
        <v>2812.0</v>
      </c>
      <c r="B9367" s="4">
        <v>45433.17821759259</v>
      </c>
      <c r="C9367" s="3" t="s">
        <v>3</v>
      </c>
    </row>
    <row r="9368">
      <c r="A9368" s="3">
        <v>2099.0</v>
      </c>
      <c r="B9368" s="4">
        <v>45433.22069444445</v>
      </c>
      <c r="C9368" s="3" t="s">
        <v>7</v>
      </c>
    </row>
    <row r="9369">
      <c r="A9369" s="3">
        <v>1868.0</v>
      </c>
      <c r="B9369" s="4">
        <v>45433.26866898148</v>
      </c>
      <c r="C9369" s="3" t="s">
        <v>5</v>
      </c>
    </row>
    <row r="9370">
      <c r="A9370" s="3">
        <v>6821.0</v>
      </c>
      <c r="B9370" s="4">
        <v>45433.29589120371</v>
      </c>
      <c r="C9370" s="3" t="s">
        <v>6</v>
      </c>
    </row>
    <row r="9371">
      <c r="A9371" s="3">
        <v>1028.0</v>
      </c>
      <c r="B9371" s="4">
        <v>45433.318344907406</v>
      </c>
      <c r="C9371" s="3" t="s">
        <v>5</v>
      </c>
    </row>
    <row r="9372">
      <c r="A9372" s="3">
        <v>5861.0</v>
      </c>
      <c r="B9372" s="4">
        <v>45433.33236111111</v>
      </c>
      <c r="C9372" s="3" t="s">
        <v>7</v>
      </c>
    </row>
    <row r="9373">
      <c r="A9373" s="3">
        <v>4810.0</v>
      </c>
      <c r="B9373" s="4">
        <v>45433.33803240741</v>
      </c>
      <c r="C9373" s="3" t="s">
        <v>3</v>
      </c>
    </row>
    <row r="9374">
      <c r="A9374" s="3">
        <v>582.0</v>
      </c>
      <c r="B9374" s="4">
        <v>45433.359502314815</v>
      </c>
      <c r="C9374" s="3" t="s">
        <v>3</v>
      </c>
    </row>
    <row r="9375">
      <c r="A9375" s="3">
        <v>5308.0</v>
      </c>
      <c r="B9375" s="4">
        <v>45433.38484953704</v>
      </c>
      <c r="C9375" s="3" t="s">
        <v>3</v>
      </c>
    </row>
    <row r="9376">
      <c r="A9376" s="3">
        <v>1034.0</v>
      </c>
      <c r="B9376" s="4">
        <v>45433.4143287037</v>
      </c>
      <c r="C9376" s="3" t="s">
        <v>3</v>
      </c>
    </row>
    <row r="9377">
      <c r="A9377" s="3">
        <v>1902.0</v>
      </c>
      <c r="B9377" s="4">
        <v>45433.415358796294</v>
      </c>
      <c r="C9377" s="3" t="s">
        <v>3</v>
      </c>
    </row>
    <row r="9378">
      <c r="A9378" s="3">
        <v>5308.0</v>
      </c>
      <c r="B9378" s="4">
        <v>45433.424525462964</v>
      </c>
      <c r="C9378" s="3" t="s">
        <v>5</v>
      </c>
    </row>
    <row r="9379">
      <c r="A9379" s="3">
        <v>1717.0</v>
      </c>
      <c r="B9379" s="4">
        <v>45433.45108796296</v>
      </c>
      <c r="C9379" s="3" t="s">
        <v>3</v>
      </c>
    </row>
    <row r="9380">
      <c r="A9380" s="3">
        <v>3695.0</v>
      </c>
      <c r="B9380" s="4">
        <v>45433.47521990741</v>
      </c>
      <c r="C9380" s="3" t="s">
        <v>3</v>
      </c>
    </row>
    <row r="9381">
      <c r="A9381" s="3">
        <v>1750.0</v>
      </c>
      <c r="B9381" s="4">
        <v>45433.49586805556</v>
      </c>
      <c r="C9381" s="3" t="s">
        <v>3</v>
      </c>
    </row>
    <row r="9382">
      <c r="A9382" s="3">
        <v>1537.0</v>
      </c>
      <c r="B9382" s="4">
        <v>45433.500069444446</v>
      </c>
      <c r="C9382" s="3" t="s">
        <v>5</v>
      </c>
    </row>
    <row r="9383">
      <c r="A9383" s="3">
        <v>1147.0</v>
      </c>
      <c r="B9383" s="4">
        <v>45433.51712962963</v>
      </c>
      <c r="C9383" s="3" t="s">
        <v>4</v>
      </c>
    </row>
    <row r="9384">
      <c r="A9384" s="3">
        <v>2099.0</v>
      </c>
      <c r="B9384" s="4">
        <v>45433.51733796296</v>
      </c>
      <c r="C9384" s="3" t="s">
        <v>4</v>
      </c>
    </row>
    <row r="9385">
      <c r="A9385" s="3">
        <v>6135.0</v>
      </c>
      <c r="B9385" s="4">
        <v>45433.52074074074</v>
      </c>
      <c r="C9385" s="3" t="s">
        <v>5</v>
      </c>
    </row>
    <row r="9386">
      <c r="A9386" s="3">
        <v>1034.0</v>
      </c>
      <c r="B9386" s="4">
        <v>45433.52173611111</v>
      </c>
      <c r="C9386" s="3" t="s">
        <v>4</v>
      </c>
    </row>
    <row r="9387">
      <c r="A9387" s="3">
        <v>5167.0</v>
      </c>
      <c r="B9387" s="4">
        <v>45433.52315972222</v>
      </c>
      <c r="C9387" s="3" t="s">
        <v>3</v>
      </c>
    </row>
    <row r="9388">
      <c r="A9388" s="3">
        <v>6958.0</v>
      </c>
      <c r="B9388" s="4">
        <v>45433.52329861111</v>
      </c>
      <c r="C9388" s="3" t="s">
        <v>3</v>
      </c>
    </row>
    <row r="9389">
      <c r="A9389" s="3">
        <v>7941.0</v>
      </c>
      <c r="B9389" s="4">
        <v>45433.52349537037</v>
      </c>
      <c r="C9389" s="3" t="s">
        <v>6</v>
      </c>
    </row>
    <row r="9390">
      <c r="A9390" s="3">
        <v>3207.0</v>
      </c>
      <c r="B9390" s="4">
        <v>45433.54608796296</v>
      </c>
      <c r="C9390" s="3" t="s">
        <v>3</v>
      </c>
    </row>
    <row r="9391">
      <c r="A9391" s="3">
        <v>3279.0</v>
      </c>
      <c r="B9391" s="4">
        <v>45433.56732638889</v>
      </c>
      <c r="C9391" s="3" t="s">
        <v>3</v>
      </c>
    </row>
    <row r="9392">
      <c r="A9392" s="3">
        <v>4010.0</v>
      </c>
      <c r="B9392" s="4">
        <v>45433.58724537037</v>
      </c>
      <c r="C9392" s="3" t="s">
        <v>3</v>
      </c>
    </row>
    <row r="9393">
      <c r="A9393" s="3">
        <v>427.0</v>
      </c>
      <c r="B9393" s="4">
        <v>45433.593981481485</v>
      </c>
      <c r="C9393" s="3" t="s">
        <v>6</v>
      </c>
    </row>
    <row r="9394">
      <c r="A9394" s="3">
        <v>4971.0</v>
      </c>
      <c r="B9394" s="4">
        <v>45433.604108796295</v>
      </c>
      <c r="C9394" s="3" t="s">
        <v>3</v>
      </c>
    </row>
    <row r="9395">
      <c r="A9395" s="3">
        <v>5393.0</v>
      </c>
      <c r="B9395" s="4">
        <v>45433.66972222222</v>
      </c>
      <c r="C9395" s="3" t="s">
        <v>3</v>
      </c>
    </row>
    <row r="9396">
      <c r="A9396" s="3">
        <v>4014.0</v>
      </c>
      <c r="B9396" s="4">
        <v>45433.68111111111</v>
      </c>
      <c r="C9396" s="3" t="s">
        <v>4</v>
      </c>
    </row>
    <row r="9397">
      <c r="A9397" s="3">
        <v>3855.0</v>
      </c>
      <c r="B9397" s="4">
        <v>45433.69709490741</v>
      </c>
      <c r="C9397" s="3" t="s">
        <v>3</v>
      </c>
    </row>
    <row r="9398">
      <c r="A9398" s="3">
        <v>4197.0</v>
      </c>
      <c r="B9398" s="4">
        <v>45433.72190972222</v>
      </c>
      <c r="C9398" s="3" t="s">
        <v>4</v>
      </c>
    </row>
    <row r="9399">
      <c r="A9399" s="3">
        <v>1442.0</v>
      </c>
      <c r="B9399" s="4">
        <v>45433.72243055556</v>
      </c>
      <c r="C9399" s="3" t="s">
        <v>3</v>
      </c>
    </row>
    <row r="9400">
      <c r="A9400" s="3">
        <v>5637.0</v>
      </c>
      <c r="B9400" s="4">
        <v>45433.758726851855</v>
      </c>
      <c r="C9400" s="3" t="s">
        <v>7</v>
      </c>
    </row>
    <row r="9401">
      <c r="A9401" s="3">
        <v>5998.0</v>
      </c>
      <c r="B9401" s="4">
        <v>45433.76641203704</v>
      </c>
      <c r="C9401" s="3" t="s">
        <v>3</v>
      </c>
    </row>
    <row r="9402">
      <c r="A9402" s="3">
        <v>5868.0</v>
      </c>
      <c r="B9402" s="4">
        <v>45433.782743055555</v>
      </c>
      <c r="C9402" s="3" t="s">
        <v>3</v>
      </c>
    </row>
    <row r="9403">
      <c r="A9403" s="3">
        <v>6094.0</v>
      </c>
      <c r="B9403" s="4">
        <v>45433.81548611111</v>
      </c>
      <c r="C9403" s="3" t="s">
        <v>6</v>
      </c>
    </row>
    <row r="9404">
      <c r="A9404" s="3">
        <v>6023.0</v>
      </c>
      <c r="B9404" s="4">
        <v>45433.87206018518</v>
      </c>
      <c r="C9404" s="3" t="s">
        <v>3</v>
      </c>
    </row>
    <row r="9405">
      <c r="A9405" s="3">
        <v>1133.0</v>
      </c>
      <c r="B9405" s="4">
        <v>45433.885613425926</v>
      </c>
      <c r="C9405" s="3" t="s">
        <v>3</v>
      </c>
    </row>
    <row r="9406">
      <c r="A9406" s="3">
        <v>2280.0</v>
      </c>
      <c r="B9406" s="4">
        <v>45433.89858796296</v>
      </c>
      <c r="C9406" s="3" t="s">
        <v>3</v>
      </c>
    </row>
    <row r="9407">
      <c r="A9407" s="3">
        <v>6135.0</v>
      </c>
      <c r="B9407" s="4">
        <v>45433.90346064815</v>
      </c>
      <c r="C9407" s="3" t="s">
        <v>3</v>
      </c>
    </row>
    <row r="9408">
      <c r="A9408" s="3">
        <v>3411.0</v>
      </c>
      <c r="B9408" s="4">
        <v>45433.90759259259</v>
      </c>
      <c r="C9408" s="3" t="s">
        <v>4</v>
      </c>
    </row>
    <row r="9409">
      <c r="A9409" s="3">
        <v>3264.0</v>
      </c>
      <c r="B9409" s="4">
        <v>45433.95574074074</v>
      </c>
      <c r="C9409" s="3" t="s">
        <v>6</v>
      </c>
    </row>
    <row r="9410">
      <c r="A9410" s="3">
        <v>2571.0</v>
      </c>
      <c r="B9410" s="4">
        <v>45433.95686342593</v>
      </c>
      <c r="C9410" s="3" t="s">
        <v>7</v>
      </c>
    </row>
    <row r="9411">
      <c r="A9411" s="3">
        <v>5361.0</v>
      </c>
      <c r="B9411" s="4">
        <v>45433.96440972222</v>
      </c>
      <c r="C9411" s="3" t="s">
        <v>4</v>
      </c>
    </row>
    <row r="9412">
      <c r="A9412" s="3">
        <v>4370.0</v>
      </c>
      <c r="B9412" s="4">
        <v>45433.99449074074</v>
      </c>
      <c r="C9412" s="3" t="s">
        <v>3</v>
      </c>
    </row>
    <row r="9413">
      <c r="A9413" s="3">
        <v>2567.0</v>
      </c>
      <c r="B9413" s="4">
        <v>45434.007152777776</v>
      </c>
      <c r="C9413" s="3" t="s">
        <v>3</v>
      </c>
    </row>
    <row r="9414">
      <c r="A9414" s="3">
        <v>3998.0</v>
      </c>
      <c r="B9414" s="4">
        <v>45434.027037037034</v>
      </c>
      <c r="C9414" s="3" t="s">
        <v>3</v>
      </c>
    </row>
    <row r="9415">
      <c r="A9415" s="3">
        <v>5066.0</v>
      </c>
      <c r="B9415" s="4">
        <v>45434.03943287037</v>
      </c>
      <c r="C9415" s="3" t="s">
        <v>3</v>
      </c>
    </row>
    <row r="9416">
      <c r="A9416" s="3">
        <v>6135.0</v>
      </c>
      <c r="B9416" s="4">
        <v>45434.106620370374</v>
      </c>
      <c r="C9416" s="3" t="s">
        <v>4</v>
      </c>
    </row>
    <row r="9417">
      <c r="A9417" s="3">
        <v>4010.0</v>
      </c>
      <c r="B9417" s="4">
        <v>45434.11625</v>
      </c>
      <c r="C9417" s="3" t="s">
        <v>4</v>
      </c>
    </row>
    <row r="9418">
      <c r="A9418" s="3">
        <v>2458.0</v>
      </c>
      <c r="B9418" s="4">
        <v>45434.150196759256</v>
      </c>
      <c r="C9418" s="3" t="s">
        <v>7</v>
      </c>
    </row>
    <row r="9419">
      <c r="A9419" s="3">
        <v>5479.0</v>
      </c>
      <c r="B9419" s="4">
        <v>45434.15032407407</v>
      </c>
      <c r="C9419" s="3" t="s">
        <v>3</v>
      </c>
    </row>
    <row r="9420">
      <c r="A9420" s="3">
        <v>1411.0</v>
      </c>
      <c r="B9420" s="4">
        <v>45434.154861111114</v>
      </c>
      <c r="C9420" s="3" t="s">
        <v>3</v>
      </c>
    </row>
    <row r="9421">
      <c r="A9421" s="3">
        <v>7203.0</v>
      </c>
      <c r="B9421" s="4">
        <v>45434.22715277778</v>
      </c>
      <c r="C9421" s="3" t="s">
        <v>3</v>
      </c>
    </row>
    <row r="9422">
      <c r="A9422" s="3">
        <v>7486.0</v>
      </c>
      <c r="B9422" s="4">
        <v>45434.22819444445</v>
      </c>
      <c r="C9422" s="3" t="s">
        <v>5</v>
      </c>
    </row>
    <row r="9423">
      <c r="A9423" s="3">
        <v>6023.0</v>
      </c>
      <c r="B9423" s="4">
        <v>45434.24527777778</v>
      </c>
      <c r="C9423" s="3" t="s">
        <v>5</v>
      </c>
    </row>
    <row r="9424">
      <c r="A9424" s="3">
        <v>5346.0</v>
      </c>
      <c r="B9424" s="4">
        <v>45434.25148148148</v>
      </c>
      <c r="C9424" s="3" t="s">
        <v>4</v>
      </c>
    </row>
    <row r="9425">
      <c r="A9425" s="3">
        <v>369.0</v>
      </c>
      <c r="B9425" s="4">
        <v>45434.25383101852</v>
      </c>
      <c r="C9425" s="3" t="s">
        <v>3</v>
      </c>
    </row>
    <row r="9426">
      <c r="A9426" s="3">
        <v>576.0</v>
      </c>
      <c r="B9426" s="4">
        <v>45434.254537037035</v>
      </c>
      <c r="C9426" s="3" t="s">
        <v>3</v>
      </c>
    </row>
    <row r="9427">
      <c r="A9427" s="3">
        <v>3092.0</v>
      </c>
      <c r="B9427" s="4">
        <v>45434.25959490741</v>
      </c>
      <c r="C9427" s="3" t="s">
        <v>3</v>
      </c>
    </row>
    <row r="9428">
      <c r="A9428" s="3">
        <v>7504.0</v>
      </c>
      <c r="B9428" s="4">
        <v>45434.27412037037</v>
      </c>
      <c r="C9428" s="3" t="s">
        <v>3</v>
      </c>
    </row>
    <row r="9429">
      <c r="A9429" s="3">
        <v>1872.0</v>
      </c>
      <c r="B9429" s="4">
        <v>45434.27686342593</v>
      </c>
      <c r="C9429" s="3" t="s">
        <v>7</v>
      </c>
    </row>
    <row r="9430">
      <c r="A9430" s="3">
        <v>2477.0</v>
      </c>
      <c r="B9430" s="4">
        <v>45434.291493055556</v>
      </c>
      <c r="C9430" s="3" t="s">
        <v>3</v>
      </c>
    </row>
    <row r="9431">
      <c r="A9431" s="3">
        <v>7941.0</v>
      </c>
      <c r="B9431" s="4">
        <v>45434.34364583333</v>
      </c>
      <c r="C9431" s="3" t="s">
        <v>7</v>
      </c>
    </row>
    <row r="9432">
      <c r="A9432" s="3">
        <v>1972.0</v>
      </c>
      <c r="B9432" s="4">
        <v>45434.35765046296</v>
      </c>
      <c r="C9432" s="3" t="s">
        <v>7</v>
      </c>
    </row>
    <row r="9433">
      <c r="A9433" s="3">
        <v>4123.0</v>
      </c>
      <c r="B9433" s="4">
        <v>45434.37336805555</v>
      </c>
      <c r="C9433" s="3" t="s">
        <v>3</v>
      </c>
    </row>
    <row r="9434">
      <c r="A9434" s="3">
        <v>3855.0</v>
      </c>
      <c r="B9434" s="4">
        <v>45434.43351851852</v>
      </c>
      <c r="C9434" s="3" t="s">
        <v>4</v>
      </c>
    </row>
    <row r="9435">
      <c r="A9435" s="3">
        <v>2772.0</v>
      </c>
      <c r="B9435" s="4">
        <v>45434.448900462965</v>
      </c>
      <c r="C9435" s="3" t="s">
        <v>3</v>
      </c>
    </row>
    <row r="9436">
      <c r="A9436" s="3">
        <v>5153.0</v>
      </c>
      <c r="B9436" s="4">
        <v>45434.50163194445</v>
      </c>
      <c r="C9436" s="3" t="s">
        <v>6</v>
      </c>
    </row>
    <row r="9437">
      <c r="A9437" s="3">
        <v>715.0</v>
      </c>
      <c r="B9437" s="4">
        <v>45434.50738425926</v>
      </c>
      <c r="C9437" s="3" t="s">
        <v>3</v>
      </c>
    </row>
    <row r="9438">
      <c r="A9438" s="3">
        <v>1870.0</v>
      </c>
      <c r="B9438" s="4">
        <v>45434.51935185185</v>
      </c>
      <c r="C9438" s="3" t="s">
        <v>3</v>
      </c>
    </row>
    <row r="9439">
      <c r="A9439" s="3">
        <v>1263.0</v>
      </c>
      <c r="B9439" s="4">
        <v>45434.5200462963</v>
      </c>
      <c r="C9439" s="3" t="s">
        <v>3</v>
      </c>
    </row>
    <row r="9440">
      <c r="A9440" s="3">
        <v>7414.0</v>
      </c>
      <c r="B9440" s="4">
        <v>45434.52725694444</v>
      </c>
      <c r="C9440" s="3" t="s">
        <v>4</v>
      </c>
    </row>
    <row r="9441">
      <c r="A9441" s="3">
        <v>5871.0</v>
      </c>
      <c r="B9441" s="4">
        <v>45434.53392361111</v>
      </c>
      <c r="C9441" s="3" t="s">
        <v>4</v>
      </c>
    </row>
    <row r="9442">
      <c r="A9442" s="3">
        <v>6109.0</v>
      </c>
      <c r="B9442" s="4">
        <v>45434.54172453703</v>
      </c>
      <c r="C9442" s="3" t="s">
        <v>3</v>
      </c>
    </row>
    <row r="9443">
      <c r="A9443" s="3">
        <v>997.0</v>
      </c>
      <c r="B9443" s="4">
        <v>45434.54893518519</v>
      </c>
      <c r="C9443" s="3" t="s">
        <v>6</v>
      </c>
    </row>
    <row r="9444">
      <c r="A9444" s="3">
        <v>6657.0</v>
      </c>
      <c r="B9444" s="4">
        <v>45434.55818287037</v>
      </c>
      <c r="C9444" s="3" t="s">
        <v>7</v>
      </c>
    </row>
    <row r="9445">
      <c r="A9445" s="3">
        <v>5308.0</v>
      </c>
      <c r="B9445" s="4">
        <v>45434.55862268519</v>
      </c>
      <c r="C9445" s="3" t="s">
        <v>4</v>
      </c>
    </row>
    <row r="9446">
      <c r="A9446" s="3">
        <v>421.0</v>
      </c>
      <c r="B9446" s="4">
        <v>45434.56185185185</v>
      </c>
      <c r="C9446" s="3" t="s">
        <v>4</v>
      </c>
    </row>
    <row r="9447">
      <c r="A9447" s="3">
        <v>2274.0</v>
      </c>
      <c r="B9447" s="4">
        <v>45434.591574074075</v>
      </c>
      <c r="C9447" s="3" t="s">
        <v>3</v>
      </c>
    </row>
    <row r="9448">
      <c r="A9448" s="3">
        <v>2186.0</v>
      </c>
      <c r="B9448" s="4">
        <v>45434.61011574074</v>
      </c>
      <c r="C9448" s="3" t="s">
        <v>4</v>
      </c>
    </row>
    <row r="9449">
      <c r="A9449" s="3">
        <v>3299.0</v>
      </c>
      <c r="B9449" s="4">
        <v>45434.64533564815</v>
      </c>
      <c r="C9449" s="3" t="s">
        <v>3</v>
      </c>
    </row>
    <row r="9450">
      <c r="A9450" s="3">
        <v>2274.0</v>
      </c>
      <c r="B9450" s="4">
        <v>45434.653819444444</v>
      </c>
      <c r="C9450" s="3" t="s">
        <v>5</v>
      </c>
    </row>
    <row r="9451">
      <c r="A9451" s="3">
        <v>3628.0</v>
      </c>
      <c r="B9451" s="4">
        <v>45434.67201388889</v>
      </c>
      <c r="C9451" s="3" t="s">
        <v>3</v>
      </c>
    </row>
    <row r="9452">
      <c r="A9452" s="3">
        <v>3998.0</v>
      </c>
      <c r="B9452" s="4">
        <v>45434.67449074074</v>
      </c>
      <c r="C9452" s="3" t="s">
        <v>4</v>
      </c>
    </row>
    <row r="9453">
      <c r="A9453" s="3">
        <v>6930.0</v>
      </c>
      <c r="B9453" s="4">
        <v>45434.68085648148</v>
      </c>
      <c r="C9453" s="3" t="s">
        <v>4</v>
      </c>
    </row>
    <row r="9454">
      <c r="A9454" s="3">
        <v>2671.0</v>
      </c>
      <c r="B9454" s="4">
        <v>45434.68519675926</v>
      </c>
      <c r="C9454" s="3" t="s">
        <v>3</v>
      </c>
    </row>
    <row r="9455">
      <c r="A9455" s="3">
        <v>4510.0</v>
      </c>
      <c r="B9455" s="4">
        <v>45434.69587962963</v>
      </c>
      <c r="C9455" s="3" t="s">
        <v>3</v>
      </c>
    </row>
    <row r="9456">
      <c r="A9456" s="3">
        <v>4060.0</v>
      </c>
      <c r="B9456" s="4">
        <v>45434.70082175926</v>
      </c>
      <c r="C9456" s="3" t="s">
        <v>6</v>
      </c>
    </row>
    <row r="9457">
      <c r="A9457" s="3">
        <v>3099.0</v>
      </c>
      <c r="B9457" s="4">
        <v>45434.70891203704</v>
      </c>
      <c r="C9457" s="3" t="s">
        <v>3</v>
      </c>
    </row>
    <row r="9458">
      <c r="A9458" s="3">
        <v>6627.0</v>
      </c>
      <c r="B9458" s="4">
        <v>45434.71263888889</v>
      </c>
      <c r="C9458" s="3" t="s">
        <v>6</v>
      </c>
    </row>
    <row r="9459">
      <c r="A9459" s="3">
        <v>6875.0</v>
      </c>
      <c r="B9459" s="4">
        <v>45434.71497685185</v>
      </c>
      <c r="C9459" s="3" t="s">
        <v>3</v>
      </c>
    </row>
    <row r="9460">
      <c r="A9460" s="3">
        <v>2841.0</v>
      </c>
      <c r="B9460" s="4">
        <v>45434.720729166664</v>
      </c>
      <c r="C9460" s="3" t="s">
        <v>3</v>
      </c>
    </row>
    <row r="9461">
      <c r="A9461" s="3">
        <v>1034.0</v>
      </c>
      <c r="B9461" s="4">
        <v>45434.74390046296</v>
      </c>
      <c r="C9461" s="3" t="s">
        <v>5</v>
      </c>
    </row>
    <row r="9462">
      <c r="A9462" s="3">
        <v>6023.0</v>
      </c>
      <c r="B9462" s="4">
        <v>45434.762511574074</v>
      </c>
      <c r="C9462" s="3" t="s">
        <v>4</v>
      </c>
    </row>
    <row r="9463">
      <c r="A9463" s="3">
        <v>1442.0</v>
      </c>
      <c r="B9463" s="4">
        <v>45434.77445601852</v>
      </c>
      <c r="C9463" s="3" t="s">
        <v>4</v>
      </c>
    </row>
    <row r="9464">
      <c r="A9464" s="3">
        <v>3194.0</v>
      </c>
      <c r="B9464" s="4">
        <v>45434.77966435185</v>
      </c>
      <c r="C9464" s="3" t="s">
        <v>4</v>
      </c>
    </row>
    <row r="9465">
      <c r="A9465" s="3">
        <v>2115.0</v>
      </c>
      <c r="B9465" s="4">
        <v>45434.78271990741</v>
      </c>
      <c r="C9465" s="3" t="s">
        <v>3</v>
      </c>
    </row>
    <row r="9466">
      <c r="A9466" s="3">
        <v>5308.0</v>
      </c>
      <c r="B9466" s="4">
        <v>45434.80357638889</v>
      </c>
      <c r="C9466" s="3" t="s">
        <v>7</v>
      </c>
    </row>
    <row r="9467">
      <c r="A9467" s="3">
        <v>1464.0</v>
      </c>
      <c r="B9467" s="4">
        <v>45434.841099537036</v>
      </c>
      <c r="C9467" s="3" t="s">
        <v>3</v>
      </c>
    </row>
    <row r="9468">
      <c r="A9468" s="3">
        <v>3208.0</v>
      </c>
      <c r="B9468" s="4">
        <v>45434.844826388886</v>
      </c>
      <c r="C9468" s="3" t="s">
        <v>3</v>
      </c>
    </row>
    <row r="9469">
      <c r="A9469" s="3">
        <v>4744.0</v>
      </c>
      <c r="B9469" s="4">
        <v>45434.86914351852</v>
      </c>
      <c r="C9469" s="3" t="s">
        <v>3</v>
      </c>
    </row>
    <row r="9470">
      <c r="A9470" s="3">
        <v>62.0</v>
      </c>
      <c r="B9470" s="4">
        <v>45434.87488425926</v>
      </c>
      <c r="C9470" s="3" t="s">
        <v>6</v>
      </c>
    </row>
    <row r="9471">
      <c r="A9471" s="3">
        <v>4307.0</v>
      </c>
      <c r="B9471" s="4">
        <v>45434.875868055555</v>
      </c>
      <c r="C9471" s="3" t="s">
        <v>5</v>
      </c>
    </row>
    <row r="9472">
      <c r="A9472" s="3">
        <v>2671.0</v>
      </c>
      <c r="B9472" s="4">
        <v>45434.87731481482</v>
      </c>
      <c r="C9472" s="3" t="s">
        <v>5</v>
      </c>
    </row>
    <row r="9473">
      <c r="A9473" s="3">
        <v>3299.0</v>
      </c>
      <c r="B9473" s="4">
        <v>45434.885671296295</v>
      </c>
      <c r="C9473" s="3" t="s">
        <v>4</v>
      </c>
    </row>
    <row r="9474">
      <c r="A9474" s="3">
        <v>5191.0</v>
      </c>
      <c r="B9474" s="4">
        <v>45434.892430555556</v>
      </c>
      <c r="C9474" s="3" t="s">
        <v>5</v>
      </c>
    </row>
    <row r="9475">
      <c r="A9475" s="3">
        <v>866.0</v>
      </c>
      <c r="B9475" s="4">
        <v>45434.89710648148</v>
      </c>
      <c r="C9475" s="3" t="s">
        <v>3</v>
      </c>
    </row>
    <row r="9476">
      <c r="A9476" s="3">
        <v>1972.0</v>
      </c>
      <c r="B9476" s="4">
        <v>45434.90016203704</v>
      </c>
      <c r="C9476" s="3" t="s">
        <v>5</v>
      </c>
    </row>
    <row r="9477">
      <c r="A9477" s="3">
        <v>5960.0</v>
      </c>
      <c r="B9477" s="4">
        <v>45434.901030092595</v>
      </c>
      <c r="C9477" s="3" t="s">
        <v>3</v>
      </c>
    </row>
    <row r="9478">
      <c r="A9478" s="3">
        <v>3468.0</v>
      </c>
      <c r="B9478" s="4">
        <v>45434.90692129629</v>
      </c>
      <c r="C9478" s="3" t="s">
        <v>4</v>
      </c>
    </row>
    <row r="9479">
      <c r="A9479" s="3">
        <v>7362.0</v>
      </c>
      <c r="B9479" s="4">
        <v>45434.91818287037</v>
      </c>
      <c r="C9479" s="3" t="s">
        <v>3</v>
      </c>
    </row>
    <row r="9480">
      <c r="A9480" s="3">
        <v>5479.0</v>
      </c>
      <c r="B9480" s="4">
        <v>45434.92221064815</v>
      </c>
      <c r="C9480" s="3" t="s">
        <v>4</v>
      </c>
    </row>
    <row r="9481">
      <c r="A9481" s="3">
        <v>3194.0</v>
      </c>
      <c r="B9481" s="4">
        <v>45434.92899305555</v>
      </c>
      <c r="C9481" s="3" t="s">
        <v>3</v>
      </c>
    </row>
    <row r="9482">
      <c r="A9482" s="3">
        <v>473.0</v>
      </c>
      <c r="B9482" s="4">
        <v>45434.93420138889</v>
      </c>
      <c r="C9482" s="3" t="s">
        <v>5</v>
      </c>
    </row>
    <row r="9483">
      <c r="A9483" s="3">
        <v>1263.0</v>
      </c>
      <c r="B9483" s="4">
        <v>45434.943460648145</v>
      </c>
      <c r="C9483" s="3" t="s">
        <v>4</v>
      </c>
    </row>
    <row r="9484">
      <c r="A9484" s="3">
        <v>1870.0</v>
      </c>
      <c r="B9484" s="4">
        <v>45434.97255787037</v>
      </c>
      <c r="C9484" s="3" t="s">
        <v>4</v>
      </c>
    </row>
    <row r="9485">
      <c r="A9485" s="3">
        <v>7241.0</v>
      </c>
      <c r="B9485" s="4">
        <v>45435.02107638889</v>
      </c>
      <c r="C9485" s="3" t="s">
        <v>3</v>
      </c>
    </row>
    <row r="9486">
      <c r="A9486" s="3">
        <v>1147.0</v>
      </c>
      <c r="B9486" s="4">
        <v>45435.04019675926</v>
      </c>
      <c r="C9486" s="3" t="s">
        <v>6</v>
      </c>
    </row>
    <row r="9487">
      <c r="A9487" s="3">
        <v>1464.0</v>
      </c>
      <c r="B9487" s="4">
        <v>45435.0468287037</v>
      </c>
      <c r="C9487" s="3" t="s">
        <v>4</v>
      </c>
    </row>
    <row r="9488">
      <c r="A9488" s="3">
        <v>4971.0</v>
      </c>
      <c r="B9488" s="4">
        <v>45435.04953703703</v>
      </c>
      <c r="C9488" s="3" t="s">
        <v>7</v>
      </c>
    </row>
    <row r="9489">
      <c r="A9489" s="3">
        <v>2723.0</v>
      </c>
      <c r="B9489" s="4">
        <v>45435.092453703706</v>
      </c>
      <c r="C9489" s="3" t="s">
        <v>6</v>
      </c>
    </row>
    <row r="9490">
      <c r="A9490" s="3">
        <v>430.0</v>
      </c>
      <c r="B9490" s="4">
        <v>45435.10072916667</v>
      </c>
      <c r="C9490" s="3" t="s">
        <v>6</v>
      </c>
    </row>
    <row r="9491">
      <c r="A9491" s="3">
        <v>4967.0</v>
      </c>
      <c r="B9491" s="4">
        <v>45435.11572916667</v>
      </c>
      <c r="C9491" s="3" t="s">
        <v>3</v>
      </c>
    </row>
    <row r="9492">
      <c r="A9492" s="3">
        <v>2222.0</v>
      </c>
      <c r="B9492" s="4">
        <v>45435.11576388889</v>
      </c>
      <c r="C9492" s="3" t="s">
        <v>3</v>
      </c>
    </row>
    <row r="9493">
      <c r="A9493" s="3">
        <v>2830.0</v>
      </c>
      <c r="B9493" s="4">
        <v>45435.125972222224</v>
      </c>
      <c r="C9493" s="3" t="s">
        <v>3</v>
      </c>
    </row>
    <row r="9494">
      <c r="A9494" s="3">
        <v>1871.0</v>
      </c>
      <c r="B9494" s="4">
        <v>45435.145682870374</v>
      </c>
      <c r="C9494" s="3" t="s">
        <v>5</v>
      </c>
    </row>
    <row r="9495">
      <c r="A9495" s="3">
        <v>3459.0</v>
      </c>
      <c r="B9495" s="4">
        <v>45435.15928240741</v>
      </c>
      <c r="C9495" s="3" t="s">
        <v>6</v>
      </c>
    </row>
    <row r="9496">
      <c r="A9496" s="3">
        <v>2222.0</v>
      </c>
      <c r="B9496" s="4">
        <v>45435.16</v>
      </c>
      <c r="C9496" s="3" t="s">
        <v>4</v>
      </c>
    </row>
    <row r="9497">
      <c r="A9497" s="3">
        <v>2099.0</v>
      </c>
      <c r="B9497" s="4">
        <v>45435.1709375</v>
      </c>
      <c r="C9497" s="3" t="s">
        <v>6</v>
      </c>
    </row>
    <row r="9498">
      <c r="A9498" s="3">
        <v>2841.0</v>
      </c>
      <c r="B9498" s="4">
        <v>45435.17361111111</v>
      </c>
      <c r="C9498" s="3" t="s">
        <v>5</v>
      </c>
    </row>
    <row r="9499">
      <c r="A9499" s="3">
        <v>2274.0</v>
      </c>
      <c r="B9499" s="4">
        <v>45435.18682870371</v>
      </c>
      <c r="C9499" s="3" t="s">
        <v>4</v>
      </c>
    </row>
    <row r="9500">
      <c r="A9500" s="3">
        <v>1091.0</v>
      </c>
      <c r="B9500" s="4">
        <v>45435.194386574076</v>
      </c>
      <c r="C9500" s="3" t="s">
        <v>5</v>
      </c>
    </row>
    <row r="9501">
      <c r="A9501" s="3">
        <v>4510.0</v>
      </c>
      <c r="B9501" s="4">
        <v>45435.202627314815</v>
      </c>
      <c r="C9501" s="3" t="s">
        <v>5</v>
      </c>
    </row>
    <row r="9502">
      <c r="A9502" s="3">
        <v>62.0</v>
      </c>
      <c r="B9502" s="4">
        <v>45435.2052662037</v>
      </c>
      <c r="C9502" s="3" t="s">
        <v>5</v>
      </c>
    </row>
    <row r="9503">
      <c r="A9503" s="3">
        <v>5759.0</v>
      </c>
      <c r="B9503" s="4">
        <v>45435.211180555554</v>
      </c>
      <c r="C9503" s="3" t="s">
        <v>3</v>
      </c>
    </row>
    <row r="9504">
      <c r="A9504" s="3">
        <v>7203.0</v>
      </c>
      <c r="B9504" s="4">
        <v>45435.23018518519</v>
      </c>
      <c r="C9504" s="3" t="s">
        <v>4</v>
      </c>
    </row>
    <row r="9505">
      <c r="A9505" s="3">
        <v>1460.0</v>
      </c>
      <c r="B9505" s="4">
        <v>45435.241377314815</v>
      </c>
      <c r="C9505" s="3" t="s">
        <v>3</v>
      </c>
    </row>
    <row r="9506">
      <c r="A9506" s="3">
        <v>4128.0</v>
      </c>
      <c r="B9506" s="4">
        <v>45435.266805555555</v>
      </c>
      <c r="C9506" s="3" t="s">
        <v>3</v>
      </c>
    </row>
    <row r="9507">
      <c r="A9507" s="3">
        <v>4307.0</v>
      </c>
      <c r="B9507" s="4">
        <v>45435.27966435185</v>
      </c>
      <c r="C9507" s="3" t="s">
        <v>7</v>
      </c>
    </row>
    <row r="9508">
      <c r="A9508" s="3">
        <v>2098.0</v>
      </c>
      <c r="B9508" s="4">
        <v>45435.293541666666</v>
      </c>
      <c r="C9508" s="3" t="s">
        <v>3</v>
      </c>
    </row>
    <row r="9509">
      <c r="A9509" s="3">
        <v>2841.0</v>
      </c>
      <c r="B9509" s="4">
        <v>45435.305243055554</v>
      </c>
      <c r="C9509" s="3" t="s">
        <v>4</v>
      </c>
    </row>
    <row r="9510">
      <c r="A9510" s="3">
        <v>6744.0</v>
      </c>
      <c r="B9510" s="4">
        <v>45435.30950231481</v>
      </c>
      <c r="C9510" s="3" t="s">
        <v>3</v>
      </c>
    </row>
    <row r="9511">
      <c r="A9511" s="3">
        <v>7857.0</v>
      </c>
      <c r="B9511" s="4">
        <v>45435.31886574074</v>
      </c>
      <c r="C9511" s="3" t="s">
        <v>3</v>
      </c>
    </row>
    <row r="9512">
      <c r="A9512" s="3">
        <v>2351.0</v>
      </c>
      <c r="B9512" s="4">
        <v>45435.37924768519</v>
      </c>
      <c r="C9512" s="3" t="s">
        <v>3</v>
      </c>
    </row>
    <row r="9513">
      <c r="A9513" s="3">
        <v>4197.0</v>
      </c>
      <c r="B9513" s="4">
        <v>45435.38490740741</v>
      </c>
      <c r="C9513" s="3" t="s">
        <v>5</v>
      </c>
    </row>
    <row r="9514">
      <c r="A9514" s="3">
        <v>2338.0</v>
      </c>
      <c r="B9514" s="4">
        <v>45435.396585648145</v>
      </c>
      <c r="C9514" s="3" t="s">
        <v>4</v>
      </c>
    </row>
    <row r="9515">
      <c r="A9515" s="3">
        <v>2830.0</v>
      </c>
      <c r="B9515" s="4">
        <v>45435.405810185184</v>
      </c>
      <c r="C9515" s="3" t="s">
        <v>4</v>
      </c>
    </row>
    <row r="9516">
      <c r="A9516" s="3">
        <v>3408.0</v>
      </c>
      <c r="B9516" s="4">
        <v>45435.41868055556</v>
      </c>
      <c r="C9516" s="3" t="s">
        <v>3</v>
      </c>
    </row>
    <row r="9517">
      <c r="A9517" s="3">
        <v>4569.0</v>
      </c>
      <c r="B9517" s="4">
        <v>45435.433333333334</v>
      </c>
      <c r="C9517" s="3" t="s">
        <v>3</v>
      </c>
    </row>
    <row r="9518">
      <c r="A9518" s="3">
        <v>2477.0</v>
      </c>
      <c r="B9518" s="4">
        <v>45435.45700231481</v>
      </c>
      <c r="C9518" s="3" t="s">
        <v>5</v>
      </c>
    </row>
    <row r="9519">
      <c r="A9519" s="3">
        <v>7504.0</v>
      </c>
      <c r="B9519" s="4">
        <v>45435.49957175926</v>
      </c>
      <c r="C9519" s="3" t="s">
        <v>4</v>
      </c>
    </row>
    <row r="9520">
      <c r="A9520" s="3">
        <v>1028.0</v>
      </c>
      <c r="B9520" s="4">
        <v>45435.50232638889</v>
      </c>
      <c r="C9520" s="3" t="s">
        <v>7</v>
      </c>
    </row>
    <row r="9521">
      <c r="A9521" s="3">
        <v>7415.0</v>
      </c>
      <c r="B9521" s="4">
        <v>45435.5046875</v>
      </c>
      <c r="C9521" s="3" t="s">
        <v>3</v>
      </c>
    </row>
    <row r="9522">
      <c r="A9522" s="3">
        <v>1717.0</v>
      </c>
      <c r="B9522" s="4">
        <v>45435.510729166665</v>
      </c>
      <c r="C9522" s="3" t="s">
        <v>4</v>
      </c>
    </row>
    <row r="9523">
      <c r="A9523" s="3">
        <v>4510.0</v>
      </c>
      <c r="B9523" s="4">
        <v>45435.56512731482</v>
      </c>
      <c r="C9523" s="3" t="s">
        <v>4</v>
      </c>
    </row>
    <row r="9524">
      <c r="A9524" s="3">
        <v>1870.0</v>
      </c>
      <c r="B9524" s="4">
        <v>45435.57226851852</v>
      </c>
      <c r="C9524" s="3" t="s">
        <v>6</v>
      </c>
    </row>
    <row r="9525">
      <c r="A9525" s="3">
        <v>2115.0</v>
      </c>
      <c r="B9525" s="4">
        <v>45435.58582175926</v>
      </c>
      <c r="C9525" s="3" t="s">
        <v>6</v>
      </c>
    </row>
    <row r="9526">
      <c r="A9526" s="3">
        <v>3299.0</v>
      </c>
      <c r="B9526" s="4">
        <v>45435.589895833335</v>
      </c>
      <c r="C9526" s="3" t="s">
        <v>6</v>
      </c>
    </row>
    <row r="9527">
      <c r="A9527" s="3">
        <v>5868.0</v>
      </c>
      <c r="B9527" s="4">
        <v>45435.59217592593</v>
      </c>
      <c r="C9527" s="3" t="s">
        <v>7</v>
      </c>
    </row>
    <row r="9528">
      <c r="A9528" s="3">
        <v>6824.0</v>
      </c>
      <c r="B9528" s="4">
        <v>45435.633101851854</v>
      </c>
      <c r="C9528" s="3" t="s">
        <v>6</v>
      </c>
    </row>
    <row r="9529">
      <c r="A9529" s="3">
        <v>4062.0</v>
      </c>
      <c r="B9529" s="4">
        <v>45435.636782407404</v>
      </c>
      <c r="C9529" s="3" t="s">
        <v>3</v>
      </c>
    </row>
    <row r="9530">
      <c r="A9530" s="3">
        <v>3359.0</v>
      </c>
      <c r="B9530" s="4">
        <v>45435.640706018516</v>
      </c>
      <c r="C9530" s="3" t="s">
        <v>6</v>
      </c>
    </row>
    <row r="9531">
      <c r="A9531" s="3">
        <v>1731.0</v>
      </c>
      <c r="B9531" s="4">
        <v>45435.64349537037</v>
      </c>
      <c r="C9531" s="3" t="s">
        <v>4</v>
      </c>
    </row>
    <row r="9532">
      <c r="A9532" s="3">
        <v>1537.0</v>
      </c>
      <c r="B9532" s="4">
        <v>45435.657789351855</v>
      </c>
      <c r="C9532" s="3" t="s">
        <v>6</v>
      </c>
    </row>
    <row r="9533">
      <c r="A9533" s="3">
        <v>1091.0</v>
      </c>
      <c r="B9533" s="4">
        <v>45435.69519675926</v>
      </c>
      <c r="C9533" s="3" t="s">
        <v>3</v>
      </c>
    </row>
    <row r="9534">
      <c r="A9534" s="3">
        <v>5868.0</v>
      </c>
      <c r="B9534" s="4">
        <v>45435.70135416667</v>
      </c>
      <c r="C9534" s="3" t="s">
        <v>4</v>
      </c>
    </row>
    <row r="9535">
      <c r="A9535" s="3">
        <v>2115.0</v>
      </c>
      <c r="B9535" s="4">
        <v>45435.705243055556</v>
      </c>
      <c r="C9535" s="3" t="s">
        <v>5</v>
      </c>
    </row>
    <row r="9536">
      <c r="A9536" s="3">
        <v>2338.0</v>
      </c>
      <c r="B9536" s="4">
        <v>45435.71773148148</v>
      </c>
      <c r="C9536" s="3" t="s">
        <v>3</v>
      </c>
    </row>
    <row r="9537">
      <c r="A9537" s="3">
        <v>2841.0</v>
      </c>
      <c r="B9537" s="4">
        <v>45435.750925925924</v>
      </c>
      <c r="C9537" s="3" t="s">
        <v>7</v>
      </c>
    </row>
    <row r="9538">
      <c r="A9538" s="3">
        <v>3459.0</v>
      </c>
      <c r="B9538" s="4">
        <v>45435.77258101852</v>
      </c>
      <c r="C9538" s="3" t="s">
        <v>7</v>
      </c>
    </row>
    <row r="9539">
      <c r="A9539" s="3">
        <v>1731.0</v>
      </c>
      <c r="B9539" s="4">
        <v>45435.788090277776</v>
      </c>
      <c r="C9539" s="3" t="s">
        <v>3</v>
      </c>
    </row>
    <row r="9540">
      <c r="A9540" s="3">
        <v>6401.0</v>
      </c>
      <c r="B9540" s="4">
        <v>45435.80298611111</v>
      </c>
      <c r="C9540" s="3" t="s">
        <v>4</v>
      </c>
    </row>
    <row r="9541">
      <c r="A9541" s="3">
        <v>2987.0</v>
      </c>
      <c r="B9541" s="4">
        <v>45435.80554398148</v>
      </c>
      <c r="C9541" s="3" t="s">
        <v>6</v>
      </c>
    </row>
    <row r="9542">
      <c r="A9542" s="3">
        <v>7220.0</v>
      </c>
      <c r="B9542" s="4">
        <v>45435.807175925926</v>
      </c>
      <c r="C9542" s="3" t="s">
        <v>3</v>
      </c>
    </row>
    <row r="9543">
      <c r="A9543" s="3">
        <v>6401.0</v>
      </c>
      <c r="B9543" s="4">
        <v>45435.8091087963</v>
      </c>
      <c r="C9543" s="3" t="s">
        <v>3</v>
      </c>
    </row>
    <row r="9544">
      <c r="A9544" s="3">
        <v>4221.0</v>
      </c>
      <c r="B9544" s="4">
        <v>45435.81421296296</v>
      </c>
      <c r="C9544" s="3" t="s">
        <v>6</v>
      </c>
    </row>
    <row r="9545">
      <c r="A9545" s="3">
        <v>866.0</v>
      </c>
      <c r="B9545" s="4">
        <v>45435.814675925925</v>
      </c>
      <c r="C9545" s="3" t="s">
        <v>4</v>
      </c>
    </row>
    <row r="9546">
      <c r="A9546" s="3">
        <v>5122.0</v>
      </c>
      <c r="B9546" s="4">
        <v>45435.84674768519</v>
      </c>
      <c r="C9546" s="3" t="s">
        <v>7</v>
      </c>
    </row>
    <row r="9547">
      <c r="A9547" s="3">
        <v>4562.0</v>
      </c>
      <c r="B9547" s="4">
        <v>45435.84762731481</v>
      </c>
      <c r="C9547" s="3" t="s">
        <v>6</v>
      </c>
    </row>
    <row r="9548">
      <c r="A9548" s="3">
        <v>5868.0</v>
      </c>
      <c r="B9548" s="4">
        <v>45435.914131944446</v>
      </c>
      <c r="C9548" s="3" t="s">
        <v>5</v>
      </c>
    </row>
    <row r="9549">
      <c r="A9549" s="3">
        <v>7582.0</v>
      </c>
      <c r="B9549" s="4">
        <v>45435.917175925926</v>
      </c>
      <c r="C9549" s="3" t="s">
        <v>3</v>
      </c>
    </row>
    <row r="9550">
      <c r="A9550" s="3">
        <v>6514.0</v>
      </c>
      <c r="B9550" s="4">
        <v>45435.94351851852</v>
      </c>
      <c r="C9550" s="3" t="s">
        <v>4</v>
      </c>
    </row>
    <row r="9551">
      <c r="A9551" s="3">
        <v>3260.0</v>
      </c>
      <c r="B9551" s="4">
        <v>45435.94550925926</v>
      </c>
      <c r="C9551" s="3" t="s">
        <v>3</v>
      </c>
    </row>
    <row r="9552">
      <c r="A9552" s="3">
        <v>3207.0</v>
      </c>
      <c r="B9552" s="4">
        <v>45435.95946759259</v>
      </c>
      <c r="C9552" s="3" t="s">
        <v>4</v>
      </c>
    </row>
    <row r="9553">
      <c r="A9553" s="3">
        <v>2338.0</v>
      </c>
      <c r="B9553" s="4">
        <v>45435.96761574074</v>
      </c>
      <c r="C9553" s="3" t="s">
        <v>5</v>
      </c>
    </row>
    <row r="9554">
      <c r="A9554" s="3">
        <v>4971.0</v>
      </c>
      <c r="B9554" s="4">
        <v>45435.99538194444</v>
      </c>
      <c r="C9554" s="3" t="s">
        <v>5</v>
      </c>
    </row>
    <row r="9555">
      <c r="A9555" s="3">
        <v>7018.0</v>
      </c>
      <c r="B9555" s="4">
        <v>45436.00309027778</v>
      </c>
      <c r="C9555" s="3" t="s">
        <v>3</v>
      </c>
    </row>
    <row r="9556">
      <c r="A9556" s="3">
        <v>2115.0</v>
      </c>
      <c r="B9556" s="4">
        <v>45436.005902777775</v>
      </c>
      <c r="C9556" s="3" t="s">
        <v>4</v>
      </c>
    </row>
    <row r="9557">
      <c r="A9557" s="3">
        <v>189.0</v>
      </c>
      <c r="B9557" s="4">
        <v>45436.017233796294</v>
      </c>
      <c r="C9557" s="3" t="s">
        <v>5</v>
      </c>
    </row>
    <row r="9558">
      <c r="A9558" s="3">
        <v>1972.0</v>
      </c>
      <c r="B9558" s="4">
        <v>45436.043125</v>
      </c>
      <c r="C9558" s="3" t="s">
        <v>6</v>
      </c>
    </row>
    <row r="9559">
      <c r="A9559" s="3">
        <v>2759.0</v>
      </c>
      <c r="B9559" s="4">
        <v>45436.05373842592</v>
      </c>
      <c r="C9559" s="3" t="s">
        <v>4</v>
      </c>
    </row>
    <row r="9560">
      <c r="A9560" s="3">
        <v>7486.0</v>
      </c>
      <c r="B9560" s="4">
        <v>45436.09653935185</v>
      </c>
      <c r="C9560" s="3" t="s">
        <v>7</v>
      </c>
    </row>
    <row r="9561">
      <c r="A9561" s="3">
        <v>3564.0</v>
      </c>
      <c r="B9561" s="4">
        <v>45436.1103125</v>
      </c>
      <c r="C9561" s="3" t="s">
        <v>3</v>
      </c>
    </row>
    <row r="9562">
      <c r="A9562" s="3">
        <v>371.0</v>
      </c>
      <c r="B9562" s="4">
        <v>45436.12430555555</v>
      </c>
      <c r="C9562" s="3" t="s">
        <v>3</v>
      </c>
    </row>
    <row r="9563">
      <c r="A9563" s="3">
        <v>2518.0</v>
      </c>
      <c r="B9563" s="4">
        <v>45436.15542824074</v>
      </c>
      <c r="C9563" s="3" t="s">
        <v>3</v>
      </c>
    </row>
    <row r="9564">
      <c r="A9564" s="3">
        <v>6959.0</v>
      </c>
      <c r="B9564" s="4">
        <v>45436.17024305555</v>
      </c>
      <c r="C9564" s="3" t="s">
        <v>3</v>
      </c>
    </row>
    <row r="9565">
      <c r="A9565" s="3">
        <v>81.0</v>
      </c>
      <c r="B9565" s="4">
        <v>45436.174733796295</v>
      </c>
      <c r="C9565" s="3" t="s">
        <v>4</v>
      </c>
    </row>
    <row r="9566">
      <c r="A9566" s="3">
        <v>7785.0</v>
      </c>
      <c r="B9566" s="4">
        <v>45436.18133101852</v>
      </c>
      <c r="C9566" s="3" t="s">
        <v>3</v>
      </c>
    </row>
    <row r="9567">
      <c r="A9567" s="3">
        <v>3092.0</v>
      </c>
      <c r="B9567" s="4">
        <v>45436.196875</v>
      </c>
      <c r="C9567" s="3" t="s">
        <v>4</v>
      </c>
    </row>
    <row r="9568">
      <c r="A9568" s="3">
        <v>6274.0</v>
      </c>
      <c r="B9568" s="4">
        <v>45436.20380787037</v>
      </c>
      <c r="C9568" s="3" t="s">
        <v>3</v>
      </c>
    </row>
    <row r="9569">
      <c r="A9569" s="3">
        <v>5735.0</v>
      </c>
      <c r="B9569" s="4">
        <v>45436.26472222222</v>
      </c>
      <c r="C9569" s="3" t="s">
        <v>3</v>
      </c>
    </row>
    <row r="9570">
      <c r="A9570" s="3">
        <v>1871.0</v>
      </c>
      <c r="B9570" s="4">
        <v>45436.31868055555</v>
      </c>
      <c r="C9570" s="3" t="s">
        <v>7</v>
      </c>
    </row>
    <row r="9571">
      <c r="A9571" s="3">
        <v>1500.0</v>
      </c>
      <c r="B9571" s="4">
        <v>45436.33424768518</v>
      </c>
      <c r="C9571" s="3" t="s">
        <v>4</v>
      </c>
    </row>
    <row r="9572">
      <c r="A9572" s="3">
        <v>407.0</v>
      </c>
      <c r="B9572" s="4">
        <v>45436.34809027778</v>
      </c>
      <c r="C9572" s="3" t="s">
        <v>3</v>
      </c>
    </row>
    <row r="9573">
      <c r="A9573" s="3">
        <v>605.0</v>
      </c>
      <c r="B9573" s="4">
        <v>45436.34908564815</v>
      </c>
      <c r="C9573" s="3" t="s">
        <v>6</v>
      </c>
    </row>
    <row r="9574">
      <c r="A9574" s="3">
        <v>6027.0</v>
      </c>
      <c r="B9574" s="4">
        <v>45436.349386574075</v>
      </c>
      <c r="C9574" s="3" t="s">
        <v>3</v>
      </c>
    </row>
    <row r="9575">
      <c r="A9575" s="3">
        <v>2759.0</v>
      </c>
      <c r="B9575" s="4">
        <v>45436.378912037035</v>
      </c>
      <c r="C9575" s="3" t="s">
        <v>3</v>
      </c>
    </row>
    <row r="9576">
      <c r="A9576" s="3">
        <v>6135.0</v>
      </c>
      <c r="B9576" s="4">
        <v>45436.39303240741</v>
      </c>
      <c r="C9576" s="3" t="s">
        <v>6</v>
      </c>
    </row>
    <row r="9577">
      <c r="A9577" s="3">
        <v>3313.0</v>
      </c>
      <c r="B9577" s="4">
        <v>45436.403020833335</v>
      </c>
      <c r="C9577" s="3" t="s">
        <v>3</v>
      </c>
    </row>
    <row r="9578">
      <c r="A9578" s="3">
        <v>4412.0</v>
      </c>
      <c r="B9578" s="4">
        <v>45436.42018518518</v>
      </c>
      <c r="C9578" s="3" t="s">
        <v>4</v>
      </c>
    </row>
    <row r="9579">
      <c r="A9579" s="3">
        <v>6850.0</v>
      </c>
      <c r="B9579" s="4">
        <v>45436.42252314815</v>
      </c>
      <c r="C9579" s="3" t="s">
        <v>5</v>
      </c>
    </row>
    <row r="9580">
      <c r="A9580" s="3">
        <v>263.0</v>
      </c>
      <c r="B9580" s="4">
        <v>45436.47494212963</v>
      </c>
      <c r="C9580" s="3" t="s">
        <v>3</v>
      </c>
    </row>
    <row r="9581">
      <c r="A9581" s="3">
        <v>2974.0</v>
      </c>
      <c r="B9581" s="4">
        <v>45436.49628472222</v>
      </c>
      <c r="C9581" s="3" t="s">
        <v>7</v>
      </c>
    </row>
    <row r="9582">
      <c r="A9582" s="3">
        <v>6401.0</v>
      </c>
      <c r="B9582" s="4">
        <v>45436.51982638889</v>
      </c>
      <c r="C9582" s="3" t="s">
        <v>6</v>
      </c>
    </row>
    <row r="9583">
      <c r="A9583" s="3">
        <v>6274.0</v>
      </c>
      <c r="B9583" s="4">
        <v>45436.54857638889</v>
      </c>
      <c r="C9583" s="3" t="s">
        <v>4</v>
      </c>
    </row>
    <row r="9584">
      <c r="A9584" s="3">
        <v>232.0</v>
      </c>
      <c r="B9584" s="4">
        <v>45436.55305555555</v>
      </c>
      <c r="C9584" s="3" t="s">
        <v>3</v>
      </c>
    </row>
    <row r="9585">
      <c r="A9585" s="3">
        <v>81.0</v>
      </c>
      <c r="B9585" s="4">
        <v>45436.55887731481</v>
      </c>
      <c r="C9585" s="3" t="s">
        <v>3</v>
      </c>
    </row>
    <row r="9586">
      <c r="A9586" s="3">
        <v>6180.0</v>
      </c>
      <c r="B9586" s="4">
        <v>45436.593819444446</v>
      </c>
      <c r="C9586" s="3" t="s">
        <v>3</v>
      </c>
    </row>
    <row r="9587">
      <c r="A9587" s="3">
        <v>7470.0</v>
      </c>
      <c r="B9587" s="4">
        <v>45436.59819444444</v>
      </c>
      <c r="C9587" s="3" t="s">
        <v>5</v>
      </c>
    </row>
    <row r="9588">
      <c r="A9588" s="3">
        <v>1583.0</v>
      </c>
      <c r="B9588" s="4">
        <v>45436.59987268518</v>
      </c>
      <c r="C9588" s="3" t="s">
        <v>3</v>
      </c>
    </row>
    <row r="9589">
      <c r="A9589" s="3">
        <v>1006.0</v>
      </c>
      <c r="B9589" s="4">
        <v>45436.60681712963</v>
      </c>
      <c r="C9589" s="3" t="s">
        <v>3</v>
      </c>
    </row>
    <row r="9590">
      <c r="A9590" s="3">
        <v>1929.0</v>
      </c>
      <c r="B9590" s="4">
        <v>45436.61530092593</v>
      </c>
      <c r="C9590" s="3" t="s">
        <v>4</v>
      </c>
    </row>
    <row r="9591">
      <c r="A9591" s="3">
        <v>607.0</v>
      </c>
      <c r="B9591" s="4">
        <v>45436.63297453704</v>
      </c>
      <c r="C9591" s="3" t="s">
        <v>3</v>
      </c>
    </row>
    <row r="9592">
      <c r="A9592" s="3">
        <v>4307.0</v>
      </c>
      <c r="B9592" s="4">
        <v>45436.64440972222</v>
      </c>
      <c r="C9592" s="3" t="s">
        <v>6</v>
      </c>
    </row>
    <row r="9593">
      <c r="A9593" s="3">
        <v>7776.0</v>
      </c>
      <c r="B9593" s="4">
        <v>45436.6453125</v>
      </c>
      <c r="C9593" s="3" t="s">
        <v>6</v>
      </c>
    </row>
    <row r="9594">
      <c r="A9594" s="3">
        <v>6850.0</v>
      </c>
      <c r="B9594" s="4">
        <v>45436.67423611111</v>
      </c>
      <c r="C9594" s="3" t="s">
        <v>3</v>
      </c>
    </row>
    <row r="9595">
      <c r="A9595" s="3">
        <v>3092.0</v>
      </c>
      <c r="B9595" s="4">
        <v>45436.67789351852</v>
      </c>
      <c r="C9595" s="3" t="s">
        <v>7</v>
      </c>
    </row>
    <row r="9596">
      <c r="A9596" s="3">
        <v>5393.0</v>
      </c>
      <c r="B9596" s="4">
        <v>45436.68047453704</v>
      </c>
      <c r="C9596" s="3" t="s">
        <v>4</v>
      </c>
    </row>
    <row r="9597">
      <c r="A9597" s="3">
        <v>6262.0</v>
      </c>
      <c r="B9597" s="4">
        <v>45436.68084490741</v>
      </c>
      <c r="C9597" s="3" t="s">
        <v>3</v>
      </c>
    </row>
    <row r="9598">
      <c r="A9598" s="3">
        <v>7952.0</v>
      </c>
      <c r="B9598" s="4">
        <v>45436.681666666664</v>
      </c>
      <c r="C9598" s="3" t="s">
        <v>3</v>
      </c>
    </row>
    <row r="9599">
      <c r="A9599" s="3">
        <v>4048.0</v>
      </c>
      <c r="B9599" s="4">
        <v>45436.687002314815</v>
      </c>
      <c r="C9599" s="3" t="s">
        <v>3</v>
      </c>
    </row>
    <row r="9600">
      <c r="A9600" s="3">
        <v>1500.0</v>
      </c>
      <c r="B9600" s="4">
        <v>45436.69118055556</v>
      </c>
      <c r="C9600" s="3" t="s">
        <v>3</v>
      </c>
    </row>
    <row r="9601">
      <c r="A9601" s="3">
        <v>7582.0</v>
      </c>
      <c r="B9601" s="4">
        <v>45436.69998842593</v>
      </c>
      <c r="C9601" s="3" t="s">
        <v>4</v>
      </c>
    </row>
    <row r="9602">
      <c r="A9602" s="3">
        <v>6657.0</v>
      </c>
      <c r="B9602" s="4">
        <v>45436.71766203704</v>
      </c>
      <c r="C9602" s="3" t="s">
        <v>6</v>
      </c>
    </row>
    <row r="9603">
      <c r="A9603" s="3">
        <v>5308.0</v>
      </c>
      <c r="B9603" s="4">
        <v>45436.728472222225</v>
      </c>
      <c r="C9603" s="3" t="s">
        <v>6</v>
      </c>
    </row>
    <row r="9604">
      <c r="A9604" s="3">
        <v>1411.0</v>
      </c>
      <c r="B9604" s="4">
        <v>45436.7315625</v>
      </c>
      <c r="C9604" s="3" t="s">
        <v>5</v>
      </c>
    </row>
    <row r="9605">
      <c r="A9605" s="3">
        <v>7882.0</v>
      </c>
      <c r="B9605" s="4">
        <v>45436.77086805556</v>
      </c>
      <c r="C9605" s="3" t="s">
        <v>3</v>
      </c>
    </row>
    <row r="9606">
      <c r="A9606" s="3">
        <v>6310.0</v>
      </c>
      <c r="B9606" s="4">
        <v>45436.77344907408</v>
      </c>
      <c r="C9606" s="3" t="s">
        <v>6</v>
      </c>
    </row>
    <row r="9607">
      <c r="A9607" s="3">
        <v>6332.0</v>
      </c>
      <c r="B9607" s="4">
        <v>45436.783425925925</v>
      </c>
      <c r="C9607" s="3" t="s">
        <v>3</v>
      </c>
    </row>
    <row r="9608">
      <c r="A9608" s="3">
        <v>7362.0</v>
      </c>
      <c r="B9608" s="4">
        <v>45436.78387731482</v>
      </c>
      <c r="C9608" s="3" t="s">
        <v>5</v>
      </c>
    </row>
    <row r="9609">
      <c r="A9609" s="3">
        <v>4744.0</v>
      </c>
      <c r="B9609" s="4">
        <v>45436.78775462963</v>
      </c>
      <c r="C9609" s="3" t="s">
        <v>4</v>
      </c>
    </row>
    <row r="9610">
      <c r="A9610" s="3">
        <v>3208.0</v>
      </c>
      <c r="B9610" s="4">
        <v>45436.807337962964</v>
      </c>
      <c r="C9610" s="3" t="s">
        <v>4</v>
      </c>
    </row>
    <row r="9611">
      <c r="A9611" s="3">
        <v>3752.0</v>
      </c>
      <c r="B9611" s="4">
        <v>45436.83552083333</v>
      </c>
      <c r="C9611" s="3" t="s">
        <v>3</v>
      </c>
    </row>
    <row r="9612">
      <c r="A9612" s="3">
        <v>1583.0</v>
      </c>
      <c r="B9612" s="4">
        <v>45436.84244212963</v>
      </c>
      <c r="C9612" s="3" t="s">
        <v>4</v>
      </c>
    </row>
    <row r="9613">
      <c r="A9613" s="3">
        <v>4802.0</v>
      </c>
      <c r="B9613" s="4">
        <v>45436.866273148145</v>
      </c>
      <c r="C9613" s="3" t="s">
        <v>3</v>
      </c>
    </row>
    <row r="9614">
      <c r="A9614" s="3">
        <v>3313.0</v>
      </c>
      <c r="B9614" s="4">
        <v>45436.89332175926</v>
      </c>
      <c r="C9614" s="3" t="s">
        <v>5</v>
      </c>
    </row>
    <row r="9615">
      <c r="A9615" s="3">
        <v>3819.0</v>
      </c>
      <c r="B9615" s="4">
        <v>45436.93194444444</v>
      </c>
      <c r="C9615" s="3" t="s">
        <v>3</v>
      </c>
    </row>
    <row r="9616">
      <c r="A9616" s="3">
        <v>1929.0</v>
      </c>
      <c r="B9616" s="4">
        <v>45436.93232638889</v>
      </c>
      <c r="C9616" s="3" t="s">
        <v>3</v>
      </c>
    </row>
    <row r="9617">
      <c r="A9617" s="3">
        <v>3628.0</v>
      </c>
      <c r="B9617" s="4">
        <v>45436.94912037037</v>
      </c>
      <c r="C9617" s="3" t="s">
        <v>4</v>
      </c>
    </row>
    <row r="9618">
      <c r="A9618" s="3">
        <v>2099.0</v>
      </c>
      <c r="B9618" s="4">
        <v>45436.955509259256</v>
      </c>
      <c r="C9618" s="3" t="s">
        <v>5</v>
      </c>
    </row>
    <row r="9619">
      <c r="A9619" s="3">
        <v>4246.0</v>
      </c>
      <c r="B9619" s="4">
        <v>45436.96344907407</v>
      </c>
      <c r="C9619" s="3" t="s">
        <v>3</v>
      </c>
    </row>
    <row r="9620">
      <c r="A9620" s="3">
        <v>1047.0</v>
      </c>
      <c r="B9620" s="4">
        <v>45436.96896990741</v>
      </c>
      <c r="C9620" s="3" t="s">
        <v>6</v>
      </c>
    </row>
    <row r="9621">
      <c r="A9621" s="3">
        <v>3279.0</v>
      </c>
      <c r="B9621" s="4">
        <v>45436.97883101852</v>
      </c>
      <c r="C9621" s="3" t="s">
        <v>4</v>
      </c>
    </row>
    <row r="9622">
      <c r="A9622" s="3">
        <v>7112.0</v>
      </c>
      <c r="B9622" s="4">
        <v>45436.979409722226</v>
      </c>
      <c r="C9622" s="3" t="s">
        <v>6</v>
      </c>
    </row>
    <row r="9623">
      <c r="A9623" s="3">
        <v>2772.0</v>
      </c>
      <c r="B9623" s="4">
        <v>45436.983877314815</v>
      </c>
      <c r="C9623" s="3" t="s">
        <v>7</v>
      </c>
    </row>
    <row r="9624">
      <c r="A9624" s="3">
        <v>1411.0</v>
      </c>
      <c r="B9624" s="4">
        <v>45436.994097222225</v>
      </c>
      <c r="C9624" s="3" t="s">
        <v>4</v>
      </c>
    </row>
    <row r="9625">
      <c r="A9625" s="3">
        <v>7786.0</v>
      </c>
      <c r="B9625" s="4">
        <v>45437.009108796294</v>
      </c>
      <c r="C9625" s="3" t="s">
        <v>3</v>
      </c>
    </row>
    <row r="9626">
      <c r="A9626" s="3">
        <v>4829.0</v>
      </c>
      <c r="B9626" s="4">
        <v>45437.02212962963</v>
      </c>
      <c r="C9626" s="3" t="s">
        <v>3</v>
      </c>
    </row>
    <row r="9627">
      <c r="A9627" s="3">
        <v>1881.0</v>
      </c>
      <c r="B9627" s="4">
        <v>45437.03634259259</v>
      </c>
      <c r="C9627" s="3" t="s">
        <v>3</v>
      </c>
    </row>
    <row r="9628">
      <c r="A9628" s="3">
        <v>5554.0</v>
      </c>
      <c r="B9628" s="4">
        <v>45437.03854166667</v>
      </c>
      <c r="C9628" s="3" t="s">
        <v>3</v>
      </c>
    </row>
    <row r="9629">
      <c r="A9629" s="3">
        <v>5346.0</v>
      </c>
      <c r="B9629" s="4">
        <v>45437.08993055556</v>
      </c>
      <c r="C9629" s="3" t="s">
        <v>6</v>
      </c>
    </row>
    <row r="9630">
      <c r="A9630" s="3">
        <v>2974.0</v>
      </c>
      <c r="B9630" s="4">
        <v>45437.098645833335</v>
      </c>
      <c r="C9630" s="3" t="s">
        <v>6</v>
      </c>
    </row>
    <row r="9631">
      <c r="A9631" s="3">
        <v>1249.0</v>
      </c>
      <c r="B9631" s="4">
        <v>45437.10209490741</v>
      </c>
      <c r="C9631" s="3" t="s">
        <v>3</v>
      </c>
    </row>
    <row r="9632">
      <c r="A9632" s="3">
        <v>3508.0</v>
      </c>
      <c r="B9632" s="4">
        <v>45437.11011574074</v>
      </c>
      <c r="C9632" s="3" t="s">
        <v>4</v>
      </c>
    </row>
    <row r="9633">
      <c r="A9633" s="3">
        <v>3207.0</v>
      </c>
      <c r="B9633" s="4">
        <v>45437.115324074075</v>
      </c>
      <c r="C9633" s="3" t="s">
        <v>7</v>
      </c>
    </row>
    <row r="9634">
      <c r="A9634" s="3">
        <v>6753.0</v>
      </c>
      <c r="B9634" s="4">
        <v>45437.15263888889</v>
      </c>
      <c r="C9634" s="3" t="s">
        <v>3</v>
      </c>
    </row>
    <row r="9635">
      <c r="A9635" s="3">
        <v>81.0</v>
      </c>
      <c r="B9635" s="4">
        <v>45437.17060185185</v>
      </c>
      <c r="C9635" s="3" t="s">
        <v>5</v>
      </c>
    </row>
    <row r="9636">
      <c r="A9636" s="3">
        <v>3022.0</v>
      </c>
      <c r="B9636" s="4">
        <v>45437.170648148145</v>
      </c>
      <c r="C9636" s="3" t="s">
        <v>3</v>
      </c>
    </row>
    <row r="9637">
      <c r="A9637" s="3">
        <v>4707.0</v>
      </c>
      <c r="B9637" s="4">
        <v>45437.203831018516</v>
      </c>
      <c r="C9637" s="3" t="s">
        <v>3</v>
      </c>
    </row>
    <row r="9638">
      <c r="A9638" s="3">
        <v>2664.0</v>
      </c>
      <c r="B9638" s="4">
        <v>45437.22914351852</v>
      </c>
      <c r="C9638" s="3" t="s">
        <v>6</v>
      </c>
    </row>
    <row r="9639">
      <c r="A9639" s="3">
        <v>3037.0</v>
      </c>
      <c r="B9639" s="4">
        <v>45437.23237268518</v>
      </c>
      <c r="C9639" s="3" t="s">
        <v>3</v>
      </c>
    </row>
    <row r="9640">
      <c r="A9640" s="3">
        <v>5867.0</v>
      </c>
      <c r="B9640" s="4">
        <v>45437.2331712963</v>
      </c>
      <c r="C9640" s="3" t="s">
        <v>3</v>
      </c>
    </row>
    <row r="9641">
      <c r="A9641" s="3">
        <v>7882.0</v>
      </c>
      <c r="B9641" s="4">
        <v>45437.23405092592</v>
      </c>
      <c r="C9641" s="3" t="s">
        <v>4</v>
      </c>
    </row>
    <row r="9642">
      <c r="A9642" s="3">
        <v>2698.0</v>
      </c>
      <c r="B9642" s="4">
        <v>45437.23884259259</v>
      </c>
      <c r="C9642" s="3" t="s">
        <v>5</v>
      </c>
    </row>
    <row r="9643">
      <c r="A9643" s="3">
        <v>2693.0</v>
      </c>
      <c r="B9643" s="4">
        <v>45437.242847222224</v>
      </c>
      <c r="C9643" s="3" t="s">
        <v>3</v>
      </c>
    </row>
    <row r="9644">
      <c r="A9644" s="3">
        <v>6959.0</v>
      </c>
      <c r="B9644" s="4">
        <v>45437.28128472222</v>
      </c>
      <c r="C9644" s="3" t="s">
        <v>4</v>
      </c>
    </row>
    <row r="9645">
      <c r="A9645" s="3">
        <v>2222.0</v>
      </c>
      <c r="B9645" s="4">
        <v>45437.283738425926</v>
      </c>
      <c r="C9645" s="3" t="s">
        <v>5</v>
      </c>
    </row>
    <row r="9646">
      <c r="A9646" s="3">
        <v>5261.0</v>
      </c>
      <c r="B9646" s="4">
        <v>45437.29740740741</v>
      </c>
      <c r="C9646" s="3" t="s">
        <v>3</v>
      </c>
    </row>
    <row r="9647">
      <c r="A9647" s="3">
        <v>7470.0</v>
      </c>
      <c r="B9647" s="4">
        <v>45437.34974537037</v>
      </c>
      <c r="C9647" s="3" t="s">
        <v>6</v>
      </c>
    </row>
    <row r="9648">
      <c r="A9648" s="3">
        <v>7018.0</v>
      </c>
      <c r="B9648" s="4">
        <v>45437.35209490741</v>
      </c>
      <c r="C9648" s="3" t="s">
        <v>7</v>
      </c>
    </row>
    <row r="9649">
      <c r="A9649" s="3">
        <v>5167.0</v>
      </c>
      <c r="B9649" s="4">
        <v>45437.38112268518</v>
      </c>
      <c r="C9649" s="3" t="s">
        <v>4</v>
      </c>
    </row>
    <row r="9650">
      <c r="A9650" s="3">
        <v>1006.0</v>
      </c>
      <c r="B9650" s="4">
        <v>45437.40965277778</v>
      </c>
      <c r="C9650" s="3" t="s">
        <v>6</v>
      </c>
    </row>
    <row r="9651">
      <c r="A9651" s="3">
        <v>1540.0</v>
      </c>
      <c r="B9651" s="4">
        <v>45437.43195601852</v>
      </c>
      <c r="C9651" s="3" t="s">
        <v>6</v>
      </c>
    </row>
    <row r="9652">
      <c r="A9652" s="3">
        <v>4967.0</v>
      </c>
      <c r="B9652" s="4">
        <v>45437.43927083333</v>
      </c>
      <c r="C9652" s="3" t="s">
        <v>4</v>
      </c>
    </row>
    <row r="9653">
      <c r="A9653" s="3">
        <v>1583.0</v>
      </c>
      <c r="B9653" s="4">
        <v>45437.44380787037</v>
      </c>
      <c r="C9653" s="3" t="s">
        <v>6</v>
      </c>
    </row>
    <row r="9654">
      <c r="A9654" s="3">
        <v>453.0</v>
      </c>
      <c r="B9654" s="4">
        <v>45437.46208333333</v>
      </c>
      <c r="C9654" s="3" t="s">
        <v>3</v>
      </c>
    </row>
    <row r="9655">
      <c r="A9655" s="3">
        <v>3508.0</v>
      </c>
      <c r="B9655" s="4">
        <v>45437.484502314815</v>
      </c>
      <c r="C9655" s="3" t="s">
        <v>3</v>
      </c>
    </row>
    <row r="9656">
      <c r="A9656" s="3">
        <v>1894.0</v>
      </c>
      <c r="B9656" s="4">
        <v>45437.4852662037</v>
      </c>
      <c r="C9656" s="3" t="s">
        <v>3</v>
      </c>
    </row>
    <row r="9657">
      <c r="A9657" s="3">
        <v>1411.0</v>
      </c>
      <c r="B9657" s="4">
        <v>45437.49283564815</v>
      </c>
      <c r="C9657" s="3" t="s">
        <v>7</v>
      </c>
    </row>
    <row r="9658">
      <c r="A9658" s="3">
        <v>2115.0</v>
      </c>
      <c r="B9658" s="4">
        <v>45437.50324074074</v>
      </c>
      <c r="C9658" s="3" t="s">
        <v>7</v>
      </c>
    </row>
    <row r="9659">
      <c r="A9659" s="3">
        <v>7771.0</v>
      </c>
      <c r="B9659" s="4">
        <v>45437.51630787037</v>
      </c>
      <c r="C9659" s="3" t="s">
        <v>3</v>
      </c>
    </row>
    <row r="9660">
      <c r="A9660" s="3">
        <v>1360.0</v>
      </c>
      <c r="B9660" s="4">
        <v>45437.5384837963</v>
      </c>
      <c r="C9660" s="3" t="s">
        <v>3</v>
      </c>
    </row>
    <row r="9661">
      <c r="A9661" s="3">
        <v>1006.0</v>
      </c>
      <c r="B9661" s="4">
        <v>45437.55849537037</v>
      </c>
      <c r="C9661" s="3" t="s">
        <v>4</v>
      </c>
    </row>
    <row r="9662">
      <c r="A9662" s="3">
        <v>7669.0</v>
      </c>
      <c r="B9662" s="4">
        <v>45437.56471064815</v>
      </c>
      <c r="C9662" s="3" t="s">
        <v>3</v>
      </c>
    </row>
    <row r="9663">
      <c r="A9663" s="3">
        <v>1583.0</v>
      </c>
      <c r="B9663" s="4">
        <v>45437.567465277774</v>
      </c>
      <c r="C9663" s="3" t="s">
        <v>7</v>
      </c>
    </row>
    <row r="9664">
      <c r="A9664" s="3">
        <v>7220.0</v>
      </c>
      <c r="B9664" s="4">
        <v>45437.57740740741</v>
      </c>
      <c r="C9664" s="3" t="s">
        <v>7</v>
      </c>
    </row>
    <row r="9665">
      <c r="A9665" s="3">
        <v>6436.0</v>
      </c>
      <c r="B9665" s="4">
        <v>45437.58887731482</v>
      </c>
      <c r="C9665" s="3" t="s">
        <v>3</v>
      </c>
    </row>
    <row r="9666">
      <c r="A9666" s="3">
        <v>2830.0</v>
      </c>
      <c r="B9666" s="4">
        <v>45437.621203703704</v>
      </c>
      <c r="C9666" s="3" t="s">
        <v>5</v>
      </c>
    </row>
    <row r="9667">
      <c r="A9667" s="3">
        <v>7806.0</v>
      </c>
      <c r="B9667" s="4">
        <v>45437.6240625</v>
      </c>
      <c r="C9667" s="3" t="s">
        <v>3</v>
      </c>
    </row>
    <row r="9668">
      <c r="A9668" s="3">
        <v>2455.0</v>
      </c>
      <c r="B9668" s="4">
        <v>45437.64246527778</v>
      </c>
      <c r="C9668" s="3" t="s">
        <v>3</v>
      </c>
    </row>
    <row r="9669">
      <c r="A9669" s="3">
        <v>2477.0</v>
      </c>
      <c r="B9669" s="4">
        <v>45437.65667824074</v>
      </c>
      <c r="C9669" s="3" t="s">
        <v>6</v>
      </c>
    </row>
    <row r="9670">
      <c r="A9670" s="3">
        <v>7942.0</v>
      </c>
      <c r="B9670" s="4">
        <v>45437.696967592594</v>
      </c>
      <c r="C9670" s="3" t="s">
        <v>6</v>
      </c>
    </row>
    <row r="9671">
      <c r="A9671" s="3">
        <v>5185.0</v>
      </c>
      <c r="B9671" s="4">
        <v>45437.70591435185</v>
      </c>
      <c r="C9671" s="3" t="s">
        <v>3</v>
      </c>
    </row>
    <row r="9672">
      <c r="A9672" s="3">
        <v>1006.0</v>
      </c>
      <c r="B9672" s="4">
        <v>45437.706354166665</v>
      </c>
      <c r="C9672" s="3" t="s">
        <v>5</v>
      </c>
    </row>
    <row r="9673">
      <c r="A9673" s="3">
        <v>7220.0</v>
      </c>
      <c r="B9673" s="4">
        <v>45437.71716435185</v>
      </c>
      <c r="C9673" s="3" t="s">
        <v>5</v>
      </c>
    </row>
    <row r="9674">
      <c r="A9674" s="3">
        <v>7486.0</v>
      </c>
      <c r="B9674" s="4">
        <v>45437.728946759256</v>
      </c>
      <c r="C9674" s="3" t="s">
        <v>6</v>
      </c>
    </row>
    <row r="9675">
      <c r="A9675" s="3">
        <v>232.0</v>
      </c>
      <c r="B9675" s="4">
        <v>45437.735613425924</v>
      </c>
      <c r="C9675" s="3" t="s">
        <v>6</v>
      </c>
    </row>
    <row r="9676">
      <c r="A9676" s="3">
        <v>4197.0</v>
      </c>
      <c r="B9676" s="4">
        <v>45437.74725694444</v>
      </c>
      <c r="C9676" s="3" t="s">
        <v>6</v>
      </c>
    </row>
    <row r="9677">
      <c r="A9677" s="3">
        <v>7220.0</v>
      </c>
      <c r="B9677" s="4">
        <v>45437.753900462965</v>
      </c>
      <c r="C9677" s="3" t="s">
        <v>4</v>
      </c>
    </row>
    <row r="9678">
      <c r="A9678" s="3">
        <v>5543.0</v>
      </c>
      <c r="B9678" s="4">
        <v>45437.75548611111</v>
      </c>
      <c r="C9678" s="3" t="s">
        <v>3</v>
      </c>
    </row>
    <row r="9679">
      <c r="A9679" s="3">
        <v>81.0</v>
      </c>
      <c r="B9679" s="4">
        <v>45437.758101851854</v>
      </c>
      <c r="C9679" s="3" t="s">
        <v>6</v>
      </c>
    </row>
    <row r="9680">
      <c r="A9680" s="3">
        <v>2571.0</v>
      </c>
      <c r="B9680" s="4">
        <v>45437.775717592594</v>
      </c>
      <c r="C9680" s="3" t="s">
        <v>6</v>
      </c>
    </row>
    <row r="9681">
      <c r="A9681" s="3">
        <v>3998.0</v>
      </c>
      <c r="B9681" s="4">
        <v>45437.780439814815</v>
      </c>
      <c r="C9681" s="3" t="s">
        <v>6</v>
      </c>
    </row>
    <row r="9682">
      <c r="A9682" s="3">
        <v>7504.0</v>
      </c>
      <c r="B9682" s="4">
        <v>45437.784953703704</v>
      </c>
      <c r="C9682" s="3" t="s">
        <v>5</v>
      </c>
    </row>
    <row r="9683">
      <c r="A9683" s="3">
        <v>4618.0</v>
      </c>
      <c r="B9683" s="4">
        <v>45437.818402777775</v>
      </c>
      <c r="C9683" s="3" t="s">
        <v>3</v>
      </c>
    </row>
    <row r="9684">
      <c r="A9684" s="3">
        <v>5209.0</v>
      </c>
      <c r="B9684" s="4">
        <v>45437.820914351854</v>
      </c>
      <c r="C9684" s="3" t="s">
        <v>3</v>
      </c>
    </row>
    <row r="9685">
      <c r="A9685" s="3">
        <v>3885.0</v>
      </c>
      <c r="B9685" s="4">
        <v>45437.822962962964</v>
      </c>
      <c r="C9685" s="3" t="s">
        <v>3</v>
      </c>
    </row>
    <row r="9686">
      <c r="A9686" s="3">
        <v>232.0</v>
      </c>
      <c r="B9686" s="4">
        <v>45437.825219907405</v>
      </c>
      <c r="C9686" s="3" t="s">
        <v>4</v>
      </c>
    </row>
    <row r="9687">
      <c r="A9687" s="3">
        <v>2698.0</v>
      </c>
      <c r="B9687" s="4">
        <v>45437.838692129626</v>
      </c>
      <c r="C9687" s="3" t="s">
        <v>3</v>
      </c>
    </row>
    <row r="9688">
      <c r="A9688" s="3">
        <v>5520.0</v>
      </c>
      <c r="B9688" s="4">
        <v>45437.84538194445</v>
      </c>
      <c r="C9688" s="3" t="s">
        <v>3</v>
      </c>
    </row>
    <row r="9689">
      <c r="A9689" s="3">
        <v>3306.0</v>
      </c>
      <c r="B9689" s="4">
        <v>45437.8771412037</v>
      </c>
      <c r="C9689" s="3" t="s">
        <v>5</v>
      </c>
    </row>
    <row r="9690">
      <c r="A9690" s="3">
        <v>4919.0</v>
      </c>
      <c r="B9690" s="4">
        <v>45437.884930555556</v>
      </c>
      <c r="C9690" s="3" t="s">
        <v>3</v>
      </c>
    </row>
    <row r="9691">
      <c r="A9691" s="3">
        <v>6027.0</v>
      </c>
      <c r="B9691" s="4">
        <v>45437.91608796296</v>
      </c>
      <c r="C9691" s="3" t="s">
        <v>4</v>
      </c>
    </row>
    <row r="9692">
      <c r="A9692" s="3">
        <v>1318.0</v>
      </c>
      <c r="B9692" s="4">
        <v>45437.931284722225</v>
      </c>
      <c r="C9692" s="3" t="s">
        <v>3</v>
      </c>
    </row>
    <row r="9693">
      <c r="A9693" s="3">
        <v>1344.0</v>
      </c>
      <c r="B9693" s="4">
        <v>45437.93943287037</v>
      </c>
      <c r="C9693" s="3" t="s">
        <v>3</v>
      </c>
    </row>
    <row r="9694">
      <c r="A9694" s="3">
        <v>292.0</v>
      </c>
      <c r="B9694" s="4">
        <v>45437.95202546296</v>
      </c>
      <c r="C9694" s="3" t="s">
        <v>3</v>
      </c>
    </row>
    <row r="9695">
      <c r="A9695" s="3">
        <v>7774.0</v>
      </c>
      <c r="B9695" s="4">
        <v>45437.95334490741</v>
      </c>
      <c r="C9695" s="3" t="s">
        <v>3</v>
      </c>
    </row>
    <row r="9696">
      <c r="A9696" s="3">
        <v>866.0</v>
      </c>
      <c r="B9696" s="4">
        <v>45437.95601851852</v>
      </c>
      <c r="C9696" s="3" t="s">
        <v>7</v>
      </c>
    </row>
    <row r="9697">
      <c r="A9697" s="3">
        <v>7253.0</v>
      </c>
      <c r="B9697" s="4">
        <v>45437.95688657407</v>
      </c>
      <c r="C9697" s="3" t="s">
        <v>3</v>
      </c>
    </row>
    <row r="9698">
      <c r="A9698" s="3">
        <v>2064.0</v>
      </c>
      <c r="B9698" s="4">
        <v>45437.95866898148</v>
      </c>
      <c r="C9698" s="3" t="s">
        <v>3</v>
      </c>
    </row>
    <row r="9699">
      <c r="A9699" s="3">
        <v>2009.0</v>
      </c>
      <c r="B9699" s="4">
        <v>45437.96233796296</v>
      </c>
      <c r="C9699" s="3" t="s">
        <v>3</v>
      </c>
    </row>
    <row r="9700">
      <c r="A9700" s="3">
        <v>4744.0</v>
      </c>
      <c r="B9700" s="4">
        <v>45437.96902777778</v>
      </c>
      <c r="C9700" s="3" t="s">
        <v>7</v>
      </c>
    </row>
    <row r="9701">
      <c r="A9701" s="3">
        <v>3306.0</v>
      </c>
      <c r="B9701" s="4">
        <v>45437.97373842593</v>
      </c>
      <c r="C9701" s="3" t="s">
        <v>3</v>
      </c>
    </row>
    <row r="9702">
      <c r="A9702" s="3">
        <v>1870.0</v>
      </c>
      <c r="B9702" s="4">
        <v>45437.975069444445</v>
      </c>
      <c r="C9702" s="3" t="s">
        <v>5</v>
      </c>
    </row>
    <row r="9703">
      <c r="A9703" s="3">
        <v>4128.0</v>
      </c>
      <c r="B9703" s="4">
        <v>45437.97797453704</v>
      </c>
      <c r="C9703" s="3" t="s">
        <v>6</v>
      </c>
    </row>
    <row r="9704">
      <c r="A9704" s="3">
        <v>7786.0</v>
      </c>
      <c r="B9704" s="4">
        <v>45438.02174768518</v>
      </c>
      <c r="C9704" s="3" t="s">
        <v>5</v>
      </c>
    </row>
    <row r="9705">
      <c r="A9705" s="3">
        <v>6401.0</v>
      </c>
      <c r="B9705" s="4">
        <v>45438.040868055556</v>
      </c>
      <c r="C9705" s="3" t="s">
        <v>5</v>
      </c>
    </row>
    <row r="9706">
      <c r="A9706" s="3">
        <v>3313.0</v>
      </c>
      <c r="B9706" s="4">
        <v>45438.063125</v>
      </c>
      <c r="C9706" s="3" t="s">
        <v>4</v>
      </c>
    </row>
    <row r="9707">
      <c r="A9707" s="3">
        <v>6850.0</v>
      </c>
      <c r="B9707" s="4">
        <v>45438.07879629629</v>
      </c>
      <c r="C9707" s="3" t="s">
        <v>4</v>
      </c>
    </row>
    <row r="9708">
      <c r="A9708" s="3">
        <v>7181.0</v>
      </c>
      <c r="B9708" s="4">
        <v>45438.08453703704</v>
      </c>
      <c r="C9708" s="3" t="s">
        <v>3</v>
      </c>
    </row>
    <row r="9709">
      <c r="A9709" s="3">
        <v>6531.0</v>
      </c>
      <c r="B9709" s="4">
        <v>45438.0896875</v>
      </c>
      <c r="C9709" s="3" t="s">
        <v>3</v>
      </c>
    </row>
    <row r="9710">
      <c r="A9710" s="3">
        <v>407.0</v>
      </c>
      <c r="B9710" s="4">
        <v>45438.092002314814</v>
      </c>
      <c r="C9710" s="3" t="s">
        <v>4</v>
      </c>
    </row>
    <row r="9711">
      <c r="A9711" s="3">
        <v>2064.0</v>
      </c>
      <c r="B9711" s="4">
        <v>45438.095601851855</v>
      </c>
      <c r="C9711" s="3" t="s">
        <v>4</v>
      </c>
    </row>
    <row r="9712">
      <c r="A9712" s="3">
        <v>6858.0</v>
      </c>
      <c r="B9712" s="4">
        <v>45438.11115740741</v>
      </c>
      <c r="C9712" s="3" t="s">
        <v>5</v>
      </c>
    </row>
    <row r="9713">
      <c r="A9713" s="3">
        <v>6959.0</v>
      </c>
      <c r="B9713" s="4">
        <v>45438.12483796296</v>
      </c>
      <c r="C9713" s="3" t="s">
        <v>6</v>
      </c>
    </row>
    <row r="9714">
      <c r="A9714" s="3">
        <v>7018.0</v>
      </c>
      <c r="B9714" s="4">
        <v>45438.13318287037</v>
      </c>
      <c r="C9714" s="3" t="s">
        <v>6</v>
      </c>
    </row>
    <row r="9715">
      <c r="A9715" s="3">
        <v>2772.0</v>
      </c>
      <c r="B9715" s="4">
        <v>45438.133425925924</v>
      </c>
      <c r="C9715" s="3" t="s">
        <v>5</v>
      </c>
    </row>
    <row r="9716">
      <c r="A9716" s="3">
        <v>5965.0</v>
      </c>
      <c r="B9716" s="4">
        <v>45438.17795138889</v>
      </c>
      <c r="C9716" s="3" t="s">
        <v>3</v>
      </c>
    </row>
    <row r="9717">
      <c r="A9717" s="3">
        <v>2693.0</v>
      </c>
      <c r="B9717" s="4">
        <v>45438.198530092595</v>
      </c>
      <c r="C9717" s="3" t="s">
        <v>5</v>
      </c>
    </row>
    <row r="9718">
      <c r="A9718" s="3">
        <v>1394.0</v>
      </c>
      <c r="B9718" s="4">
        <v>45438.20181712963</v>
      </c>
      <c r="C9718" s="3" t="s">
        <v>6</v>
      </c>
    </row>
    <row r="9719">
      <c r="A9719" s="3">
        <v>3307.0</v>
      </c>
      <c r="B9719" s="4">
        <v>45438.20297453704</v>
      </c>
      <c r="C9719" s="3" t="s">
        <v>3</v>
      </c>
    </row>
    <row r="9720">
      <c r="A9720" s="3">
        <v>2765.0</v>
      </c>
      <c r="B9720" s="4">
        <v>45438.20439814815</v>
      </c>
      <c r="C9720" s="3" t="s">
        <v>3</v>
      </c>
    </row>
    <row r="9721">
      <c r="A9721" s="3">
        <v>5175.0</v>
      </c>
      <c r="B9721" s="4">
        <v>45438.22788194445</v>
      </c>
      <c r="C9721" s="3" t="s">
        <v>6</v>
      </c>
    </row>
    <row r="9722">
      <c r="A9722" s="3">
        <v>4971.0</v>
      </c>
      <c r="B9722" s="4">
        <v>45438.25256944444</v>
      </c>
      <c r="C9722" s="3" t="s">
        <v>6</v>
      </c>
    </row>
    <row r="9723">
      <c r="A9723" s="3">
        <v>2765.0</v>
      </c>
      <c r="B9723" s="4">
        <v>45438.269895833335</v>
      </c>
      <c r="C9723" s="3" t="s">
        <v>4</v>
      </c>
    </row>
    <row r="9724">
      <c r="A9724" s="3">
        <v>6858.0</v>
      </c>
      <c r="B9724" s="4">
        <v>45438.29256944444</v>
      </c>
      <c r="C9724" s="3" t="s">
        <v>3</v>
      </c>
    </row>
    <row r="9725">
      <c r="A9725" s="3">
        <v>3306.0</v>
      </c>
      <c r="B9725" s="4">
        <v>45438.3121875</v>
      </c>
      <c r="C9725" s="3" t="s">
        <v>4</v>
      </c>
    </row>
    <row r="9726">
      <c r="A9726" s="3">
        <v>6621.0</v>
      </c>
      <c r="B9726" s="4">
        <v>45438.32032407408</v>
      </c>
      <c r="C9726" s="3" t="s">
        <v>3</v>
      </c>
    </row>
    <row r="9727">
      <c r="A9727" s="3">
        <v>7785.0</v>
      </c>
      <c r="B9727" s="4">
        <v>45438.32219907407</v>
      </c>
      <c r="C9727" s="3" t="s">
        <v>4</v>
      </c>
    </row>
    <row r="9728">
      <c r="A9728" s="3">
        <v>1147.0</v>
      </c>
      <c r="B9728" s="4">
        <v>45438.35737268518</v>
      </c>
      <c r="C9728" s="3" t="s">
        <v>7</v>
      </c>
    </row>
    <row r="9729">
      <c r="A9729" s="3">
        <v>3347.0</v>
      </c>
      <c r="B9729" s="4">
        <v>45438.37936342593</v>
      </c>
      <c r="C9729" s="3" t="s">
        <v>5</v>
      </c>
    </row>
    <row r="9730">
      <c r="A9730" s="3">
        <v>1829.0</v>
      </c>
      <c r="B9730" s="4">
        <v>45438.38831018518</v>
      </c>
      <c r="C9730" s="3" t="s">
        <v>3</v>
      </c>
    </row>
    <row r="9731">
      <c r="A9731" s="3">
        <v>3092.0</v>
      </c>
      <c r="B9731" s="4">
        <v>45438.39498842593</v>
      </c>
      <c r="C9731" s="3" t="s">
        <v>6</v>
      </c>
    </row>
    <row r="9732">
      <c r="A9732" s="3">
        <v>3178.0</v>
      </c>
      <c r="B9732" s="4">
        <v>45438.40666666667</v>
      </c>
      <c r="C9732" s="3" t="s">
        <v>3</v>
      </c>
    </row>
    <row r="9733">
      <c r="A9733" s="3">
        <v>5762.0</v>
      </c>
      <c r="B9733" s="4">
        <v>45438.44241898148</v>
      </c>
      <c r="C9733" s="3" t="s">
        <v>3</v>
      </c>
    </row>
    <row r="9734">
      <c r="A9734" s="3">
        <v>5696.0</v>
      </c>
      <c r="B9734" s="4">
        <v>45438.476377314815</v>
      </c>
      <c r="C9734" s="3" t="s">
        <v>3</v>
      </c>
    </row>
    <row r="9735">
      <c r="A9735" s="3">
        <v>1881.0</v>
      </c>
      <c r="B9735" s="4">
        <v>45438.47696759259</v>
      </c>
      <c r="C9735" s="3" t="s">
        <v>6</v>
      </c>
    </row>
    <row r="9736">
      <c r="A9736" s="3">
        <v>7627.0</v>
      </c>
      <c r="B9736" s="4">
        <v>45438.5150462963</v>
      </c>
      <c r="C9736" s="3" t="s">
        <v>3</v>
      </c>
    </row>
    <row r="9737">
      <c r="A9737" s="3">
        <v>1583.0</v>
      </c>
      <c r="B9737" s="4">
        <v>45438.51908564815</v>
      </c>
      <c r="C9737" s="3" t="s">
        <v>5</v>
      </c>
    </row>
    <row r="9738">
      <c r="A9738" s="3">
        <v>4686.0</v>
      </c>
      <c r="B9738" s="4">
        <v>45438.52260416667</v>
      </c>
      <c r="C9738" s="3" t="s">
        <v>3</v>
      </c>
    </row>
    <row r="9739">
      <c r="A9739" s="3">
        <v>7371.0</v>
      </c>
      <c r="B9739" s="4">
        <v>45438.526655092595</v>
      </c>
      <c r="C9739" s="3" t="s">
        <v>3</v>
      </c>
    </row>
    <row r="9740">
      <c r="A9740" s="3">
        <v>4919.0</v>
      </c>
      <c r="B9740" s="4">
        <v>45438.5312037037</v>
      </c>
      <c r="C9740" s="3" t="s">
        <v>4</v>
      </c>
    </row>
    <row r="9741">
      <c r="A9741" s="3">
        <v>3313.0</v>
      </c>
      <c r="B9741" s="4">
        <v>45438.532118055555</v>
      </c>
      <c r="C9741" s="3" t="s">
        <v>7</v>
      </c>
    </row>
    <row r="9742">
      <c r="A9742" s="3">
        <v>6621.0</v>
      </c>
      <c r="B9742" s="4">
        <v>45438.53873842592</v>
      </c>
      <c r="C9742" s="3" t="s">
        <v>4</v>
      </c>
    </row>
    <row r="9743">
      <c r="A9743" s="3">
        <v>6160.0</v>
      </c>
      <c r="B9743" s="4">
        <v>45438.54108796296</v>
      </c>
      <c r="C9743" s="3" t="s">
        <v>3</v>
      </c>
    </row>
    <row r="9744">
      <c r="A9744" s="3">
        <v>6400.0</v>
      </c>
      <c r="B9744" s="4">
        <v>45438.54652777778</v>
      </c>
      <c r="C9744" s="3" t="s">
        <v>6</v>
      </c>
    </row>
    <row r="9745">
      <c r="A9745" s="3">
        <v>7395.0</v>
      </c>
      <c r="B9745" s="4">
        <v>45438.5546412037</v>
      </c>
      <c r="C9745" s="3" t="s">
        <v>3</v>
      </c>
    </row>
    <row r="9746">
      <c r="A9746" s="3">
        <v>866.0</v>
      </c>
      <c r="B9746" s="4">
        <v>45438.57417824074</v>
      </c>
      <c r="C9746" s="3" t="s">
        <v>5</v>
      </c>
    </row>
    <row r="9747">
      <c r="A9747" s="3">
        <v>2477.0</v>
      </c>
      <c r="B9747" s="4">
        <v>45438.60283564815</v>
      </c>
      <c r="C9747" s="3" t="s">
        <v>7</v>
      </c>
    </row>
    <row r="9748">
      <c r="A9748" s="3">
        <v>4780.0</v>
      </c>
      <c r="B9748" s="4">
        <v>45438.61765046296</v>
      </c>
      <c r="C9748" s="3" t="s">
        <v>3</v>
      </c>
    </row>
    <row r="9749">
      <c r="A9749" s="3">
        <v>1039.0</v>
      </c>
      <c r="B9749" s="4">
        <v>45438.62255787037</v>
      </c>
      <c r="C9749" s="3" t="s">
        <v>3</v>
      </c>
    </row>
    <row r="9750">
      <c r="A9750" s="3">
        <v>1034.0</v>
      </c>
      <c r="B9750" s="4">
        <v>45438.6283912037</v>
      </c>
      <c r="C9750" s="3" t="s">
        <v>7</v>
      </c>
    </row>
    <row r="9751">
      <c r="A9751" s="3">
        <v>1318.0</v>
      </c>
      <c r="B9751" s="4">
        <v>45438.63486111111</v>
      </c>
      <c r="C9751" s="3" t="s">
        <v>7</v>
      </c>
    </row>
    <row r="9752">
      <c r="A9752" s="3">
        <v>5726.0</v>
      </c>
      <c r="B9752" s="4">
        <v>45438.67833333334</v>
      </c>
      <c r="C9752" s="3" t="s">
        <v>3</v>
      </c>
    </row>
    <row r="9753">
      <c r="A9753" s="3">
        <v>4123.0</v>
      </c>
      <c r="B9753" s="4">
        <v>45438.734085648146</v>
      </c>
      <c r="C9753" s="3" t="s">
        <v>4</v>
      </c>
    </row>
    <row r="9754">
      <c r="A9754" s="3">
        <v>4802.0</v>
      </c>
      <c r="B9754" s="4">
        <v>45438.7550462963</v>
      </c>
      <c r="C9754" s="3" t="s">
        <v>4</v>
      </c>
    </row>
    <row r="9755">
      <c r="A9755" s="3">
        <v>292.0</v>
      </c>
      <c r="B9755" s="4">
        <v>45438.76731481482</v>
      </c>
      <c r="C9755" s="3" t="s">
        <v>5</v>
      </c>
    </row>
    <row r="9756">
      <c r="A9756" s="3">
        <v>2019.0</v>
      </c>
      <c r="B9756" s="4">
        <v>45438.76900462963</v>
      </c>
      <c r="C9756" s="3" t="s">
        <v>3</v>
      </c>
    </row>
    <row r="9757">
      <c r="A9757" s="3">
        <v>3293.0</v>
      </c>
      <c r="B9757" s="4">
        <v>45438.77836805556</v>
      </c>
      <c r="C9757" s="3" t="s">
        <v>3</v>
      </c>
    </row>
    <row r="9758">
      <c r="A9758" s="3">
        <v>2698.0</v>
      </c>
      <c r="B9758" s="4">
        <v>45438.77842592593</v>
      </c>
      <c r="C9758" s="3" t="s">
        <v>4</v>
      </c>
    </row>
    <row r="9759">
      <c r="A9759" s="3">
        <v>1881.0</v>
      </c>
      <c r="B9759" s="4">
        <v>45438.782638888886</v>
      </c>
      <c r="C9759" s="3" t="s">
        <v>4</v>
      </c>
    </row>
    <row r="9760">
      <c r="A9760" s="3">
        <v>1037.0</v>
      </c>
      <c r="B9760" s="4">
        <v>45438.82063657408</v>
      </c>
      <c r="C9760" s="3" t="s">
        <v>3</v>
      </c>
    </row>
    <row r="9761">
      <c r="A9761" s="3">
        <v>5346.0</v>
      </c>
      <c r="B9761" s="4">
        <v>45438.832962962966</v>
      </c>
      <c r="C9761" s="3" t="s">
        <v>7</v>
      </c>
    </row>
    <row r="9762">
      <c r="A9762" s="3">
        <v>7952.0</v>
      </c>
      <c r="B9762" s="4">
        <v>45438.834699074076</v>
      </c>
      <c r="C9762" s="3" t="s">
        <v>4</v>
      </c>
    </row>
    <row r="9763">
      <c r="A9763" s="3">
        <v>1034.0</v>
      </c>
      <c r="B9763" s="4">
        <v>45438.85372685185</v>
      </c>
      <c r="C9763" s="3" t="s">
        <v>6</v>
      </c>
    </row>
    <row r="9764">
      <c r="A9764" s="3">
        <v>7415.0</v>
      </c>
      <c r="B9764" s="4">
        <v>45438.863217592596</v>
      </c>
      <c r="C9764" s="3" t="s">
        <v>4</v>
      </c>
    </row>
    <row r="9765">
      <c r="A9765" s="3">
        <v>4332.0</v>
      </c>
      <c r="B9765" s="4">
        <v>45438.87414351852</v>
      </c>
      <c r="C9765" s="3" t="s">
        <v>3</v>
      </c>
    </row>
    <row r="9766">
      <c r="A9766" s="3">
        <v>3347.0</v>
      </c>
      <c r="B9766" s="4">
        <v>45438.875185185185</v>
      </c>
      <c r="C9766" s="3" t="s">
        <v>3</v>
      </c>
    </row>
    <row r="9767">
      <c r="A9767" s="3">
        <v>5470.0</v>
      </c>
      <c r="B9767" s="4">
        <v>45438.88465277778</v>
      </c>
      <c r="C9767" s="3" t="s">
        <v>3</v>
      </c>
    </row>
    <row r="9768">
      <c r="A9768" s="3">
        <v>2841.0</v>
      </c>
      <c r="B9768" s="4">
        <v>45438.93082175926</v>
      </c>
      <c r="C9768" s="3" t="s">
        <v>6</v>
      </c>
    </row>
    <row r="9769">
      <c r="A9769" s="3">
        <v>4778.0</v>
      </c>
      <c r="B9769" s="4">
        <v>45438.940046296295</v>
      </c>
      <c r="C9769" s="3" t="s">
        <v>3</v>
      </c>
    </row>
    <row r="9770">
      <c r="A9770" s="3">
        <v>2759.0</v>
      </c>
      <c r="B9770" s="4">
        <v>45438.94328703704</v>
      </c>
      <c r="C9770" s="3" t="s">
        <v>7</v>
      </c>
    </row>
    <row r="9771">
      <c r="A9771" s="3">
        <v>1318.0</v>
      </c>
      <c r="B9771" s="4">
        <v>45438.949375</v>
      </c>
      <c r="C9771" s="3" t="s">
        <v>4</v>
      </c>
    </row>
    <row r="9772">
      <c r="A9772" s="3">
        <v>5122.0</v>
      </c>
      <c r="B9772" s="4">
        <v>45438.96571759259</v>
      </c>
      <c r="C9772" s="3" t="s">
        <v>6</v>
      </c>
    </row>
    <row r="9773">
      <c r="A9773" s="3">
        <v>1006.0</v>
      </c>
      <c r="B9773" s="4">
        <v>45438.97101851852</v>
      </c>
      <c r="C9773" s="3" t="s">
        <v>7</v>
      </c>
    </row>
    <row r="9774">
      <c r="A9774" s="3">
        <v>3037.0</v>
      </c>
      <c r="B9774" s="4">
        <v>45438.98268518518</v>
      </c>
      <c r="C9774" s="3" t="s">
        <v>4</v>
      </c>
    </row>
    <row r="9775">
      <c r="A9775" s="3">
        <v>3334.0</v>
      </c>
      <c r="B9775" s="4">
        <v>45439.00407407407</v>
      </c>
      <c r="C9775" s="3" t="s">
        <v>3</v>
      </c>
    </row>
    <row r="9776">
      <c r="A9776" s="3">
        <v>548.0</v>
      </c>
      <c r="B9776" s="4">
        <v>45439.012604166666</v>
      </c>
      <c r="C9776" s="3" t="s">
        <v>4</v>
      </c>
    </row>
    <row r="9777">
      <c r="A9777" s="3">
        <v>7850.0</v>
      </c>
      <c r="B9777" s="4">
        <v>45439.0234837963</v>
      </c>
      <c r="C9777" s="3" t="s">
        <v>3</v>
      </c>
    </row>
    <row r="9778">
      <c r="A9778" s="3">
        <v>2184.0</v>
      </c>
      <c r="B9778" s="4">
        <v>45439.030185185184</v>
      </c>
      <c r="C9778" s="3" t="s">
        <v>3</v>
      </c>
    </row>
    <row r="9779">
      <c r="A9779" s="3">
        <v>548.0</v>
      </c>
      <c r="B9779" s="4">
        <v>45439.05679398148</v>
      </c>
      <c r="C9779" s="3" t="s">
        <v>3</v>
      </c>
    </row>
    <row r="9780">
      <c r="A9780" s="3">
        <v>7786.0</v>
      </c>
      <c r="B9780" s="4">
        <v>45439.06597222222</v>
      </c>
      <c r="C9780" s="3" t="s">
        <v>4</v>
      </c>
    </row>
    <row r="9781">
      <c r="A9781" s="3">
        <v>6160.0</v>
      </c>
      <c r="B9781" s="4">
        <v>45439.06900462963</v>
      </c>
      <c r="C9781" s="3" t="s">
        <v>4</v>
      </c>
    </row>
    <row r="9782">
      <c r="A9782" s="3">
        <v>7785.0</v>
      </c>
      <c r="B9782" s="4">
        <v>45439.082916666666</v>
      </c>
      <c r="C9782" s="3" t="s">
        <v>5</v>
      </c>
    </row>
    <row r="9783">
      <c r="A9783" s="3">
        <v>2830.0</v>
      </c>
      <c r="B9783" s="4">
        <v>45439.138287037036</v>
      </c>
      <c r="C9783" s="3" t="s">
        <v>7</v>
      </c>
    </row>
    <row r="9784">
      <c r="A9784" s="3">
        <v>2065.0</v>
      </c>
      <c r="B9784" s="4">
        <v>45439.140601851854</v>
      </c>
      <c r="C9784" s="3" t="s">
        <v>3</v>
      </c>
    </row>
    <row r="9785">
      <c r="A9785" s="3">
        <v>4339.0</v>
      </c>
      <c r="B9785" s="4">
        <v>45439.188784722224</v>
      </c>
      <c r="C9785" s="3" t="s">
        <v>3</v>
      </c>
    </row>
    <row r="9786">
      <c r="A9786" s="3">
        <v>5139.0</v>
      </c>
      <c r="B9786" s="4">
        <v>45439.19976851852</v>
      </c>
      <c r="C9786" s="3" t="s">
        <v>3</v>
      </c>
    </row>
    <row r="9787">
      <c r="A9787" s="3">
        <v>1318.0</v>
      </c>
      <c r="B9787" s="4">
        <v>45439.20134259259</v>
      </c>
      <c r="C9787" s="3" t="s">
        <v>5</v>
      </c>
    </row>
    <row r="9788">
      <c r="A9788" s="3">
        <v>6621.0</v>
      </c>
      <c r="B9788" s="4">
        <v>45439.211493055554</v>
      </c>
      <c r="C9788" s="3" t="s">
        <v>5</v>
      </c>
    </row>
    <row r="9789">
      <c r="A9789" s="3">
        <v>216.0</v>
      </c>
      <c r="B9789" s="4">
        <v>45439.21334490741</v>
      </c>
      <c r="C9789" s="3" t="s">
        <v>3</v>
      </c>
    </row>
    <row r="9790">
      <c r="A9790" s="3">
        <v>2317.0</v>
      </c>
      <c r="B9790" s="4">
        <v>45439.21355324074</v>
      </c>
      <c r="C9790" s="3" t="s">
        <v>3</v>
      </c>
    </row>
    <row r="9791">
      <c r="A9791" s="3">
        <v>1298.0</v>
      </c>
      <c r="B9791" s="4">
        <v>45439.215775462966</v>
      </c>
      <c r="C9791" s="3" t="s">
        <v>3</v>
      </c>
    </row>
    <row r="9792">
      <c r="A9792" s="3">
        <v>7991.0</v>
      </c>
      <c r="B9792" s="4">
        <v>45439.22372685185</v>
      </c>
      <c r="C9792" s="3" t="s">
        <v>3</v>
      </c>
    </row>
    <row r="9793">
      <c r="A9793" s="3">
        <v>6023.0</v>
      </c>
      <c r="B9793" s="4">
        <v>45439.234398148146</v>
      </c>
      <c r="C9793" s="3" t="s">
        <v>7</v>
      </c>
    </row>
    <row r="9794">
      <c r="A9794" s="3">
        <v>262.0</v>
      </c>
      <c r="B9794" s="4">
        <v>45439.239756944444</v>
      </c>
      <c r="C9794" s="3" t="s">
        <v>3</v>
      </c>
    </row>
    <row r="9795">
      <c r="A9795" s="3">
        <v>593.0</v>
      </c>
      <c r="B9795" s="4">
        <v>45439.248564814814</v>
      </c>
      <c r="C9795" s="3" t="s">
        <v>3</v>
      </c>
    </row>
    <row r="9796">
      <c r="A9796" s="3">
        <v>1894.0</v>
      </c>
      <c r="B9796" s="4">
        <v>45439.2625462963</v>
      </c>
      <c r="C9796" s="3" t="s">
        <v>6</v>
      </c>
    </row>
    <row r="9797">
      <c r="A9797" s="3">
        <v>2759.0</v>
      </c>
      <c r="B9797" s="4">
        <v>45439.26571759259</v>
      </c>
      <c r="C9797" s="3" t="s">
        <v>6</v>
      </c>
    </row>
    <row r="9798">
      <c r="A9798" s="3">
        <v>3194.0</v>
      </c>
      <c r="B9798" s="4">
        <v>45439.274351851855</v>
      </c>
      <c r="C9798" s="3" t="s">
        <v>7</v>
      </c>
    </row>
    <row r="9799">
      <c r="A9799" s="3">
        <v>7940.0</v>
      </c>
      <c r="B9799" s="4">
        <v>45439.29230324074</v>
      </c>
      <c r="C9799" s="3" t="s">
        <v>3</v>
      </c>
    </row>
    <row r="9800">
      <c r="A9800" s="3">
        <v>5543.0</v>
      </c>
      <c r="B9800" s="4">
        <v>45439.352118055554</v>
      </c>
      <c r="C9800" s="3" t="s">
        <v>4</v>
      </c>
    </row>
    <row r="9801">
      <c r="A9801" s="3">
        <v>7771.0</v>
      </c>
      <c r="B9801" s="4">
        <v>45439.35412037037</v>
      </c>
      <c r="C9801" s="3" t="s">
        <v>7</v>
      </c>
    </row>
    <row r="9802">
      <c r="A9802" s="3">
        <v>593.0</v>
      </c>
      <c r="B9802" s="4">
        <v>45439.361134259256</v>
      </c>
      <c r="C9802" s="3" t="s">
        <v>4</v>
      </c>
    </row>
    <row r="9803">
      <c r="A9803" s="3">
        <v>1985.0</v>
      </c>
      <c r="B9803" s="4">
        <v>45439.380381944444</v>
      </c>
      <c r="C9803" s="3" t="s">
        <v>3</v>
      </c>
    </row>
    <row r="9804">
      <c r="A9804" s="3">
        <v>6553.0</v>
      </c>
      <c r="B9804" s="4">
        <v>45439.40611111111</v>
      </c>
      <c r="C9804" s="3" t="s">
        <v>3</v>
      </c>
    </row>
    <row r="9805">
      <c r="A9805" s="3">
        <v>4062.0</v>
      </c>
      <c r="B9805" s="4">
        <v>45439.426782407405</v>
      </c>
      <c r="C9805" s="3" t="s">
        <v>4</v>
      </c>
    </row>
    <row r="9806">
      <c r="A9806" s="3">
        <v>1344.0</v>
      </c>
      <c r="B9806" s="4">
        <v>45439.442395833335</v>
      </c>
      <c r="C9806" s="3" t="s">
        <v>4</v>
      </c>
    </row>
    <row r="9807">
      <c r="A9807" s="3">
        <v>3347.0</v>
      </c>
      <c r="B9807" s="4">
        <v>45439.45752314815</v>
      </c>
      <c r="C9807" s="3" t="s">
        <v>4</v>
      </c>
    </row>
    <row r="9808">
      <c r="A9808" s="3">
        <v>5396.0</v>
      </c>
      <c r="B9808" s="4">
        <v>45439.47011574074</v>
      </c>
      <c r="C9808" s="3" t="s">
        <v>3</v>
      </c>
    </row>
    <row r="9809">
      <c r="A9809" s="3">
        <v>7771.0</v>
      </c>
      <c r="B9809" s="4">
        <v>45439.49055555555</v>
      </c>
      <c r="C9809" s="3" t="s">
        <v>4</v>
      </c>
    </row>
    <row r="9810">
      <c r="A9810" s="3">
        <v>7774.0</v>
      </c>
      <c r="B9810" s="4">
        <v>45439.50850694445</v>
      </c>
      <c r="C9810" s="3" t="s">
        <v>4</v>
      </c>
    </row>
    <row r="9811">
      <c r="A9811" s="3">
        <v>2410.0</v>
      </c>
      <c r="B9811" s="4">
        <v>45439.51020833333</v>
      </c>
      <c r="C9811" s="3" t="s">
        <v>3</v>
      </c>
    </row>
    <row r="9812">
      <c r="A9812" s="3">
        <v>7549.0</v>
      </c>
      <c r="B9812" s="4">
        <v>45439.53226851852</v>
      </c>
      <c r="C9812" s="3" t="s">
        <v>3</v>
      </c>
    </row>
    <row r="9813">
      <c r="A9813" s="3">
        <v>7562.0</v>
      </c>
      <c r="B9813" s="4">
        <v>45439.556967592594</v>
      </c>
      <c r="C9813" s="3" t="s">
        <v>3</v>
      </c>
    </row>
    <row r="9814">
      <c r="A9814" s="3">
        <v>7018.0</v>
      </c>
      <c r="B9814" s="4">
        <v>45439.57650462963</v>
      </c>
      <c r="C9814" s="3" t="s">
        <v>5</v>
      </c>
    </row>
    <row r="9815">
      <c r="A9815" s="3">
        <v>292.0</v>
      </c>
      <c r="B9815" s="4">
        <v>45439.59664351852</v>
      </c>
      <c r="C9815" s="3" t="s">
        <v>6</v>
      </c>
    </row>
    <row r="9816">
      <c r="A9816" s="3">
        <v>3734.0</v>
      </c>
      <c r="B9816" s="4">
        <v>45439.62923611111</v>
      </c>
      <c r="C9816" s="3" t="s">
        <v>3</v>
      </c>
    </row>
    <row r="9817">
      <c r="A9817" s="3">
        <v>2848.0</v>
      </c>
      <c r="B9817" s="4">
        <v>45439.62986111111</v>
      </c>
      <c r="C9817" s="3" t="s">
        <v>3</v>
      </c>
    </row>
    <row r="9818">
      <c r="A9818" s="3">
        <v>1822.0</v>
      </c>
      <c r="B9818" s="4">
        <v>45439.6340162037</v>
      </c>
      <c r="C9818" s="3" t="s">
        <v>3</v>
      </c>
    </row>
    <row r="9819">
      <c r="A9819" s="3">
        <v>2204.0</v>
      </c>
      <c r="B9819" s="4">
        <v>45439.661261574074</v>
      </c>
      <c r="C9819" s="3" t="s">
        <v>3</v>
      </c>
    </row>
    <row r="9820">
      <c r="A9820" s="3">
        <v>593.0</v>
      </c>
      <c r="B9820" s="4">
        <v>45439.75682870371</v>
      </c>
      <c r="C9820" s="3" t="s">
        <v>5</v>
      </c>
    </row>
    <row r="9821">
      <c r="A9821" s="3">
        <v>2222.0</v>
      </c>
      <c r="B9821" s="4">
        <v>45439.76236111111</v>
      </c>
      <c r="C9821" s="3" t="s">
        <v>7</v>
      </c>
    </row>
    <row r="9822">
      <c r="A9822" s="3">
        <v>7395.0</v>
      </c>
      <c r="B9822" s="4">
        <v>45439.78839120371</v>
      </c>
      <c r="C9822" s="3" t="s">
        <v>4</v>
      </c>
    </row>
    <row r="9823">
      <c r="A9823" s="3">
        <v>6553.0</v>
      </c>
      <c r="B9823" s="4">
        <v>45439.80262731481</v>
      </c>
      <c r="C9823" s="3" t="s">
        <v>4</v>
      </c>
    </row>
    <row r="9824">
      <c r="A9824" s="3">
        <v>5613.0</v>
      </c>
      <c r="B9824" s="4">
        <v>45439.84337962963</v>
      </c>
      <c r="C9824" s="3" t="s">
        <v>3</v>
      </c>
    </row>
    <row r="9825">
      <c r="A9825" s="3">
        <v>6858.0</v>
      </c>
      <c r="B9825" s="4">
        <v>45439.84782407407</v>
      </c>
      <c r="C9825" s="3" t="s">
        <v>6</v>
      </c>
    </row>
    <row r="9826">
      <c r="A9826" s="3">
        <v>2184.0</v>
      </c>
      <c r="B9826" s="4">
        <v>45439.85021990741</v>
      </c>
      <c r="C9826" s="3" t="s">
        <v>4</v>
      </c>
    </row>
    <row r="9827">
      <c r="A9827" s="3">
        <v>5355.0</v>
      </c>
      <c r="B9827" s="4">
        <v>45439.882569444446</v>
      </c>
      <c r="C9827" s="3" t="s">
        <v>3</v>
      </c>
    </row>
    <row r="9828">
      <c r="A9828" s="3">
        <v>2215.0</v>
      </c>
      <c r="B9828" s="4">
        <v>45439.89994212963</v>
      </c>
      <c r="C9828" s="3" t="s">
        <v>3</v>
      </c>
    </row>
    <row r="9829">
      <c r="A9829" s="3">
        <v>4618.0</v>
      </c>
      <c r="B9829" s="4">
        <v>45439.91997685185</v>
      </c>
      <c r="C9829" s="3" t="s">
        <v>6</v>
      </c>
    </row>
    <row r="9830">
      <c r="A9830" s="3">
        <v>5762.0</v>
      </c>
      <c r="B9830" s="4">
        <v>45439.947118055556</v>
      </c>
      <c r="C9830" s="3" t="s">
        <v>5</v>
      </c>
    </row>
    <row r="9831">
      <c r="A9831" s="3">
        <v>2693.0</v>
      </c>
      <c r="B9831" s="4">
        <v>45439.948113425926</v>
      </c>
      <c r="C9831" s="3" t="s">
        <v>4</v>
      </c>
    </row>
    <row r="9832">
      <c r="A9832" s="3">
        <v>5543.0</v>
      </c>
      <c r="B9832" s="4">
        <v>45439.9509375</v>
      </c>
      <c r="C9832" s="3" t="s">
        <v>6</v>
      </c>
    </row>
    <row r="9833">
      <c r="A9833" s="3">
        <v>2698.0</v>
      </c>
      <c r="B9833" s="4">
        <v>45439.95788194444</v>
      </c>
      <c r="C9833" s="3" t="s">
        <v>6</v>
      </c>
    </row>
    <row r="9834">
      <c r="A9834" s="3">
        <v>5191.0</v>
      </c>
      <c r="B9834" s="4">
        <v>45439.98596064815</v>
      </c>
      <c r="C9834" s="3" t="s">
        <v>6</v>
      </c>
    </row>
    <row r="9835">
      <c r="A9835" s="3">
        <v>6795.0</v>
      </c>
      <c r="B9835" s="4">
        <v>45440.00144675926</v>
      </c>
      <c r="C9835" s="3" t="s">
        <v>3</v>
      </c>
    </row>
    <row r="9836">
      <c r="A9836" s="3">
        <v>7540.0</v>
      </c>
      <c r="B9836" s="4">
        <v>45440.02667824074</v>
      </c>
      <c r="C9836" s="3" t="s">
        <v>4</v>
      </c>
    </row>
    <row r="9837">
      <c r="A9837" s="3">
        <v>117.0</v>
      </c>
      <c r="B9837" s="4">
        <v>45440.037673611114</v>
      </c>
      <c r="C9837" s="3" t="s">
        <v>3</v>
      </c>
    </row>
    <row r="9838">
      <c r="A9838" s="3">
        <v>6438.0</v>
      </c>
      <c r="B9838" s="4">
        <v>45440.03922453704</v>
      </c>
      <c r="C9838" s="3" t="s">
        <v>3</v>
      </c>
    </row>
    <row r="9839">
      <c r="A9839" s="3">
        <v>1039.0</v>
      </c>
      <c r="B9839" s="4">
        <v>45440.04614583333</v>
      </c>
      <c r="C9839" s="3" t="s">
        <v>4</v>
      </c>
    </row>
    <row r="9840">
      <c r="A9840" s="3">
        <v>5143.0</v>
      </c>
      <c r="B9840" s="4">
        <v>45440.04646990741</v>
      </c>
      <c r="C9840" s="3" t="s">
        <v>3</v>
      </c>
    </row>
    <row r="9841">
      <c r="A9841" s="3">
        <v>7504.0</v>
      </c>
      <c r="B9841" s="4">
        <v>45440.05814814815</v>
      </c>
      <c r="C9841" s="3" t="s">
        <v>7</v>
      </c>
    </row>
    <row r="9842">
      <c r="A9842" s="3">
        <v>3028.0</v>
      </c>
      <c r="B9842" s="4">
        <v>45440.07877314815</v>
      </c>
      <c r="C9842" s="3" t="s">
        <v>3</v>
      </c>
    </row>
    <row r="9843">
      <c r="A9843" s="3">
        <v>1870.0</v>
      </c>
      <c r="B9843" s="4">
        <v>45440.08997685185</v>
      </c>
      <c r="C9843" s="3" t="s">
        <v>7</v>
      </c>
    </row>
    <row r="9844">
      <c r="A9844" s="3">
        <v>6563.0</v>
      </c>
      <c r="B9844" s="4">
        <v>45440.09673611111</v>
      </c>
      <c r="C9844" s="3" t="s">
        <v>4</v>
      </c>
    </row>
    <row r="9845">
      <c r="A9845" s="3">
        <v>7540.0</v>
      </c>
      <c r="B9845" s="4">
        <v>45440.14233796296</v>
      </c>
      <c r="C9845" s="3" t="s">
        <v>3</v>
      </c>
    </row>
    <row r="9846">
      <c r="A9846" s="3">
        <v>4618.0</v>
      </c>
      <c r="B9846" s="4">
        <v>45440.156875</v>
      </c>
      <c r="C9846" s="3" t="s">
        <v>7</v>
      </c>
    </row>
    <row r="9847">
      <c r="A9847" s="3">
        <v>1721.0</v>
      </c>
      <c r="B9847" s="4">
        <v>45440.180289351854</v>
      </c>
      <c r="C9847" s="3" t="s">
        <v>5</v>
      </c>
    </row>
    <row r="9848">
      <c r="A9848" s="3">
        <v>4747.0</v>
      </c>
      <c r="B9848" s="4">
        <v>45440.19834490741</v>
      </c>
      <c r="C9848" s="3" t="s">
        <v>3</v>
      </c>
    </row>
    <row r="9849">
      <c r="A9849" s="3">
        <v>1091.0</v>
      </c>
      <c r="B9849" s="4">
        <v>45440.20226851852</v>
      </c>
      <c r="C9849" s="3" t="s">
        <v>7</v>
      </c>
    </row>
    <row r="9850">
      <c r="A9850" s="3">
        <v>854.0</v>
      </c>
      <c r="B9850" s="4">
        <v>45440.22872685185</v>
      </c>
      <c r="C9850" s="3" t="s">
        <v>3</v>
      </c>
    </row>
    <row r="9851">
      <c r="A9851" s="3">
        <v>3334.0</v>
      </c>
      <c r="B9851" s="4">
        <v>45440.230578703704</v>
      </c>
      <c r="C9851" s="3" t="s">
        <v>4</v>
      </c>
    </row>
    <row r="9852">
      <c r="A9852" s="3">
        <v>3307.0</v>
      </c>
      <c r="B9852" s="4">
        <v>45440.25918981482</v>
      </c>
      <c r="C9852" s="3" t="s">
        <v>4</v>
      </c>
    </row>
    <row r="9853">
      <c r="A9853" s="3">
        <v>3299.0</v>
      </c>
      <c r="B9853" s="4">
        <v>45440.288356481484</v>
      </c>
      <c r="C9853" s="3" t="s">
        <v>7</v>
      </c>
    </row>
    <row r="9854">
      <c r="A9854" s="3">
        <v>189.0</v>
      </c>
      <c r="B9854" s="4">
        <v>45440.303125</v>
      </c>
      <c r="C9854" s="3" t="s">
        <v>6</v>
      </c>
    </row>
    <row r="9855">
      <c r="A9855" s="3">
        <v>172.0</v>
      </c>
      <c r="B9855" s="4">
        <v>45440.30537037037</v>
      </c>
      <c r="C9855" s="3" t="s">
        <v>3</v>
      </c>
    </row>
    <row r="9856">
      <c r="A9856" s="3">
        <v>866.0</v>
      </c>
      <c r="B9856" s="4">
        <v>45440.30872685185</v>
      </c>
      <c r="C9856" s="3" t="s">
        <v>6</v>
      </c>
    </row>
    <row r="9857">
      <c r="A9857" s="3">
        <v>1721.0</v>
      </c>
      <c r="B9857" s="4">
        <v>45440.33792824074</v>
      </c>
      <c r="C9857" s="3" t="s">
        <v>3</v>
      </c>
    </row>
    <row r="9858">
      <c r="A9858" s="3">
        <v>1554.0</v>
      </c>
      <c r="B9858" s="4">
        <v>45440.353125</v>
      </c>
      <c r="C9858" s="3" t="s">
        <v>3</v>
      </c>
    </row>
    <row r="9859">
      <c r="A9859" s="3">
        <v>7253.0</v>
      </c>
      <c r="B9859" s="4">
        <v>45440.36083333333</v>
      </c>
      <c r="C9859" s="3" t="s">
        <v>4</v>
      </c>
    </row>
    <row r="9860">
      <c r="A9860" s="3">
        <v>5139.0</v>
      </c>
      <c r="B9860" s="4">
        <v>45440.36425925926</v>
      </c>
      <c r="C9860" s="3" t="s">
        <v>7</v>
      </c>
    </row>
    <row r="9861">
      <c r="A9861" s="3">
        <v>3564.0</v>
      </c>
      <c r="B9861" s="4">
        <v>45440.36817129629</v>
      </c>
      <c r="C9861" s="3" t="s">
        <v>4</v>
      </c>
    </row>
    <row r="9862">
      <c r="A9862" s="3">
        <v>2338.0</v>
      </c>
      <c r="B9862" s="4">
        <v>45440.3683912037</v>
      </c>
      <c r="C9862" s="3" t="s">
        <v>6</v>
      </c>
    </row>
    <row r="9863">
      <c r="A9863" s="3">
        <v>1473.0</v>
      </c>
      <c r="B9863" s="4">
        <v>45440.368784722225</v>
      </c>
      <c r="C9863" s="3" t="s">
        <v>3</v>
      </c>
    </row>
    <row r="9864">
      <c r="A9864" s="3">
        <v>4717.0</v>
      </c>
      <c r="B9864" s="4">
        <v>45440.371770833335</v>
      </c>
      <c r="C9864" s="3" t="s">
        <v>3</v>
      </c>
    </row>
    <row r="9865">
      <c r="A9865" s="3">
        <v>2019.0</v>
      </c>
      <c r="B9865" s="4">
        <v>45440.3937037037</v>
      </c>
      <c r="C9865" s="3" t="s">
        <v>4</v>
      </c>
    </row>
    <row r="9866">
      <c r="A9866" s="3">
        <v>1881.0</v>
      </c>
      <c r="B9866" s="4">
        <v>45440.3984375</v>
      </c>
      <c r="C9866" s="3" t="s">
        <v>5</v>
      </c>
    </row>
    <row r="9867">
      <c r="A9867" s="3">
        <v>3426.0</v>
      </c>
      <c r="B9867" s="4">
        <v>45440.42998842592</v>
      </c>
      <c r="C9867" s="3" t="s">
        <v>3</v>
      </c>
    </row>
    <row r="9868">
      <c r="A9868" s="3">
        <v>2274.0</v>
      </c>
      <c r="B9868" s="4">
        <v>45440.43415509259</v>
      </c>
      <c r="C9868" s="3" t="s">
        <v>7</v>
      </c>
    </row>
    <row r="9869">
      <c r="A9869" s="3">
        <v>3306.0</v>
      </c>
      <c r="B9869" s="4">
        <v>45440.44730324074</v>
      </c>
      <c r="C9869" s="3" t="s">
        <v>7</v>
      </c>
    </row>
    <row r="9870">
      <c r="A9870" s="3">
        <v>4332.0</v>
      </c>
      <c r="B9870" s="4">
        <v>45440.44931712963</v>
      </c>
      <c r="C9870" s="3" t="s">
        <v>6</v>
      </c>
    </row>
    <row r="9871">
      <c r="A9871" s="3">
        <v>4510.0</v>
      </c>
      <c r="B9871" s="4">
        <v>45440.47375</v>
      </c>
      <c r="C9871" s="3" t="s">
        <v>7</v>
      </c>
    </row>
    <row r="9872">
      <c r="A9872" s="3">
        <v>1706.0</v>
      </c>
      <c r="B9872" s="4">
        <v>45440.48378472222</v>
      </c>
      <c r="C9872" s="3" t="s">
        <v>3</v>
      </c>
    </row>
    <row r="9873">
      <c r="A9873" s="3">
        <v>51.0</v>
      </c>
      <c r="B9873" s="4">
        <v>45440.483831018515</v>
      </c>
      <c r="C9873" s="3" t="s">
        <v>3</v>
      </c>
    </row>
    <row r="9874">
      <c r="A9874" s="3">
        <v>2317.0</v>
      </c>
      <c r="B9874" s="4">
        <v>45440.48636574074</v>
      </c>
      <c r="C9874" s="3" t="s">
        <v>5</v>
      </c>
    </row>
    <row r="9875">
      <c r="A9875" s="3">
        <v>3313.0</v>
      </c>
      <c r="B9875" s="4">
        <v>45440.49203703704</v>
      </c>
      <c r="C9875" s="3" t="s">
        <v>6</v>
      </c>
    </row>
    <row r="9876">
      <c r="A9876" s="3">
        <v>4067.0</v>
      </c>
      <c r="B9876" s="4">
        <v>45440.49450231482</v>
      </c>
      <c r="C9876" s="3" t="s">
        <v>3</v>
      </c>
    </row>
    <row r="9877">
      <c r="A9877" s="3">
        <v>4889.0</v>
      </c>
      <c r="B9877" s="4">
        <v>45440.50142361111</v>
      </c>
      <c r="C9877" s="3" t="s">
        <v>3</v>
      </c>
    </row>
    <row r="9878">
      <c r="A9878" s="3">
        <v>2553.0</v>
      </c>
      <c r="B9878" s="4">
        <v>45440.51342592593</v>
      </c>
      <c r="C9878" s="3" t="s">
        <v>3</v>
      </c>
    </row>
    <row r="9879">
      <c r="A9879" s="3">
        <v>7774.0</v>
      </c>
      <c r="B9879" s="4">
        <v>45440.525659722225</v>
      </c>
      <c r="C9879" s="3" t="s">
        <v>6</v>
      </c>
    </row>
    <row r="9880">
      <c r="A9880" s="3">
        <v>5762.0</v>
      </c>
      <c r="B9880" s="4">
        <v>45440.53685185185</v>
      </c>
      <c r="C9880" s="3" t="s">
        <v>4</v>
      </c>
    </row>
    <row r="9881">
      <c r="A9881" s="3">
        <v>5139.0</v>
      </c>
      <c r="B9881" s="4">
        <v>45440.548680555556</v>
      </c>
      <c r="C9881" s="3" t="s">
        <v>4</v>
      </c>
    </row>
    <row r="9882">
      <c r="A9882" s="3">
        <v>454.0</v>
      </c>
      <c r="B9882" s="4">
        <v>45440.553819444445</v>
      </c>
      <c r="C9882" s="3" t="s">
        <v>3</v>
      </c>
    </row>
    <row r="9883">
      <c r="A9883" s="3">
        <v>2202.0</v>
      </c>
      <c r="B9883" s="4">
        <v>45440.59505787037</v>
      </c>
      <c r="C9883" s="3" t="s">
        <v>3</v>
      </c>
    </row>
    <row r="9884">
      <c r="A9884" s="3">
        <v>4453.0</v>
      </c>
      <c r="B9884" s="4">
        <v>45440.649375</v>
      </c>
      <c r="C9884" s="3" t="s">
        <v>3</v>
      </c>
    </row>
    <row r="9885">
      <c r="A9885" s="3">
        <v>7601.0</v>
      </c>
      <c r="B9885" s="4">
        <v>45440.662835648145</v>
      </c>
      <c r="C9885" s="3" t="s">
        <v>3</v>
      </c>
    </row>
    <row r="9886">
      <c r="A9886" s="3">
        <v>2698.0</v>
      </c>
      <c r="B9886" s="4">
        <v>45440.68969907407</v>
      </c>
      <c r="C9886" s="3" t="s">
        <v>7</v>
      </c>
    </row>
    <row r="9887">
      <c r="A9887" s="3">
        <v>1500.0</v>
      </c>
      <c r="B9887" s="4">
        <v>45440.69361111111</v>
      </c>
      <c r="C9887" s="3" t="s">
        <v>7</v>
      </c>
    </row>
    <row r="9888">
      <c r="A9888" s="3">
        <v>3593.0</v>
      </c>
      <c r="B9888" s="4">
        <v>45440.70443287037</v>
      </c>
      <c r="C9888" s="3" t="s">
        <v>3</v>
      </c>
    </row>
    <row r="9889">
      <c r="A9889" s="3">
        <v>1894.0</v>
      </c>
      <c r="B9889" s="4">
        <v>45440.76548611111</v>
      </c>
      <c r="C9889" s="3" t="s">
        <v>7</v>
      </c>
    </row>
    <row r="9890">
      <c r="A9890" s="3">
        <v>2317.0</v>
      </c>
      <c r="B9890" s="4">
        <v>45440.766238425924</v>
      </c>
      <c r="C9890" s="3" t="s">
        <v>4</v>
      </c>
    </row>
    <row r="9891">
      <c r="A9891" s="3">
        <v>1755.0</v>
      </c>
      <c r="B9891" s="4">
        <v>45440.77442129629</v>
      </c>
      <c r="C9891" s="3" t="s">
        <v>3</v>
      </c>
    </row>
    <row r="9892">
      <c r="A9892" s="3">
        <v>7998.0</v>
      </c>
      <c r="B9892" s="4">
        <v>45440.77443287037</v>
      </c>
      <c r="C9892" s="3" t="s">
        <v>3</v>
      </c>
    </row>
    <row r="9893">
      <c r="A9893" s="3">
        <v>2518.0</v>
      </c>
      <c r="B9893" s="4">
        <v>45440.77547453704</v>
      </c>
      <c r="C9893" s="3" t="s">
        <v>4</v>
      </c>
    </row>
    <row r="9894">
      <c r="A9894" s="3">
        <v>750.0</v>
      </c>
      <c r="B9894" s="4">
        <v>45440.77643518519</v>
      </c>
      <c r="C9894" s="3" t="s">
        <v>3</v>
      </c>
    </row>
    <row r="9895">
      <c r="A9895" s="3">
        <v>7771.0</v>
      </c>
      <c r="B9895" s="4">
        <v>45440.807280092595</v>
      </c>
      <c r="C9895" s="3" t="s">
        <v>5</v>
      </c>
    </row>
    <row r="9896">
      <c r="A9896" s="3">
        <v>4048.0</v>
      </c>
      <c r="B9896" s="4">
        <v>45440.808483796296</v>
      </c>
      <c r="C9896" s="3" t="s">
        <v>4</v>
      </c>
    </row>
    <row r="9897">
      <c r="A9897" s="3">
        <v>6959.0</v>
      </c>
      <c r="B9897" s="4">
        <v>45440.832974537036</v>
      </c>
      <c r="C9897" s="3" t="s">
        <v>5</v>
      </c>
    </row>
    <row r="9898">
      <c r="A9898" s="3">
        <v>6655.0</v>
      </c>
      <c r="B9898" s="4">
        <v>45440.83621527778</v>
      </c>
      <c r="C9898" s="3" t="s">
        <v>3</v>
      </c>
    </row>
    <row r="9899">
      <c r="A9899" s="3">
        <v>3347.0</v>
      </c>
      <c r="B9899" s="4">
        <v>45440.83809027778</v>
      </c>
      <c r="C9899" s="3" t="s">
        <v>6</v>
      </c>
    </row>
    <row r="9900">
      <c r="A9900" s="3">
        <v>5696.0</v>
      </c>
      <c r="B9900" s="4">
        <v>45440.84662037037</v>
      </c>
      <c r="C9900" s="3" t="s">
        <v>4</v>
      </c>
    </row>
    <row r="9901">
      <c r="A9901" s="3">
        <v>5994.0</v>
      </c>
      <c r="B9901" s="4">
        <v>45440.8521412037</v>
      </c>
      <c r="C9901" s="3" t="s">
        <v>3</v>
      </c>
    </row>
    <row r="9902">
      <c r="A9902" s="3">
        <v>3077.0</v>
      </c>
      <c r="B9902" s="4">
        <v>45440.87648148148</v>
      </c>
      <c r="C9902" s="3" t="s">
        <v>3</v>
      </c>
    </row>
    <row r="9903">
      <c r="A9903" s="3">
        <v>7347.0</v>
      </c>
      <c r="B9903" s="4">
        <v>45440.901608796295</v>
      </c>
      <c r="C9903" s="3" t="s">
        <v>3</v>
      </c>
    </row>
    <row r="9904">
      <c r="A9904" s="3">
        <v>6858.0</v>
      </c>
      <c r="B9904" s="4">
        <v>45440.906180555554</v>
      </c>
      <c r="C9904" s="3" t="s">
        <v>4</v>
      </c>
    </row>
    <row r="9905">
      <c r="A9905" s="3">
        <v>6023.0</v>
      </c>
      <c r="B9905" s="4">
        <v>45440.92356481482</v>
      </c>
      <c r="C9905" s="3" t="s">
        <v>6</v>
      </c>
    </row>
    <row r="9906">
      <c r="A9906" s="3">
        <v>1976.0</v>
      </c>
      <c r="B9906" s="4">
        <v>45440.93848379629</v>
      </c>
      <c r="C9906" s="3" t="s">
        <v>3</v>
      </c>
    </row>
    <row r="9907">
      <c r="A9907" s="3">
        <v>1039.0</v>
      </c>
      <c r="B9907" s="4">
        <v>45440.95260416667</v>
      </c>
      <c r="C9907" s="3" t="s">
        <v>7</v>
      </c>
    </row>
    <row r="9908">
      <c r="A9908" s="3">
        <v>1871.0</v>
      </c>
      <c r="B9908" s="4">
        <v>45440.96734953704</v>
      </c>
      <c r="C9908" s="3" t="s">
        <v>6</v>
      </c>
    </row>
    <row r="9909">
      <c r="A9909" s="3">
        <v>6563.0</v>
      </c>
      <c r="B9909" s="4">
        <v>45440.97483796296</v>
      </c>
      <c r="C9909" s="3" t="s">
        <v>5</v>
      </c>
    </row>
    <row r="9910">
      <c r="A9910" s="3">
        <v>1929.0</v>
      </c>
      <c r="B9910" s="4">
        <v>45440.979675925926</v>
      </c>
      <c r="C9910" s="3" t="s">
        <v>7</v>
      </c>
    </row>
    <row r="9911">
      <c r="A9911" s="3">
        <v>2539.0</v>
      </c>
      <c r="B9911" s="4">
        <v>45440.98315972222</v>
      </c>
      <c r="C9911" s="3" t="s">
        <v>3</v>
      </c>
    </row>
    <row r="9912">
      <c r="A9912" s="3">
        <v>657.0</v>
      </c>
      <c r="B9912" s="4">
        <v>45440.990266203706</v>
      </c>
      <c r="C9912" s="3" t="s">
        <v>3</v>
      </c>
    </row>
    <row r="9913">
      <c r="A9913" s="3">
        <v>6563.0</v>
      </c>
      <c r="B9913" s="4">
        <v>45440.99254629629</v>
      </c>
      <c r="C9913" s="3" t="s">
        <v>3</v>
      </c>
    </row>
    <row r="9914">
      <c r="A9914" s="3">
        <v>4339.0</v>
      </c>
      <c r="B9914" s="4">
        <v>45441.004849537036</v>
      </c>
      <c r="C9914" s="3" t="s">
        <v>4</v>
      </c>
    </row>
    <row r="9915">
      <c r="A9915" s="3">
        <v>1929.0</v>
      </c>
      <c r="B9915" s="4">
        <v>45441.005740740744</v>
      </c>
      <c r="C9915" s="3" t="s">
        <v>6</v>
      </c>
    </row>
    <row r="9916">
      <c r="A9916" s="3">
        <v>5773.0</v>
      </c>
      <c r="B9916" s="4">
        <v>45441.015914351854</v>
      </c>
      <c r="C9916" s="3" t="s">
        <v>3</v>
      </c>
    </row>
    <row r="9917">
      <c r="A9917" s="3">
        <v>4613.0</v>
      </c>
      <c r="B9917" s="4">
        <v>45441.0212962963</v>
      </c>
      <c r="C9917" s="3" t="s">
        <v>3</v>
      </c>
    </row>
    <row r="9918">
      <c r="A9918" s="3">
        <v>4717.0</v>
      </c>
      <c r="B9918" s="4">
        <v>45441.03138888889</v>
      </c>
      <c r="C9918" s="3" t="s">
        <v>4</v>
      </c>
    </row>
    <row r="9919">
      <c r="A9919" s="3">
        <v>3582.0</v>
      </c>
      <c r="B9919" s="4">
        <v>45441.034097222226</v>
      </c>
      <c r="C9919" s="3" t="s">
        <v>3</v>
      </c>
    </row>
    <row r="9920">
      <c r="A9920" s="3">
        <v>2772.0</v>
      </c>
      <c r="B9920" s="4">
        <v>45441.04163194444</v>
      </c>
      <c r="C9920" s="3" t="s">
        <v>6</v>
      </c>
    </row>
    <row r="9921">
      <c r="A9921" s="3">
        <v>1881.0</v>
      </c>
      <c r="B9921" s="4">
        <v>45441.10434027778</v>
      </c>
      <c r="C9921" s="3" t="s">
        <v>7</v>
      </c>
    </row>
    <row r="9922">
      <c r="A9922" s="3">
        <v>6553.0</v>
      </c>
      <c r="B9922" s="4">
        <v>45441.106307870374</v>
      </c>
      <c r="C9922" s="3" t="s">
        <v>5</v>
      </c>
    </row>
    <row r="9923">
      <c r="A9923" s="3">
        <v>3455.0</v>
      </c>
      <c r="B9923" s="4">
        <v>45441.11515046296</v>
      </c>
      <c r="C9923" s="3" t="s">
        <v>3</v>
      </c>
    </row>
    <row r="9924">
      <c r="A9924" s="3">
        <v>2830.0</v>
      </c>
      <c r="B9924" s="4">
        <v>45441.120150462964</v>
      </c>
      <c r="C9924" s="3" t="s">
        <v>6</v>
      </c>
    </row>
    <row r="9925">
      <c r="A9925" s="3">
        <v>1411.0</v>
      </c>
      <c r="B9925" s="4">
        <v>45441.136666666665</v>
      </c>
      <c r="C9925" s="3" t="s">
        <v>6</v>
      </c>
    </row>
    <row r="9926">
      <c r="A9926" s="3">
        <v>5442.0</v>
      </c>
      <c r="B9926" s="4">
        <v>45441.13744212963</v>
      </c>
      <c r="C9926" s="3" t="s">
        <v>4</v>
      </c>
    </row>
    <row r="9927">
      <c r="A9927" s="3">
        <v>836.0</v>
      </c>
      <c r="B9927" s="4">
        <v>45441.14545138889</v>
      </c>
      <c r="C9927" s="3" t="s">
        <v>3</v>
      </c>
    </row>
    <row r="9928">
      <c r="A9928" s="3">
        <v>3488.0</v>
      </c>
      <c r="B9928" s="4">
        <v>45441.155324074076</v>
      </c>
      <c r="C9928" s="3" t="s">
        <v>3</v>
      </c>
    </row>
    <row r="9929">
      <c r="A9929" s="3">
        <v>3593.0</v>
      </c>
      <c r="B9929" s="4">
        <v>45441.17527777778</v>
      </c>
      <c r="C9929" s="3" t="s">
        <v>5</v>
      </c>
    </row>
    <row r="9930">
      <c r="A9930" s="3">
        <v>454.0</v>
      </c>
      <c r="B9930" s="4">
        <v>45441.18070601852</v>
      </c>
      <c r="C9930" s="3" t="s">
        <v>4</v>
      </c>
    </row>
    <row r="9931">
      <c r="A9931" s="3">
        <v>837.0</v>
      </c>
      <c r="B9931" s="4">
        <v>45441.22179398148</v>
      </c>
      <c r="C9931" s="3" t="s">
        <v>3</v>
      </c>
    </row>
    <row r="9932">
      <c r="A9932" s="3">
        <v>548.0</v>
      </c>
      <c r="B9932" s="4">
        <v>45441.24456018519</v>
      </c>
      <c r="C9932" s="3" t="s">
        <v>6</v>
      </c>
    </row>
    <row r="9933">
      <c r="A9933" s="3">
        <v>5815.0</v>
      </c>
      <c r="B9933" s="4">
        <v>45441.266018518516</v>
      </c>
      <c r="C9933" s="3" t="s">
        <v>3</v>
      </c>
    </row>
    <row r="9934">
      <c r="A9934" s="3">
        <v>7786.0</v>
      </c>
      <c r="B9934" s="4">
        <v>45441.270208333335</v>
      </c>
      <c r="C9934" s="3" t="s">
        <v>6</v>
      </c>
    </row>
    <row r="9935">
      <c r="A9935" s="3">
        <v>2222.0</v>
      </c>
      <c r="B9935" s="4">
        <v>45441.276342592595</v>
      </c>
      <c r="C9935" s="3" t="s">
        <v>6</v>
      </c>
    </row>
    <row r="9936">
      <c r="A9936" s="3">
        <v>6113.0</v>
      </c>
      <c r="B9936" s="4">
        <v>45441.30133101852</v>
      </c>
      <c r="C9936" s="3" t="s">
        <v>3</v>
      </c>
    </row>
    <row r="9937">
      <c r="A9937" s="3">
        <v>4938.0</v>
      </c>
      <c r="B9937" s="4">
        <v>45441.32800925926</v>
      </c>
      <c r="C9937" s="3" t="s">
        <v>3</v>
      </c>
    </row>
    <row r="9938">
      <c r="A9938" s="3">
        <v>4259.0</v>
      </c>
      <c r="B9938" s="4">
        <v>45441.32908564815</v>
      </c>
      <c r="C9938" s="3" t="s">
        <v>3</v>
      </c>
    </row>
    <row r="9939">
      <c r="A9939" s="3">
        <v>3734.0</v>
      </c>
      <c r="B9939" s="4">
        <v>45441.34240740741</v>
      </c>
      <c r="C9939" s="3" t="s">
        <v>7</v>
      </c>
    </row>
    <row r="9940">
      <c r="A9940" s="3">
        <v>6655.0</v>
      </c>
      <c r="B9940" s="4">
        <v>45441.36712962963</v>
      </c>
      <c r="C9940" s="3" t="s">
        <v>5</v>
      </c>
    </row>
    <row r="9941">
      <c r="A9941" s="3">
        <v>5453.0</v>
      </c>
      <c r="B9941" s="4">
        <v>45441.37357638889</v>
      </c>
      <c r="C9941" s="3" t="s">
        <v>3</v>
      </c>
    </row>
    <row r="9942">
      <c r="A9942" s="3">
        <v>158.0</v>
      </c>
      <c r="B9942" s="4">
        <v>45441.387337962966</v>
      </c>
      <c r="C9942" s="3" t="s">
        <v>3</v>
      </c>
    </row>
    <row r="9943">
      <c r="A9943" s="3">
        <v>5442.0</v>
      </c>
      <c r="B9943" s="4">
        <v>45441.390439814815</v>
      </c>
      <c r="C9943" s="3" t="s">
        <v>3</v>
      </c>
    </row>
    <row r="9944">
      <c r="A9944" s="3">
        <v>2765.0</v>
      </c>
      <c r="B9944" s="4">
        <v>45441.417916666665</v>
      </c>
      <c r="C9944" s="3" t="s">
        <v>6</v>
      </c>
    </row>
    <row r="9945">
      <c r="A9945" s="3">
        <v>6999.0</v>
      </c>
      <c r="B9945" s="4">
        <v>45441.4196875</v>
      </c>
      <c r="C9945" s="3" t="s">
        <v>3</v>
      </c>
    </row>
    <row r="9946">
      <c r="A9946" s="3">
        <v>5868.0</v>
      </c>
      <c r="B9946" s="4">
        <v>45441.4221412037</v>
      </c>
      <c r="C9946" s="3" t="s">
        <v>6</v>
      </c>
    </row>
    <row r="9947">
      <c r="A9947" s="3">
        <v>4889.0</v>
      </c>
      <c r="B9947" s="4">
        <v>45441.433125</v>
      </c>
      <c r="C9947" s="3" t="s">
        <v>5</v>
      </c>
    </row>
    <row r="9948">
      <c r="A9948" s="3">
        <v>4829.0</v>
      </c>
      <c r="B9948" s="4">
        <v>45441.44930555556</v>
      </c>
      <c r="C9948" s="3" t="s">
        <v>4</v>
      </c>
    </row>
    <row r="9949">
      <c r="A9949" s="3">
        <v>6655.0</v>
      </c>
      <c r="B9949" s="4">
        <v>45441.453877314816</v>
      </c>
      <c r="C9949" s="3" t="s">
        <v>6</v>
      </c>
    </row>
    <row r="9950">
      <c r="A9950" s="3">
        <v>4618.0</v>
      </c>
      <c r="B9950" s="4">
        <v>45441.49967592592</v>
      </c>
      <c r="C9950" s="3" t="s">
        <v>5</v>
      </c>
    </row>
    <row r="9951">
      <c r="A9951" s="3">
        <v>850.0</v>
      </c>
      <c r="B9951" s="4">
        <v>45441.51111111111</v>
      </c>
      <c r="C9951" s="3" t="s">
        <v>3</v>
      </c>
    </row>
    <row r="9952">
      <c r="A9952" s="3">
        <v>2671.0</v>
      </c>
      <c r="B9952" s="4">
        <v>45441.51458333333</v>
      </c>
      <c r="C9952" s="3" t="s">
        <v>6</v>
      </c>
    </row>
    <row r="9953">
      <c r="A9953" s="3">
        <v>5139.0</v>
      </c>
      <c r="B9953" s="4">
        <v>45441.516064814816</v>
      </c>
      <c r="C9953" s="3" t="s">
        <v>6</v>
      </c>
    </row>
    <row r="9954">
      <c r="A9954" s="3">
        <v>2628.0</v>
      </c>
      <c r="B9954" s="4">
        <v>45441.555300925924</v>
      </c>
      <c r="C9954" s="3" t="s">
        <v>3</v>
      </c>
    </row>
    <row r="9955">
      <c r="A9955" s="3">
        <v>3207.0</v>
      </c>
      <c r="B9955" s="4">
        <v>45441.566041666665</v>
      </c>
      <c r="C9955" s="3" t="s">
        <v>6</v>
      </c>
    </row>
    <row r="9956">
      <c r="A9956" s="3">
        <v>6850.0</v>
      </c>
      <c r="B9956" s="4">
        <v>45441.5725</v>
      </c>
      <c r="C9956" s="3" t="s">
        <v>7</v>
      </c>
    </row>
    <row r="9957">
      <c r="A9957" s="3">
        <v>5773.0</v>
      </c>
      <c r="B9957" s="4">
        <v>45441.59230324074</v>
      </c>
      <c r="C9957" s="3" t="s">
        <v>4</v>
      </c>
    </row>
    <row r="9958">
      <c r="A9958" s="3">
        <v>7940.0</v>
      </c>
      <c r="B9958" s="4">
        <v>45441.61313657407</v>
      </c>
      <c r="C9958" s="3" t="s">
        <v>5</v>
      </c>
    </row>
    <row r="9959">
      <c r="A9959" s="3">
        <v>3334.0</v>
      </c>
      <c r="B9959" s="4">
        <v>45441.61413194444</v>
      </c>
      <c r="C9959" s="3" t="s">
        <v>5</v>
      </c>
    </row>
    <row r="9960">
      <c r="A9960" s="3">
        <v>2317.0</v>
      </c>
      <c r="B9960" s="4">
        <v>45441.63582175926</v>
      </c>
      <c r="C9960" s="3" t="s">
        <v>7</v>
      </c>
    </row>
    <row r="9961">
      <c r="A9961" s="3">
        <v>232.0</v>
      </c>
      <c r="B9961" s="4">
        <v>45441.65553240741</v>
      </c>
      <c r="C9961" s="3" t="s">
        <v>7</v>
      </c>
    </row>
    <row r="9962">
      <c r="A9962" s="3">
        <v>7940.0</v>
      </c>
      <c r="B9962" s="4">
        <v>45441.661458333336</v>
      </c>
      <c r="C9962" s="3" t="s">
        <v>7</v>
      </c>
    </row>
    <row r="9963">
      <c r="A9963" s="3">
        <v>51.0</v>
      </c>
      <c r="B9963" s="4">
        <v>45441.66552083333</v>
      </c>
      <c r="C9963" s="3" t="s">
        <v>4</v>
      </c>
    </row>
    <row r="9964">
      <c r="A9964" s="3">
        <v>2442.0</v>
      </c>
      <c r="B9964" s="4">
        <v>45441.67414351852</v>
      </c>
      <c r="C9964" s="3" t="s">
        <v>3</v>
      </c>
    </row>
    <row r="9965">
      <c r="A9965" s="3">
        <v>2848.0</v>
      </c>
      <c r="B9965" s="4">
        <v>45441.6834375</v>
      </c>
      <c r="C9965" s="3" t="s">
        <v>4</v>
      </c>
    </row>
    <row r="9966">
      <c r="A9966" s="3">
        <v>7771.0</v>
      </c>
      <c r="B9966" s="4">
        <v>45441.68975694444</v>
      </c>
      <c r="C9966" s="3" t="s">
        <v>6</v>
      </c>
    </row>
    <row r="9967">
      <c r="A9967" s="3">
        <v>3593.0</v>
      </c>
      <c r="B9967" s="4">
        <v>45441.70664351852</v>
      </c>
      <c r="C9967" s="3" t="s">
        <v>7</v>
      </c>
    </row>
    <row r="9968">
      <c r="A9968" s="3">
        <v>4127.0</v>
      </c>
      <c r="B9968" s="4">
        <v>45441.7190625</v>
      </c>
      <c r="C9968" s="3" t="s">
        <v>3</v>
      </c>
    </row>
    <row r="9969">
      <c r="A9969" s="3">
        <v>3562.0</v>
      </c>
      <c r="B9969" s="4">
        <v>45441.723391203705</v>
      </c>
      <c r="C9969" s="3" t="s">
        <v>3</v>
      </c>
    </row>
    <row r="9970">
      <c r="A9970" s="3">
        <v>1733.0</v>
      </c>
      <c r="B9970" s="4">
        <v>45441.73899305556</v>
      </c>
      <c r="C9970" s="3" t="s">
        <v>3</v>
      </c>
    </row>
    <row r="9971">
      <c r="A9971" s="3">
        <v>1755.0</v>
      </c>
      <c r="B9971" s="4">
        <v>45441.767696759256</v>
      </c>
      <c r="C9971" s="3" t="s">
        <v>4</v>
      </c>
    </row>
    <row r="9972">
      <c r="A9972" s="3">
        <v>3038.0</v>
      </c>
      <c r="B9972" s="4">
        <v>45441.77395833333</v>
      </c>
      <c r="C9972" s="3" t="s">
        <v>3</v>
      </c>
    </row>
    <row r="9973">
      <c r="A9973" s="3">
        <v>7774.0</v>
      </c>
      <c r="B9973" s="4">
        <v>45441.79275462963</v>
      </c>
      <c r="C9973" s="3" t="s">
        <v>5</v>
      </c>
    </row>
    <row r="9974">
      <c r="A9974" s="3">
        <v>306.0</v>
      </c>
      <c r="B9974" s="4">
        <v>45441.79282407407</v>
      </c>
      <c r="C9974" s="3" t="s">
        <v>3</v>
      </c>
    </row>
    <row r="9975">
      <c r="A9975" s="3">
        <v>4269.0</v>
      </c>
      <c r="B9975" s="4">
        <v>45441.853854166664</v>
      </c>
      <c r="C9975" s="3" t="s">
        <v>3</v>
      </c>
    </row>
    <row r="9976">
      <c r="A9976" s="3">
        <v>4966.0</v>
      </c>
      <c r="B9976" s="4">
        <v>45441.89923611111</v>
      </c>
      <c r="C9976" s="3" t="s">
        <v>3</v>
      </c>
    </row>
    <row r="9977">
      <c r="A9977" s="3">
        <v>1298.0</v>
      </c>
      <c r="B9977" s="4">
        <v>45441.93530092593</v>
      </c>
      <c r="C9977" s="3" t="s">
        <v>4</v>
      </c>
    </row>
    <row r="9978">
      <c r="A9978" s="3">
        <v>6015.0</v>
      </c>
      <c r="B9978" s="4">
        <v>45441.93592592593</v>
      </c>
      <c r="C9978" s="3" t="s">
        <v>3</v>
      </c>
    </row>
    <row r="9979">
      <c r="A9979" s="3">
        <v>4744.0</v>
      </c>
      <c r="B9979" s="4">
        <v>45441.935949074075</v>
      </c>
      <c r="C9979" s="3" t="s">
        <v>6</v>
      </c>
    </row>
    <row r="9980">
      <c r="A9980" s="3">
        <v>4348.0</v>
      </c>
      <c r="B9980" s="4">
        <v>45441.969675925924</v>
      </c>
      <c r="C9980" s="3" t="s">
        <v>3</v>
      </c>
    </row>
    <row r="9981">
      <c r="A9981" s="3">
        <v>4780.0</v>
      </c>
      <c r="B9981" s="4">
        <v>45441.98243055555</v>
      </c>
      <c r="C9981" s="3" t="s">
        <v>4</v>
      </c>
    </row>
    <row r="9982">
      <c r="A9982" s="3">
        <v>6553.0</v>
      </c>
      <c r="B9982" s="4">
        <v>45442.00745370371</v>
      </c>
      <c r="C9982" s="3" t="s">
        <v>7</v>
      </c>
    </row>
    <row r="9983">
      <c r="A9983" s="3">
        <v>2164.0</v>
      </c>
      <c r="B9983" s="4">
        <v>45442.033854166664</v>
      </c>
      <c r="C9983" s="3" t="s">
        <v>3</v>
      </c>
    </row>
    <row r="9984">
      <c r="A9984" s="3">
        <v>3178.0</v>
      </c>
      <c r="B9984" s="4">
        <v>45442.05181712963</v>
      </c>
      <c r="C9984" s="3" t="s">
        <v>4</v>
      </c>
    </row>
    <row r="9985">
      <c r="A9985" s="3">
        <v>5442.0</v>
      </c>
      <c r="B9985" s="4">
        <v>45442.06636574074</v>
      </c>
      <c r="C9985" s="3" t="s">
        <v>5</v>
      </c>
    </row>
    <row r="9986">
      <c r="A9986" s="3">
        <v>5988.0</v>
      </c>
      <c r="B9986" s="4">
        <v>45442.07979166666</v>
      </c>
      <c r="C9986" s="3" t="s">
        <v>3</v>
      </c>
    </row>
    <row r="9987">
      <c r="A9987" s="3">
        <v>5994.0</v>
      </c>
      <c r="B9987" s="4">
        <v>45442.093125</v>
      </c>
      <c r="C9987" s="3" t="s">
        <v>6</v>
      </c>
    </row>
    <row r="9988">
      <c r="A9988" s="3">
        <v>6850.0</v>
      </c>
      <c r="B9988" s="4">
        <v>45442.10585648148</v>
      </c>
      <c r="C9988" s="3" t="s">
        <v>6</v>
      </c>
    </row>
    <row r="9989">
      <c r="A9989" s="3">
        <v>158.0</v>
      </c>
      <c r="B9989" s="4">
        <v>45442.123148148145</v>
      </c>
      <c r="C9989" s="3" t="s">
        <v>4</v>
      </c>
    </row>
    <row r="9990">
      <c r="A9990" s="3">
        <v>6301.0</v>
      </c>
      <c r="B9990" s="4">
        <v>45442.132893518516</v>
      </c>
      <c r="C9990" s="3" t="s">
        <v>3</v>
      </c>
    </row>
    <row r="9991">
      <c r="A9991" s="3">
        <v>1721.0</v>
      </c>
      <c r="B9991" s="4">
        <v>45442.16342592592</v>
      </c>
      <c r="C9991" s="3" t="s">
        <v>6</v>
      </c>
    </row>
    <row r="9992">
      <c r="A9992" s="3">
        <v>2274.0</v>
      </c>
      <c r="B9992" s="4">
        <v>45442.17233796296</v>
      </c>
      <c r="C9992" s="3" t="s">
        <v>6</v>
      </c>
    </row>
    <row r="9993">
      <c r="A9993" s="3">
        <v>1039.0</v>
      </c>
      <c r="B9993" s="4">
        <v>45442.179976851854</v>
      </c>
      <c r="C9993" s="3" t="s">
        <v>5</v>
      </c>
    </row>
    <row r="9994">
      <c r="A9994" s="3">
        <v>7485.0</v>
      </c>
      <c r="B9994" s="4">
        <v>45442.18716435185</v>
      </c>
      <c r="C9994" s="3" t="s">
        <v>3</v>
      </c>
    </row>
    <row r="9995">
      <c r="A9995" s="3">
        <v>3488.0</v>
      </c>
      <c r="B9995" s="4">
        <v>45442.219722222224</v>
      </c>
      <c r="C9995" s="3" t="s">
        <v>4</v>
      </c>
    </row>
    <row r="9996">
      <c r="A9996" s="3">
        <v>2469.0</v>
      </c>
      <c r="B9996" s="4">
        <v>45442.23777777778</v>
      </c>
      <c r="C9996" s="3" t="s">
        <v>3</v>
      </c>
    </row>
    <row r="9997">
      <c r="A9997" s="3">
        <v>3028.0</v>
      </c>
      <c r="B9997" s="4">
        <v>45442.23986111111</v>
      </c>
      <c r="C9997" s="3" t="s">
        <v>5</v>
      </c>
    </row>
    <row r="9998">
      <c r="A9998" s="3">
        <v>4348.0</v>
      </c>
      <c r="B9998" s="4">
        <v>45442.253275462965</v>
      </c>
      <c r="C9998" s="3" t="s">
        <v>5</v>
      </c>
    </row>
    <row r="9999">
      <c r="A9999" s="3">
        <v>4020.0</v>
      </c>
      <c r="B9999" s="4">
        <v>45442.28163194445</v>
      </c>
      <c r="C9999" s="3" t="s">
        <v>3</v>
      </c>
    </row>
    <row r="10000">
      <c r="A10000" s="3">
        <v>2019.0</v>
      </c>
      <c r="B10000" s="4">
        <v>45442.28461805556</v>
      </c>
      <c r="C10000" s="3" t="s">
        <v>5</v>
      </c>
    </row>
    <row r="10001">
      <c r="A10001" s="3">
        <v>7443.0</v>
      </c>
      <c r="B10001" s="4">
        <v>45442.29252314815</v>
      </c>
      <c r="C10001" s="3" t="s">
        <v>3</v>
      </c>
    </row>
    <row r="10002">
      <c r="A10002" s="3">
        <v>4521.0</v>
      </c>
      <c r="B10002" s="4">
        <v>45442.34548611111</v>
      </c>
      <c r="C10002" s="3" t="s">
        <v>3</v>
      </c>
    </row>
    <row r="10003">
      <c r="A10003" s="3">
        <v>5684.0</v>
      </c>
      <c r="B10003" s="4">
        <v>45442.39011574074</v>
      </c>
      <c r="C10003" s="3" t="s">
        <v>3</v>
      </c>
    </row>
    <row r="10004">
      <c r="A10004" s="3">
        <v>1721.0</v>
      </c>
      <c r="B10004" s="4">
        <v>45442.396574074075</v>
      </c>
      <c r="C10004" s="3" t="s">
        <v>4</v>
      </c>
    </row>
    <row r="10005">
      <c r="A10005" s="3">
        <v>4102.0</v>
      </c>
      <c r="B10005" s="4">
        <v>45442.41923611111</v>
      </c>
      <c r="C10005" s="3" t="s">
        <v>3</v>
      </c>
    </row>
    <row r="10006">
      <c r="A10006" s="3">
        <v>7479.0</v>
      </c>
      <c r="B10006" s="4">
        <v>45442.44688657407</v>
      </c>
      <c r="C10006" s="3" t="s">
        <v>3</v>
      </c>
    </row>
    <row r="10007">
      <c r="A10007" s="3">
        <v>6984.0</v>
      </c>
      <c r="B10007" s="4">
        <v>45442.46045138889</v>
      </c>
      <c r="C10007" s="3" t="s">
        <v>3</v>
      </c>
    </row>
    <row r="10008">
      <c r="A10008" s="3">
        <v>2628.0</v>
      </c>
      <c r="B10008" s="4">
        <v>45442.46244212963</v>
      </c>
      <c r="C10008" s="3" t="s">
        <v>5</v>
      </c>
    </row>
    <row r="10009">
      <c r="A10009" s="3">
        <v>915.0</v>
      </c>
      <c r="B10009" s="4">
        <v>45442.49215277778</v>
      </c>
      <c r="C10009" s="3" t="s">
        <v>3</v>
      </c>
    </row>
    <row r="10010">
      <c r="A10010" s="3">
        <v>3163.0</v>
      </c>
      <c r="B10010" s="4">
        <v>45442.49228009259</v>
      </c>
      <c r="C10010" s="3" t="s">
        <v>3</v>
      </c>
    </row>
    <row r="10011">
      <c r="A10011" s="3">
        <v>1298.0</v>
      </c>
      <c r="B10011" s="4">
        <v>45442.4990625</v>
      </c>
      <c r="C10011" s="3" t="s">
        <v>5</v>
      </c>
    </row>
    <row r="10012">
      <c r="A10012" s="3">
        <v>6655.0</v>
      </c>
      <c r="B10012" s="4">
        <v>45442.50021990741</v>
      </c>
      <c r="C10012" s="3" t="s">
        <v>4</v>
      </c>
    </row>
    <row r="10013">
      <c r="A10013" s="3">
        <v>5994.0</v>
      </c>
      <c r="B10013" s="4">
        <v>45442.52719907407</v>
      </c>
      <c r="C10013" s="3" t="s">
        <v>4</v>
      </c>
    </row>
    <row r="10014">
      <c r="A10014" s="3">
        <v>5596.0</v>
      </c>
      <c r="B10014" s="4">
        <v>45442.52777777778</v>
      </c>
      <c r="C10014" s="3" t="s">
        <v>3</v>
      </c>
    </row>
    <row r="10015">
      <c r="A10015" s="3">
        <v>2064.0</v>
      </c>
      <c r="B10015" s="4">
        <v>45442.53739583334</v>
      </c>
      <c r="C10015" s="3" t="s">
        <v>6</v>
      </c>
    </row>
    <row r="10016">
      <c r="A10016" s="3">
        <v>6984.0</v>
      </c>
      <c r="B10016" s="4">
        <v>45442.582604166666</v>
      </c>
      <c r="C10016" s="3" t="s">
        <v>4</v>
      </c>
    </row>
    <row r="10017">
      <c r="A10017" s="3">
        <v>4131.0</v>
      </c>
      <c r="B10017" s="4">
        <v>45442.58813657407</v>
      </c>
      <c r="C10017" s="3" t="s">
        <v>3</v>
      </c>
    </row>
    <row r="10018">
      <c r="A10018" s="3">
        <v>5762.0</v>
      </c>
      <c r="B10018" s="4">
        <v>45442.60197916667</v>
      </c>
      <c r="C10018" s="3" t="s">
        <v>7</v>
      </c>
    </row>
    <row r="10019">
      <c r="A10019" s="3">
        <v>7443.0</v>
      </c>
      <c r="B10019" s="4">
        <v>45442.61075231482</v>
      </c>
      <c r="C10019" s="3" t="s">
        <v>4</v>
      </c>
    </row>
    <row r="10020">
      <c r="A10020" s="3">
        <v>3555.0</v>
      </c>
      <c r="B10020" s="4">
        <v>45442.626863425925</v>
      </c>
      <c r="C10020" s="3" t="s">
        <v>3</v>
      </c>
    </row>
    <row r="10021">
      <c r="A10021" s="3">
        <v>5245.0</v>
      </c>
      <c r="B10021" s="4">
        <v>45442.63186342592</v>
      </c>
      <c r="C10021" s="3" t="s">
        <v>3</v>
      </c>
    </row>
    <row r="10022">
      <c r="A10022" s="3">
        <v>7178.0</v>
      </c>
      <c r="B10022" s="4">
        <v>45442.65589120371</v>
      </c>
      <c r="C10022" s="3" t="s">
        <v>3</v>
      </c>
    </row>
    <row r="10023">
      <c r="A10023" s="3">
        <v>619.0</v>
      </c>
      <c r="B10023" s="4">
        <v>45442.690046296295</v>
      </c>
      <c r="C10023" s="3" t="s">
        <v>3</v>
      </c>
    </row>
    <row r="10024">
      <c r="A10024" s="3">
        <v>5988.0</v>
      </c>
      <c r="B10024" s="4">
        <v>45442.71042824074</v>
      </c>
      <c r="C10024" s="3" t="s">
        <v>4</v>
      </c>
    </row>
    <row r="10025">
      <c r="A10025" s="3">
        <v>1039.0</v>
      </c>
      <c r="B10025" s="4">
        <v>45442.798622685186</v>
      </c>
      <c r="C10025" s="3" t="s">
        <v>6</v>
      </c>
    </row>
    <row r="10026">
      <c r="A10026" s="3">
        <v>4549.0</v>
      </c>
      <c r="B10026" s="4">
        <v>45442.83324074074</v>
      </c>
      <c r="C10026" s="3" t="s">
        <v>3</v>
      </c>
    </row>
    <row r="10027">
      <c r="A10027" s="3">
        <v>4348.0</v>
      </c>
      <c r="B10027" s="4">
        <v>45442.84553240741</v>
      </c>
      <c r="C10027" s="3" t="s">
        <v>7</v>
      </c>
    </row>
    <row r="10028">
      <c r="A10028" s="3">
        <v>5598.0</v>
      </c>
      <c r="B10028" s="4">
        <v>45442.85120370371</v>
      </c>
      <c r="C10028" s="3" t="s">
        <v>3</v>
      </c>
    </row>
    <row r="10029">
      <c r="A10029" s="3">
        <v>6.0</v>
      </c>
      <c r="B10029" s="4">
        <v>45442.8762037037</v>
      </c>
      <c r="C10029" s="3" t="s">
        <v>3</v>
      </c>
    </row>
    <row r="10030">
      <c r="A10030" s="3">
        <v>648.0</v>
      </c>
      <c r="B10030" s="4">
        <v>45442.881527777776</v>
      </c>
      <c r="C10030" s="3" t="s">
        <v>3</v>
      </c>
    </row>
    <row r="10031">
      <c r="A10031" s="3">
        <v>216.0</v>
      </c>
      <c r="B10031" s="4">
        <v>45442.90806712963</v>
      </c>
      <c r="C10031" s="3" t="s">
        <v>4</v>
      </c>
    </row>
    <row r="10032">
      <c r="A10032" s="3">
        <v>4195.0</v>
      </c>
      <c r="B10032" s="4">
        <v>45442.929189814815</v>
      </c>
      <c r="C10032" s="3" t="s">
        <v>3</v>
      </c>
    </row>
    <row r="10033">
      <c r="A10033" s="3">
        <v>5815.0</v>
      </c>
      <c r="B10033" s="4">
        <v>45442.93460648148</v>
      </c>
      <c r="C10033" s="3" t="s">
        <v>4</v>
      </c>
    </row>
    <row r="10034">
      <c r="A10034" s="3">
        <v>5815.0</v>
      </c>
      <c r="B10034" s="4">
        <v>45442.94732638889</v>
      </c>
      <c r="C10034" s="3" t="s">
        <v>7</v>
      </c>
    </row>
    <row r="10035">
      <c r="A10035" s="3">
        <v>4127.0</v>
      </c>
      <c r="B10035" s="4">
        <v>45442.96208333333</v>
      </c>
      <c r="C10035" s="3" t="s">
        <v>4</v>
      </c>
    </row>
    <row r="10036">
      <c r="A10036" s="3">
        <v>6733.0</v>
      </c>
      <c r="B10036" s="4">
        <v>45442.96892361111</v>
      </c>
      <c r="C10036" s="3" t="s">
        <v>3</v>
      </c>
    </row>
    <row r="10037">
      <c r="A10037" s="3">
        <v>7362.0</v>
      </c>
      <c r="B10037" s="4">
        <v>45442.971180555556</v>
      </c>
      <c r="C10037" s="3" t="s">
        <v>6</v>
      </c>
    </row>
    <row r="10038">
      <c r="A10038" s="3">
        <v>5245.0</v>
      </c>
      <c r="B10038" s="4">
        <v>45442.988703703704</v>
      </c>
      <c r="C10038" s="3" t="s">
        <v>5</v>
      </c>
    </row>
    <row r="10039">
      <c r="A10039" s="3">
        <v>4339.0</v>
      </c>
      <c r="B10039" s="4">
        <v>45442.99663194444</v>
      </c>
      <c r="C10039" s="3" t="s">
        <v>7</v>
      </c>
    </row>
    <row r="10040">
      <c r="A10040" s="3">
        <v>3208.0</v>
      </c>
      <c r="B10040" s="4">
        <v>45443.0171875</v>
      </c>
      <c r="C10040" s="3" t="s">
        <v>6</v>
      </c>
    </row>
    <row r="10041">
      <c r="A10041" s="3">
        <v>836.0</v>
      </c>
      <c r="B10041" s="4">
        <v>45443.034097222226</v>
      </c>
      <c r="C10041" s="3" t="s">
        <v>6</v>
      </c>
    </row>
    <row r="10042">
      <c r="A10042" s="3">
        <v>3009.0</v>
      </c>
      <c r="B10042" s="4">
        <v>45443.045590277776</v>
      </c>
      <c r="C10042" s="3" t="s">
        <v>3</v>
      </c>
    </row>
    <row r="10043">
      <c r="A10043" s="3">
        <v>1731.0</v>
      </c>
      <c r="B10043" s="4">
        <v>45443.06854166667</v>
      </c>
      <c r="C10043" s="3" t="s">
        <v>6</v>
      </c>
    </row>
    <row r="10044">
      <c r="A10044" s="3">
        <v>456.0</v>
      </c>
      <c r="B10044" s="4">
        <v>45443.08792824074</v>
      </c>
      <c r="C10044" s="3" t="s">
        <v>3</v>
      </c>
    </row>
    <row r="10045">
      <c r="A10045" s="3">
        <v>5143.0</v>
      </c>
      <c r="B10045" s="4">
        <v>45443.11070601852</v>
      </c>
      <c r="C10045" s="3" t="s">
        <v>4</v>
      </c>
    </row>
    <row r="10046">
      <c r="A10046" s="3">
        <v>5708.0</v>
      </c>
      <c r="B10046" s="4">
        <v>45443.12043981482</v>
      </c>
      <c r="C10046" s="3" t="s">
        <v>3</v>
      </c>
    </row>
    <row r="10047">
      <c r="A10047" s="3">
        <v>3681.0</v>
      </c>
      <c r="B10047" s="4">
        <v>45443.12328703704</v>
      </c>
      <c r="C10047" s="3" t="s">
        <v>3</v>
      </c>
    </row>
    <row r="10048">
      <c r="A10048" s="3">
        <v>836.0</v>
      </c>
      <c r="B10048" s="4">
        <v>45443.125127314815</v>
      </c>
      <c r="C10048" s="3" t="s">
        <v>4</v>
      </c>
    </row>
    <row r="10049">
      <c r="A10049" s="3">
        <v>3198.0</v>
      </c>
      <c r="B10049" s="4">
        <v>45443.167546296296</v>
      </c>
      <c r="C10049" s="3" t="s">
        <v>3</v>
      </c>
    </row>
    <row r="10050">
      <c r="A10050" s="3">
        <v>2998.0</v>
      </c>
      <c r="B10050" s="4">
        <v>45443.19489583333</v>
      </c>
      <c r="C10050" s="3" t="s">
        <v>3</v>
      </c>
    </row>
    <row r="10051">
      <c r="A10051" s="3">
        <v>1690.0</v>
      </c>
      <c r="B10051" s="4">
        <v>45443.20989583333</v>
      </c>
      <c r="C10051" s="3" t="s">
        <v>3</v>
      </c>
    </row>
    <row r="10052">
      <c r="A10052" s="3">
        <v>1298.0</v>
      </c>
      <c r="B10052" s="4">
        <v>45443.2415625</v>
      </c>
      <c r="C10052" s="3" t="s">
        <v>7</v>
      </c>
    </row>
    <row r="10053">
      <c r="A10053" s="3">
        <v>7160.0</v>
      </c>
      <c r="B10053" s="4">
        <v>45443.24648148148</v>
      </c>
      <c r="C10053" s="3" t="s">
        <v>3</v>
      </c>
    </row>
    <row r="10054">
      <c r="A10054" s="3">
        <v>1243.0</v>
      </c>
      <c r="B10054" s="4">
        <v>45443.25934027778</v>
      </c>
      <c r="C10054" s="3" t="s">
        <v>4</v>
      </c>
    </row>
    <row r="10055">
      <c r="A10055" s="3">
        <v>5222.0</v>
      </c>
      <c r="B10055" s="4">
        <v>45443.2725</v>
      </c>
      <c r="C10055" s="3" t="s">
        <v>3</v>
      </c>
    </row>
    <row r="10056">
      <c r="A10056" s="3">
        <v>3429.0</v>
      </c>
      <c r="B10056" s="4">
        <v>45443.341678240744</v>
      </c>
      <c r="C10056" s="3" t="s">
        <v>3</v>
      </c>
    </row>
    <row r="10057">
      <c r="A10057" s="3">
        <v>5139.0</v>
      </c>
      <c r="B10057" s="4">
        <v>45443.35818287037</v>
      </c>
      <c r="C10057" s="3" t="s">
        <v>5</v>
      </c>
    </row>
    <row r="10058">
      <c r="A10058" s="3">
        <v>158.0</v>
      </c>
      <c r="B10058" s="4">
        <v>45443.36273148148</v>
      </c>
      <c r="C10058" s="3" t="s">
        <v>5</v>
      </c>
    </row>
    <row r="10059">
      <c r="A10059" s="3">
        <v>4020.0</v>
      </c>
      <c r="B10059" s="4">
        <v>45443.36655092592</v>
      </c>
      <c r="C10059" s="3" t="s">
        <v>4</v>
      </c>
    </row>
    <row r="10060">
      <c r="A10060" s="3">
        <v>648.0</v>
      </c>
      <c r="B10060" s="4">
        <v>45443.36876157407</v>
      </c>
      <c r="C10060" s="3" t="s">
        <v>7</v>
      </c>
    </row>
    <row r="10061">
      <c r="A10061" s="3">
        <v>1733.0</v>
      </c>
      <c r="B10061" s="4">
        <v>45443.38454861111</v>
      </c>
      <c r="C10061" s="3" t="s">
        <v>4</v>
      </c>
    </row>
    <row r="10062">
      <c r="A10062" s="3">
        <v>2693.0</v>
      </c>
      <c r="B10062" s="4">
        <v>45443.39252314815</v>
      </c>
      <c r="C10062" s="3" t="s">
        <v>6</v>
      </c>
    </row>
    <row r="10063">
      <c r="A10063" s="3">
        <v>5479.0</v>
      </c>
      <c r="B10063" s="4">
        <v>45443.40010416666</v>
      </c>
      <c r="C10063" s="3" t="s">
        <v>6</v>
      </c>
    </row>
    <row r="10064">
      <c r="A10064" s="3">
        <v>1861.0</v>
      </c>
      <c r="B10064" s="4">
        <v>45443.41278935185</v>
      </c>
      <c r="C10064" s="3" t="s">
        <v>3</v>
      </c>
    </row>
    <row r="10065">
      <c r="A10065" s="3">
        <v>1243.0</v>
      </c>
      <c r="B10065" s="4">
        <v>45443.42530092593</v>
      </c>
      <c r="C10065" s="3" t="s">
        <v>3</v>
      </c>
    </row>
    <row r="10066">
      <c r="A10066" s="3">
        <v>5453.0</v>
      </c>
      <c r="B10066" s="4">
        <v>45443.42765046296</v>
      </c>
      <c r="C10066" s="3" t="s">
        <v>4</v>
      </c>
    </row>
    <row r="10067">
      <c r="A10067" s="3">
        <v>2539.0</v>
      </c>
      <c r="B10067" s="4">
        <v>45443.44814814815</v>
      </c>
      <c r="C10067" s="3" t="s">
        <v>4</v>
      </c>
    </row>
    <row r="10068">
      <c r="A10068" s="3">
        <v>7136.0</v>
      </c>
      <c r="B10068" s="4">
        <v>45443.47869212963</v>
      </c>
      <c r="C10068" s="3" t="s">
        <v>3</v>
      </c>
    </row>
    <row r="10069">
      <c r="A10069" s="3">
        <v>3455.0</v>
      </c>
      <c r="B10069" s="4">
        <v>45443.49017361111</v>
      </c>
      <c r="C10069" s="3" t="s">
        <v>4</v>
      </c>
    </row>
    <row r="10070">
      <c r="A10070" s="3">
        <v>7136.0</v>
      </c>
      <c r="B10070" s="4">
        <v>45443.49201388889</v>
      </c>
      <c r="C10070" s="3" t="s">
        <v>5</v>
      </c>
    </row>
    <row r="10071">
      <c r="A10071" s="3">
        <v>3562.0</v>
      </c>
      <c r="B10071" s="4">
        <v>45443.49858796296</v>
      </c>
      <c r="C10071" s="3" t="s">
        <v>4</v>
      </c>
    </row>
    <row r="10072">
      <c r="A10072" s="3">
        <v>7504.0</v>
      </c>
      <c r="B10072" s="4">
        <v>45443.53765046296</v>
      </c>
      <c r="C10072" s="3" t="s">
        <v>6</v>
      </c>
    </row>
    <row r="10073">
      <c r="A10073" s="3">
        <v>5794.0</v>
      </c>
      <c r="B10073" s="4">
        <v>45443.59074074074</v>
      </c>
      <c r="C10073" s="3" t="s">
        <v>3</v>
      </c>
    </row>
    <row r="10074">
      <c r="A10074" s="3">
        <v>1404.0</v>
      </c>
      <c r="B10074" s="4">
        <v>45443.590775462966</v>
      </c>
      <c r="C10074" s="3" t="s">
        <v>3</v>
      </c>
    </row>
    <row r="10075">
      <c r="A10075" s="3">
        <v>7479.0</v>
      </c>
      <c r="B10075" s="4">
        <v>45443.60851851852</v>
      </c>
      <c r="C10075" s="3" t="s">
        <v>5</v>
      </c>
    </row>
    <row r="10076">
      <c r="A10076" s="3">
        <v>292.0</v>
      </c>
      <c r="B10076" s="4">
        <v>45443.62662037037</v>
      </c>
      <c r="C10076" s="3" t="s">
        <v>7</v>
      </c>
    </row>
    <row r="10077">
      <c r="A10077" s="3">
        <v>102.0</v>
      </c>
      <c r="B10077" s="4">
        <v>45443.62837962963</v>
      </c>
      <c r="C10077" s="3" t="s">
        <v>3</v>
      </c>
    </row>
    <row r="10078">
      <c r="A10078" s="3">
        <v>4210.0</v>
      </c>
      <c r="B10078" s="4">
        <v>45443.634571759256</v>
      </c>
      <c r="C10078" s="3" t="s">
        <v>3</v>
      </c>
    </row>
    <row r="10079">
      <c r="A10079" s="3">
        <v>3194.0</v>
      </c>
      <c r="B10079" s="4">
        <v>45443.63502314815</v>
      </c>
      <c r="C10079" s="3" t="s">
        <v>6</v>
      </c>
    </row>
    <row r="10080">
      <c r="A10080" s="3">
        <v>3455.0</v>
      </c>
      <c r="B10080" s="4">
        <v>45443.63914351852</v>
      </c>
      <c r="C10080" s="3" t="s">
        <v>7</v>
      </c>
    </row>
    <row r="10081">
      <c r="A10081" s="3">
        <v>5815.0</v>
      </c>
      <c r="B10081" s="4">
        <v>45443.64517361111</v>
      </c>
      <c r="C10081" s="3" t="s">
        <v>5</v>
      </c>
    </row>
    <row r="10082">
      <c r="A10082" s="3">
        <v>1511.0</v>
      </c>
      <c r="B10082" s="4">
        <v>45443.65293981481</v>
      </c>
      <c r="C10082" s="3" t="s">
        <v>3</v>
      </c>
    </row>
    <row r="10083">
      <c r="A10083" s="3">
        <v>3582.0</v>
      </c>
      <c r="B10083" s="4">
        <v>45443.65684027778</v>
      </c>
      <c r="C10083" s="3" t="s">
        <v>4</v>
      </c>
    </row>
    <row r="10084">
      <c r="A10084" s="3">
        <v>6547.0</v>
      </c>
      <c r="B10084" s="4">
        <v>45443.66491898148</v>
      </c>
      <c r="C10084" s="3" t="s">
        <v>3</v>
      </c>
    </row>
    <row r="10085">
      <c r="A10085" s="3">
        <v>3595.0</v>
      </c>
      <c r="B10085" s="4">
        <v>45443.66881944444</v>
      </c>
      <c r="C10085" s="3" t="s">
        <v>3</v>
      </c>
    </row>
    <row r="10086">
      <c r="A10086" s="3">
        <v>2787.0</v>
      </c>
      <c r="B10086" s="4">
        <v>45443.67010416667</v>
      </c>
      <c r="C10086" s="3" t="s">
        <v>3</v>
      </c>
    </row>
    <row r="10087">
      <c r="A10087" s="3">
        <v>4102.0</v>
      </c>
      <c r="B10087" s="4">
        <v>45443.67252314815</v>
      </c>
      <c r="C10087" s="3" t="s">
        <v>4</v>
      </c>
    </row>
    <row r="10088">
      <c r="A10088" s="3">
        <v>4510.0</v>
      </c>
      <c r="B10088" s="4">
        <v>45443.68017361111</v>
      </c>
      <c r="C10088" s="3" t="s">
        <v>6</v>
      </c>
    </row>
    <row r="10089">
      <c r="A10089" s="3">
        <v>2442.0</v>
      </c>
      <c r="B10089" s="4">
        <v>45443.69615740741</v>
      </c>
      <c r="C10089" s="3" t="s">
        <v>4</v>
      </c>
    </row>
    <row r="10090">
      <c r="A10090" s="3">
        <v>4020.0</v>
      </c>
      <c r="B10090" s="4">
        <v>45443.77701388889</v>
      </c>
      <c r="C10090" s="3" t="s">
        <v>7</v>
      </c>
    </row>
    <row r="10091">
      <c r="A10091" s="3">
        <v>2489.0</v>
      </c>
      <c r="B10091" s="4">
        <v>45443.77810185185</v>
      </c>
      <c r="C10091" s="3" t="s">
        <v>3</v>
      </c>
    </row>
    <row r="10092">
      <c r="A10092" s="3">
        <v>5239.0</v>
      </c>
      <c r="B10092" s="4">
        <v>45443.798622685186</v>
      </c>
      <c r="C10092" s="3" t="s">
        <v>3</v>
      </c>
    </row>
    <row r="10093">
      <c r="A10093" s="3">
        <v>3555.0</v>
      </c>
      <c r="B10093" s="4">
        <v>45443.79896990741</v>
      </c>
      <c r="C10093" s="3" t="s">
        <v>4</v>
      </c>
    </row>
    <row r="10094">
      <c r="A10094" s="3">
        <v>2998.0</v>
      </c>
      <c r="B10094" s="4">
        <v>45443.81092592593</v>
      </c>
      <c r="C10094" s="3" t="s">
        <v>5</v>
      </c>
    </row>
    <row r="10095">
      <c r="A10095" s="3">
        <v>3455.0</v>
      </c>
      <c r="B10095" s="4">
        <v>45443.828738425924</v>
      </c>
      <c r="C10095" s="3" t="s">
        <v>6</v>
      </c>
    </row>
    <row r="10096">
      <c r="A10096" s="3">
        <v>5054.0</v>
      </c>
      <c r="B10096" s="4">
        <v>45443.83423611111</v>
      </c>
      <c r="C10096" s="3" t="s">
        <v>3</v>
      </c>
    </row>
    <row r="10097">
      <c r="A10097" s="3">
        <v>5075.0</v>
      </c>
      <c r="B10097" s="4">
        <v>45443.858298611114</v>
      </c>
      <c r="C10097" s="3" t="s">
        <v>3</v>
      </c>
    </row>
    <row r="10098">
      <c r="A10098" s="3">
        <v>3681.0</v>
      </c>
      <c r="B10098" s="4">
        <v>45443.86010416667</v>
      </c>
      <c r="C10098" s="3" t="s">
        <v>4</v>
      </c>
    </row>
    <row r="10099">
      <c r="A10099" s="3">
        <v>3618.0</v>
      </c>
      <c r="B10099" s="4">
        <v>45443.86446759259</v>
      </c>
      <c r="C10099" s="3" t="s">
        <v>3</v>
      </c>
    </row>
    <row r="10100">
      <c r="A10100" s="3">
        <v>3593.0</v>
      </c>
      <c r="B10100" s="4">
        <v>45443.869363425925</v>
      </c>
      <c r="C10100" s="3" t="s">
        <v>6</v>
      </c>
    </row>
    <row r="10101">
      <c r="A10101" s="3">
        <v>7659.0</v>
      </c>
      <c r="B10101" s="4">
        <v>45443.87353009259</v>
      </c>
      <c r="C10101" s="3" t="s">
        <v>3</v>
      </c>
    </row>
    <row r="10102">
      <c r="A10102" s="3">
        <v>6795.0</v>
      </c>
      <c r="B10102" s="4">
        <v>45443.87605324074</v>
      </c>
      <c r="C10102" s="3" t="s">
        <v>4</v>
      </c>
    </row>
    <row r="10103">
      <c r="A10103" s="3">
        <v>158.0</v>
      </c>
      <c r="B10103" s="4">
        <v>45443.916238425925</v>
      </c>
      <c r="C10103" s="3" t="s">
        <v>7</v>
      </c>
    </row>
    <row r="10104">
      <c r="A10104" s="3">
        <v>548.0</v>
      </c>
      <c r="B10104" s="4">
        <v>45443.93289351852</v>
      </c>
      <c r="C10104" s="3" t="s">
        <v>5</v>
      </c>
    </row>
    <row r="10105">
      <c r="A10105" s="3">
        <v>454.0</v>
      </c>
      <c r="B10105" s="4">
        <v>45443.93803240741</v>
      </c>
      <c r="C10105" s="3" t="s">
        <v>5</v>
      </c>
    </row>
    <row r="10106">
      <c r="A10106" s="3">
        <v>2789.0</v>
      </c>
      <c r="B10106" s="4">
        <v>45443.9484375</v>
      </c>
      <c r="C10106" s="3" t="s">
        <v>3</v>
      </c>
    </row>
    <row r="10107">
      <c r="A10107" s="3">
        <v>456.0</v>
      </c>
      <c r="B10107" s="4">
        <v>45443.95172453704</v>
      </c>
      <c r="C10107" s="3" t="s">
        <v>4</v>
      </c>
    </row>
    <row r="10108">
      <c r="A10108" s="3">
        <v>850.0</v>
      </c>
      <c r="B10108" s="4">
        <v>45443.95277777778</v>
      </c>
      <c r="C10108" s="3" t="s">
        <v>4</v>
      </c>
    </row>
    <row r="10109">
      <c r="A10109" s="3">
        <v>4994.0</v>
      </c>
      <c r="B10109" s="4">
        <v>45443.952881944446</v>
      </c>
      <c r="C10109" s="3" t="s">
        <v>3</v>
      </c>
    </row>
    <row r="10110">
      <c r="A10110" s="3">
        <v>3009.0</v>
      </c>
      <c r="B10110" s="4">
        <v>45443.96193287037</v>
      </c>
      <c r="C10110" s="3" t="s">
        <v>4</v>
      </c>
    </row>
    <row r="10111">
      <c r="A10111" s="3">
        <v>2829.0</v>
      </c>
      <c r="B10111" s="4">
        <v>45443.97693287037</v>
      </c>
      <c r="C10111" s="3" t="s">
        <v>3</v>
      </c>
    </row>
    <row r="10112">
      <c r="A10112" s="3">
        <v>3615.0</v>
      </c>
      <c r="B10112" s="4">
        <v>45443.98596064815</v>
      </c>
      <c r="C10112" s="3" t="s">
        <v>3</v>
      </c>
    </row>
    <row r="10113">
      <c r="A10113" s="3">
        <v>3071.0</v>
      </c>
      <c r="B10113" s="4">
        <v>45444.010671296295</v>
      </c>
      <c r="C10113" s="3" t="s">
        <v>4</v>
      </c>
    </row>
    <row r="10114">
      <c r="A10114" s="3">
        <v>5988.0</v>
      </c>
      <c r="B10114" s="4">
        <v>45444.02217592593</v>
      </c>
      <c r="C10114" s="3" t="s">
        <v>5</v>
      </c>
    </row>
    <row r="10115">
      <c r="A10115" s="3">
        <v>2489.0</v>
      </c>
      <c r="B10115" s="4">
        <v>45444.054710648146</v>
      </c>
      <c r="C10115" s="3" t="s">
        <v>6</v>
      </c>
    </row>
    <row r="10116">
      <c r="A10116" s="3">
        <v>1091.0</v>
      </c>
      <c r="B10116" s="4">
        <v>45444.06413194445</v>
      </c>
      <c r="C10116" s="3" t="s">
        <v>6</v>
      </c>
    </row>
    <row r="10117">
      <c r="A10117" s="3">
        <v>1318.0</v>
      </c>
      <c r="B10117" s="4">
        <v>45444.09956018518</v>
      </c>
      <c r="C10117" s="3" t="s">
        <v>6</v>
      </c>
    </row>
    <row r="10118">
      <c r="A10118" s="3">
        <v>4332.0</v>
      </c>
      <c r="B10118" s="4">
        <v>45444.1087962963</v>
      </c>
      <c r="C10118" s="3" t="s">
        <v>7</v>
      </c>
    </row>
    <row r="10119">
      <c r="A10119" s="3">
        <v>4938.0</v>
      </c>
      <c r="B10119" s="4">
        <v>45444.11528935185</v>
      </c>
      <c r="C10119" s="3" t="s">
        <v>5</v>
      </c>
    </row>
    <row r="10120">
      <c r="A10120" s="3">
        <v>304.0</v>
      </c>
      <c r="B10120" s="4">
        <v>45444.12230324074</v>
      </c>
      <c r="C10120" s="3" t="s">
        <v>3</v>
      </c>
    </row>
    <row r="10121">
      <c r="A10121" s="3">
        <v>7160.0</v>
      </c>
      <c r="B10121" s="4">
        <v>45444.126435185186</v>
      </c>
      <c r="C10121" s="3" t="s">
        <v>6</v>
      </c>
    </row>
    <row r="10122">
      <c r="A10122" s="3">
        <v>619.0</v>
      </c>
      <c r="B10122" s="4">
        <v>45444.129212962966</v>
      </c>
      <c r="C10122" s="3" t="s">
        <v>4</v>
      </c>
    </row>
    <row r="10123">
      <c r="A10123" s="3">
        <v>4724.0</v>
      </c>
      <c r="B10123" s="4">
        <v>45444.15484953704</v>
      </c>
      <c r="C10123" s="3" t="s">
        <v>3</v>
      </c>
    </row>
    <row r="10124">
      <c r="A10124" s="3">
        <v>1588.0</v>
      </c>
      <c r="B10124" s="4">
        <v>45444.159375</v>
      </c>
      <c r="C10124" s="3" t="s">
        <v>3</v>
      </c>
    </row>
    <row r="10125">
      <c r="A10125" s="3">
        <v>6015.0</v>
      </c>
      <c r="B10125" s="4">
        <v>45444.28167824074</v>
      </c>
      <c r="C10125" s="3" t="s">
        <v>4</v>
      </c>
    </row>
    <row r="10126">
      <c r="A10126" s="3">
        <v>2822.0</v>
      </c>
      <c r="B10126" s="4">
        <v>45444.28204861111</v>
      </c>
      <c r="C10126" s="3" t="s">
        <v>4</v>
      </c>
    </row>
    <row r="10127">
      <c r="A10127" s="3">
        <v>6596.0</v>
      </c>
      <c r="B10127" s="4">
        <v>45444.298680555556</v>
      </c>
      <c r="C10127" s="3" t="s">
        <v>3</v>
      </c>
    </row>
    <row r="10128">
      <c r="A10128" s="3">
        <v>7479.0</v>
      </c>
      <c r="B10128" s="4">
        <v>45444.31130787037</v>
      </c>
      <c r="C10128" s="3" t="s">
        <v>4</v>
      </c>
    </row>
    <row r="10129">
      <c r="A10129" s="3">
        <v>6621.0</v>
      </c>
      <c r="B10129" s="4">
        <v>45444.31953703704</v>
      </c>
      <c r="C10129" s="3" t="s">
        <v>6</v>
      </c>
    </row>
    <row r="10130">
      <c r="A10130" s="3">
        <v>6380.0</v>
      </c>
      <c r="B10130" s="4">
        <v>45444.3266087963</v>
      </c>
      <c r="C10130" s="3" t="s">
        <v>3</v>
      </c>
    </row>
    <row r="10131">
      <c r="A10131" s="3">
        <v>304.0</v>
      </c>
      <c r="B10131" s="4">
        <v>45444.3419212963</v>
      </c>
      <c r="C10131" s="3" t="s">
        <v>5</v>
      </c>
    </row>
    <row r="10132">
      <c r="A10132" s="3">
        <v>836.0</v>
      </c>
      <c r="B10132" s="4">
        <v>45444.35423611111</v>
      </c>
      <c r="C10132" s="3" t="s">
        <v>5</v>
      </c>
    </row>
    <row r="10133">
      <c r="A10133" s="3">
        <v>3615.0</v>
      </c>
      <c r="B10133" s="4">
        <v>45444.36053240741</v>
      </c>
      <c r="C10133" s="3" t="s">
        <v>4</v>
      </c>
    </row>
    <row r="10134">
      <c r="A10134" s="3">
        <v>3455.0</v>
      </c>
      <c r="B10134" s="4">
        <v>45444.36225694444</v>
      </c>
      <c r="C10134" s="3" t="s">
        <v>5</v>
      </c>
    </row>
    <row r="10135">
      <c r="A10135" s="3">
        <v>6277.0</v>
      </c>
      <c r="B10135" s="4">
        <v>45444.36413194444</v>
      </c>
      <c r="C10135" s="3" t="s">
        <v>3</v>
      </c>
    </row>
    <row r="10136">
      <c r="A10136" s="3">
        <v>7601.0</v>
      </c>
      <c r="B10136" s="4">
        <v>45444.36494212963</v>
      </c>
      <c r="C10136" s="3" t="s">
        <v>4</v>
      </c>
    </row>
    <row r="10137">
      <c r="A10137" s="3">
        <v>6655.0</v>
      </c>
      <c r="B10137" s="4">
        <v>45444.392222222225</v>
      </c>
      <c r="C10137" s="3" t="s">
        <v>7</v>
      </c>
    </row>
    <row r="10138">
      <c r="A10138" s="3">
        <v>5054.0</v>
      </c>
      <c r="B10138" s="4">
        <v>45444.40597222222</v>
      </c>
      <c r="C10138" s="3" t="s">
        <v>4</v>
      </c>
    </row>
    <row r="10139">
      <c r="A10139" s="3">
        <v>7872.0</v>
      </c>
      <c r="B10139" s="4">
        <v>45444.43052083333</v>
      </c>
      <c r="C10139" s="3" t="s">
        <v>3</v>
      </c>
    </row>
    <row r="10140">
      <c r="A10140" s="3">
        <v>489.0</v>
      </c>
      <c r="B10140" s="4">
        <v>45444.43613425926</v>
      </c>
      <c r="C10140" s="3" t="s">
        <v>3</v>
      </c>
    </row>
    <row r="10141">
      <c r="A10141" s="3">
        <v>5598.0</v>
      </c>
      <c r="B10141" s="4">
        <v>45444.440347222226</v>
      </c>
      <c r="C10141" s="3" t="s">
        <v>4</v>
      </c>
    </row>
    <row r="10142">
      <c r="A10142" s="3">
        <v>7220.0</v>
      </c>
      <c r="B10142" s="4">
        <v>45444.451365740744</v>
      </c>
      <c r="C10142" s="3" t="s">
        <v>6</v>
      </c>
    </row>
    <row r="10143">
      <c r="A10143" s="3">
        <v>5173.0</v>
      </c>
      <c r="B10143" s="4">
        <v>45444.48328703704</v>
      </c>
      <c r="C10143" s="3" t="s">
        <v>3</v>
      </c>
    </row>
    <row r="10144">
      <c r="A10144" s="3">
        <v>6496.0</v>
      </c>
      <c r="B10144" s="4">
        <v>45444.49392361111</v>
      </c>
      <c r="C10144" s="3" t="s">
        <v>3</v>
      </c>
    </row>
    <row r="10145">
      <c r="A10145" s="3">
        <v>3306.0</v>
      </c>
      <c r="B10145" s="4">
        <v>45444.50005787037</v>
      </c>
      <c r="C10145" s="3" t="s">
        <v>6</v>
      </c>
    </row>
    <row r="10146">
      <c r="A10146" s="3">
        <v>4750.0</v>
      </c>
      <c r="B10146" s="4">
        <v>45444.50224537037</v>
      </c>
      <c r="C10146" s="3" t="s">
        <v>3</v>
      </c>
    </row>
    <row r="10147">
      <c r="A10147" s="3">
        <v>6434.0</v>
      </c>
      <c r="B10147" s="4">
        <v>45444.561898148146</v>
      </c>
      <c r="C10147" s="3" t="s">
        <v>3</v>
      </c>
    </row>
    <row r="10148">
      <c r="A10148" s="3">
        <v>542.0</v>
      </c>
      <c r="B10148" s="4">
        <v>45444.5672337963</v>
      </c>
      <c r="C10148" s="3" t="s">
        <v>3</v>
      </c>
    </row>
    <row r="10149">
      <c r="A10149" s="3">
        <v>2807.0</v>
      </c>
      <c r="B10149" s="4">
        <v>45444.57368055556</v>
      </c>
      <c r="C10149" s="3" t="s">
        <v>3</v>
      </c>
    </row>
    <row r="10150">
      <c r="A10150" s="3">
        <v>5370.0</v>
      </c>
      <c r="B10150" s="4">
        <v>45444.58241898148</v>
      </c>
      <c r="C10150" s="3" t="s">
        <v>3</v>
      </c>
    </row>
    <row r="10151">
      <c r="A10151" s="3">
        <v>1252.0</v>
      </c>
      <c r="B10151" s="4">
        <v>45444.60400462963</v>
      </c>
      <c r="C10151" s="3" t="s">
        <v>3</v>
      </c>
    </row>
    <row r="10152">
      <c r="A10152" s="3">
        <v>3071.0</v>
      </c>
      <c r="B10152" s="4">
        <v>45444.60736111111</v>
      </c>
      <c r="C10152" s="3" t="s">
        <v>3</v>
      </c>
    </row>
    <row r="10153">
      <c r="A10153" s="3">
        <v>5075.0</v>
      </c>
      <c r="B10153" s="4">
        <v>45444.611666666664</v>
      </c>
      <c r="C10153" s="3" t="s">
        <v>4</v>
      </c>
    </row>
    <row r="10154">
      <c r="A10154" s="3">
        <v>755.0</v>
      </c>
      <c r="B10154" s="4">
        <v>45444.62059027778</v>
      </c>
      <c r="C10154" s="3" t="s">
        <v>3</v>
      </c>
    </row>
    <row r="10155">
      <c r="A10155" s="3">
        <v>7785.0</v>
      </c>
      <c r="B10155" s="4">
        <v>45444.620717592596</v>
      </c>
      <c r="C10155" s="3" t="s">
        <v>6</v>
      </c>
    </row>
    <row r="10156">
      <c r="A10156" s="3">
        <v>4259.0</v>
      </c>
      <c r="B10156" s="4">
        <v>45444.63716435185</v>
      </c>
      <c r="C10156" s="3" t="s">
        <v>4</v>
      </c>
    </row>
    <row r="10157">
      <c r="A10157" s="3">
        <v>4102.0</v>
      </c>
      <c r="B10157" s="4">
        <v>45444.63943287037</v>
      </c>
      <c r="C10157" s="3" t="s">
        <v>6</v>
      </c>
    </row>
    <row r="10158">
      <c r="A10158" s="3">
        <v>2030.0</v>
      </c>
      <c r="B10158" s="4">
        <v>45444.68064814815</v>
      </c>
      <c r="C10158" s="3" t="s">
        <v>3</v>
      </c>
    </row>
    <row r="10159">
      <c r="A10159" s="3">
        <v>837.0</v>
      </c>
      <c r="B10159" s="4">
        <v>45444.68221064815</v>
      </c>
      <c r="C10159" s="3" t="s">
        <v>4</v>
      </c>
    </row>
    <row r="10160">
      <c r="A10160" s="3">
        <v>7443.0</v>
      </c>
      <c r="B10160" s="4">
        <v>45444.688796296294</v>
      </c>
      <c r="C10160" s="3" t="s">
        <v>6</v>
      </c>
    </row>
    <row r="10161">
      <c r="A10161" s="3">
        <v>728.0</v>
      </c>
      <c r="B10161" s="4">
        <v>45444.70180555555</v>
      </c>
      <c r="C10161" s="3" t="s">
        <v>3</v>
      </c>
    </row>
    <row r="10162">
      <c r="A10162" s="3">
        <v>6553.0</v>
      </c>
      <c r="B10162" s="4">
        <v>45444.73039351852</v>
      </c>
      <c r="C10162" s="3" t="s">
        <v>6</v>
      </c>
    </row>
    <row r="10163">
      <c r="A10163" s="3">
        <v>2822.0</v>
      </c>
      <c r="B10163" s="4">
        <v>45444.74420138889</v>
      </c>
      <c r="C10163" s="3" t="s">
        <v>3</v>
      </c>
    </row>
    <row r="10164">
      <c r="A10164" s="3">
        <v>7136.0</v>
      </c>
      <c r="B10164" s="4">
        <v>45444.74556712963</v>
      </c>
      <c r="C10164" s="3" t="s">
        <v>4</v>
      </c>
    </row>
    <row r="10165">
      <c r="A10165" s="3">
        <v>2019.0</v>
      </c>
      <c r="B10165" s="4">
        <v>45444.75577546296</v>
      </c>
      <c r="C10165" s="3" t="s">
        <v>6</v>
      </c>
    </row>
    <row r="10166">
      <c r="A10166" s="3">
        <v>2489.0</v>
      </c>
      <c r="B10166" s="4">
        <v>45444.76556712963</v>
      </c>
      <c r="C10166" s="3" t="s">
        <v>7</v>
      </c>
    </row>
    <row r="10167">
      <c r="A10167" s="3">
        <v>5708.0</v>
      </c>
      <c r="B10167" s="4">
        <v>45444.77127314815</v>
      </c>
      <c r="C10167" s="3" t="s">
        <v>6</v>
      </c>
    </row>
    <row r="10168">
      <c r="A10168" s="3">
        <v>7485.0</v>
      </c>
      <c r="B10168" s="4">
        <v>45444.79005787037</v>
      </c>
      <c r="C10168" s="3" t="s">
        <v>4</v>
      </c>
    </row>
    <row r="10169">
      <c r="A10169" s="3">
        <v>895.0</v>
      </c>
      <c r="B10169" s="4">
        <v>45444.791041666664</v>
      </c>
      <c r="C10169" s="3" t="s">
        <v>3</v>
      </c>
    </row>
    <row r="10170">
      <c r="A10170" s="3">
        <v>3454.0</v>
      </c>
      <c r="B10170" s="4">
        <v>45444.831412037034</v>
      </c>
      <c r="C10170" s="3" t="s">
        <v>3</v>
      </c>
    </row>
    <row r="10171">
      <c r="A10171" s="3">
        <v>261.0</v>
      </c>
      <c r="B10171" s="4">
        <v>45444.867314814815</v>
      </c>
      <c r="C10171" s="3" t="s">
        <v>3</v>
      </c>
    </row>
    <row r="10172">
      <c r="A10172" s="3">
        <v>3491.0</v>
      </c>
      <c r="B10172" s="4">
        <v>45444.86840277778</v>
      </c>
      <c r="C10172" s="3" t="s">
        <v>3</v>
      </c>
    </row>
    <row r="10173">
      <c r="A10173" s="3">
        <v>304.0</v>
      </c>
      <c r="B10173" s="4">
        <v>45444.873090277775</v>
      </c>
      <c r="C10173" s="3" t="s">
        <v>4</v>
      </c>
    </row>
    <row r="10174">
      <c r="A10174" s="3">
        <v>7659.0</v>
      </c>
      <c r="B10174" s="4">
        <v>45444.885150462964</v>
      </c>
      <c r="C10174" s="3" t="s">
        <v>4</v>
      </c>
    </row>
    <row r="10175">
      <c r="A10175" s="3">
        <v>3315.0</v>
      </c>
      <c r="B10175" s="4">
        <v>45444.92921296296</v>
      </c>
      <c r="C10175" s="3" t="s">
        <v>3</v>
      </c>
    </row>
    <row r="10176">
      <c r="A10176" s="3">
        <v>2029.0</v>
      </c>
      <c r="B10176" s="4">
        <v>45444.93368055556</v>
      </c>
      <c r="C10176" s="3" t="s">
        <v>3</v>
      </c>
    </row>
    <row r="10177">
      <c r="A10177" s="3">
        <v>2181.0</v>
      </c>
      <c r="B10177" s="4">
        <v>45444.93736111111</v>
      </c>
      <c r="C10177" s="3" t="s">
        <v>3</v>
      </c>
    </row>
    <row r="10178">
      <c r="A10178" s="3">
        <v>7347.0</v>
      </c>
      <c r="B10178" s="4">
        <v>45444.93954861111</v>
      </c>
      <c r="C10178" s="3" t="s">
        <v>4</v>
      </c>
    </row>
    <row r="10179">
      <c r="A10179" s="3">
        <v>2202.0</v>
      </c>
      <c r="B10179" s="4">
        <v>45444.94399305555</v>
      </c>
      <c r="C10179" s="3" t="s">
        <v>4</v>
      </c>
    </row>
    <row r="10180">
      <c r="A10180" s="3">
        <v>3429.0</v>
      </c>
      <c r="B10180" s="4">
        <v>45445.02175925926</v>
      </c>
      <c r="C10180" s="3" t="s">
        <v>5</v>
      </c>
    </row>
    <row r="10181">
      <c r="A10181" s="3">
        <v>966.0</v>
      </c>
      <c r="B10181" s="4">
        <v>45445.02480324074</v>
      </c>
      <c r="C10181" s="3" t="s">
        <v>3</v>
      </c>
    </row>
    <row r="10182">
      <c r="A10182" s="3">
        <v>7160.0</v>
      </c>
      <c r="B10182" s="4">
        <v>45445.0328125</v>
      </c>
      <c r="C10182" s="3" t="s">
        <v>7</v>
      </c>
    </row>
    <row r="10183">
      <c r="A10183" s="3">
        <v>3071.0</v>
      </c>
      <c r="B10183" s="4">
        <v>45445.076631944445</v>
      </c>
      <c r="C10183" s="3" t="s">
        <v>6</v>
      </c>
    </row>
    <row r="10184">
      <c r="A10184" s="3">
        <v>1780.0</v>
      </c>
      <c r="B10184" s="4">
        <v>45445.07879629629</v>
      </c>
      <c r="C10184" s="3" t="s">
        <v>3</v>
      </c>
    </row>
    <row r="10185">
      <c r="A10185" s="3">
        <v>7668.0</v>
      </c>
      <c r="B10185" s="4">
        <v>45445.10738425926</v>
      </c>
      <c r="C10185" s="3" t="s">
        <v>3</v>
      </c>
    </row>
    <row r="10186">
      <c r="A10186" s="3">
        <v>5233.0</v>
      </c>
      <c r="B10186" s="4">
        <v>45445.12359953704</v>
      </c>
      <c r="C10186" s="3" t="s">
        <v>3</v>
      </c>
    </row>
    <row r="10187">
      <c r="A10187" s="3">
        <v>2875.0</v>
      </c>
      <c r="B10187" s="4">
        <v>45445.15673611111</v>
      </c>
      <c r="C10187" s="3" t="s">
        <v>3</v>
      </c>
    </row>
    <row r="10188">
      <c r="A10188" s="3">
        <v>2798.0</v>
      </c>
      <c r="B10188" s="4">
        <v>45445.16979166667</v>
      </c>
      <c r="C10188" s="3" t="s">
        <v>3</v>
      </c>
    </row>
    <row r="10189">
      <c r="A10189" s="3">
        <v>1533.0</v>
      </c>
      <c r="B10189" s="4">
        <v>45445.17271990741</v>
      </c>
      <c r="C10189" s="3" t="s">
        <v>3</v>
      </c>
    </row>
    <row r="10190">
      <c r="A10190" s="3">
        <v>4566.0</v>
      </c>
      <c r="B10190" s="4">
        <v>45445.17697916667</v>
      </c>
      <c r="C10190" s="3" t="s">
        <v>3</v>
      </c>
    </row>
    <row r="10191">
      <c r="A10191" s="3">
        <v>5396.0</v>
      </c>
      <c r="B10191" s="4">
        <v>45445.18163194445</v>
      </c>
      <c r="C10191" s="3" t="s">
        <v>7</v>
      </c>
    </row>
    <row r="10192">
      <c r="A10192" s="3">
        <v>5994.0</v>
      </c>
      <c r="B10192" s="4">
        <v>45445.207662037035</v>
      </c>
      <c r="C10192" s="3" t="s">
        <v>7</v>
      </c>
    </row>
    <row r="10193">
      <c r="A10193" s="3">
        <v>3454.0</v>
      </c>
      <c r="B10193" s="4">
        <v>45445.24966435185</v>
      </c>
      <c r="C10193" s="3" t="s">
        <v>4</v>
      </c>
    </row>
    <row r="10194">
      <c r="A10194" s="3">
        <v>5441.0</v>
      </c>
      <c r="B10194" s="4">
        <v>45445.25203703704</v>
      </c>
      <c r="C10194" s="3" t="s">
        <v>3</v>
      </c>
    </row>
    <row r="10195">
      <c r="A10195" s="3">
        <v>5708.0</v>
      </c>
      <c r="B10195" s="4">
        <v>45445.26152777778</v>
      </c>
      <c r="C10195" s="3" t="s">
        <v>4</v>
      </c>
    </row>
    <row r="10196">
      <c r="A10196" s="3">
        <v>6999.0</v>
      </c>
      <c r="B10196" s="4">
        <v>45445.275347222225</v>
      </c>
      <c r="C10196" s="3" t="s">
        <v>4</v>
      </c>
    </row>
    <row r="10197">
      <c r="A10197" s="3">
        <v>204.0</v>
      </c>
      <c r="B10197" s="4">
        <v>45445.28109953704</v>
      </c>
      <c r="C10197" s="3" t="s">
        <v>3</v>
      </c>
    </row>
    <row r="10198">
      <c r="A10198" s="3">
        <v>5173.0</v>
      </c>
      <c r="B10198" s="4">
        <v>45445.28548611111</v>
      </c>
      <c r="C10198" s="3" t="s">
        <v>4</v>
      </c>
    </row>
    <row r="10199">
      <c r="A10199" s="3">
        <v>6277.0</v>
      </c>
      <c r="B10199" s="4">
        <v>45445.288935185185</v>
      </c>
      <c r="C10199" s="3" t="s">
        <v>4</v>
      </c>
    </row>
    <row r="10200">
      <c r="A10200" s="3">
        <v>51.0</v>
      </c>
      <c r="B10200" s="4">
        <v>45445.29555555555</v>
      </c>
      <c r="C10200" s="3" t="s">
        <v>6</v>
      </c>
    </row>
    <row r="10201">
      <c r="A10201" s="3">
        <v>1243.0</v>
      </c>
      <c r="B10201" s="4">
        <v>45445.30023148148</v>
      </c>
      <c r="C10201" s="3" t="s">
        <v>5</v>
      </c>
    </row>
    <row r="10202">
      <c r="A10202" s="3">
        <v>1605.0</v>
      </c>
      <c r="B10202" s="4">
        <v>45445.302407407406</v>
      </c>
      <c r="C10202" s="3" t="s">
        <v>3</v>
      </c>
    </row>
    <row r="10203">
      <c r="A10203" s="3">
        <v>6318.0</v>
      </c>
      <c r="B10203" s="4">
        <v>45445.36516203704</v>
      </c>
      <c r="C10203" s="3" t="s">
        <v>3</v>
      </c>
    </row>
    <row r="10204">
      <c r="A10204" s="3">
        <v>6694.0</v>
      </c>
      <c r="B10204" s="4">
        <v>45445.38649305556</v>
      </c>
      <c r="C10204" s="3" t="s">
        <v>3</v>
      </c>
    </row>
    <row r="10205">
      <c r="A10205" s="3">
        <v>6431.0</v>
      </c>
      <c r="B10205" s="4">
        <v>45445.42238425926</v>
      </c>
      <c r="C10205" s="3" t="s">
        <v>3</v>
      </c>
    </row>
    <row r="10206">
      <c r="A10206" s="3">
        <v>4210.0</v>
      </c>
      <c r="B10206" s="4">
        <v>45445.44762731482</v>
      </c>
      <c r="C10206" s="3" t="s">
        <v>4</v>
      </c>
    </row>
    <row r="10207">
      <c r="A10207" s="3">
        <v>542.0</v>
      </c>
      <c r="B10207" s="4">
        <v>45445.45386574074</v>
      </c>
      <c r="C10207" s="3" t="s">
        <v>4</v>
      </c>
    </row>
    <row r="10208">
      <c r="A10208" s="3">
        <v>6166.0</v>
      </c>
      <c r="B10208" s="4">
        <v>45445.4799537037</v>
      </c>
      <c r="C10208" s="3" t="s">
        <v>3</v>
      </c>
    </row>
    <row r="10209">
      <c r="A10209" s="3">
        <v>2829.0</v>
      </c>
      <c r="B10209" s="4">
        <v>45445.49086805555</v>
      </c>
      <c r="C10209" s="3" t="s">
        <v>4</v>
      </c>
    </row>
    <row r="10210">
      <c r="A10210" s="3">
        <v>4819.0</v>
      </c>
      <c r="B10210" s="4">
        <v>45445.50454861111</v>
      </c>
      <c r="C10210" s="3" t="s">
        <v>3</v>
      </c>
    </row>
    <row r="10211">
      <c r="A10211" s="3">
        <v>7443.0</v>
      </c>
      <c r="B10211" s="4">
        <v>45445.50555555556</v>
      </c>
      <c r="C10211" s="3" t="s">
        <v>5</v>
      </c>
    </row>
    <row r="10212">
      <c r="A10212" s="3">
        <v>102.0</v>
      </c>
      <c r="B10212" s="4">
        <v>45445.51751157407</v>
      </c>
      <c r="C10212" s="3" t="s">
        <v>4</v>
      </c>
    </row>
    <row r="10213">
      <c r="A10213" s="3">
        <v>1172.0</v>
      </c>
      <c r="B10213" s="4">
        <v>45445.52175925926</v>
      </c>
      <c r="C10213" s="3" t="s">
        <v>3</v>
      </c>
    </row>
    <row r="10214">
      <c r="A10214" s="3">
        <v>6277.0</v>
      </c>
      <c r="B10214" s="4">
        <v>45445.5421412037</v>
      </c>
      <c r="C10214" s="3" t="s">
        <v>6</v>
      </c>
    </row>
    <row r="10215">
      <c r="A10215" s="3">
        <v>7659.0</v>
      </c>
      <c r="B10215" s="4">
        <v>45445.5487037037</v>
      </c>
      <c r="C10215" s="3" t="s">
        <v>5</v>
      </c>
    </row>
    <row r="10216">
      <c r="A10216" s="3">
        <v>1500.0</v>
      </c>
      <c r="B10216" s="4">
        <v>45445.56070601852</v>
      </c>
      <c r="C10216" s="3" t="s">
        <v>6</v>
      </c>
    </row>
    <row r="10217">
      <c r="A10217" s="3">
        <v>4348.0</v>
      </c>
      <c r="B10217" s="4">
        <v>45445.58625</v>
      </c>
      <c r="C10217" s="3" t="s">
        <v>6</v>
      </c>
    </row>
    <row r="10218">
      <c r="A10218" s="3">
        <v>3555.0</v>
      </c>
      <c r="B10218" s="4">
        <v>45445.598229166666</v>
      </c>
      <c r="C10218" s="3" t="s">
        <v>6</v>
      </c>
    </row>
    <row r="10219">
      <c r="A10219" s="3">
        <v>7872.0</v>
      </c>
      <c r="B10219" s="4">
        <v>45445.609826388885</v>
      </c>
      <c r="C10219" s="3" t="s">
        <v>4</v>
      </c>
    </row>
    <row r="10220">
      <c r="A10220" s="3">
        <v>773.0</v>
      </c>
      <c r="B10220" s="4">
        <v>45445.61106481482</v>
      </c>
      <c r="C10220" s="3" t="s">
        <v>3</v>
      </c>
    </row>
    <row r="10221">
      <c r="A10221" s="3">
        <v>6374.0</v>
      </c>
      <c r="B10221" s="4">
        <v>45445.64469907407</v>
      </c>
      <c r="C10221" s="3" t="s">
        <v>3</v>
      </c>
    </row>
    <row r="10222">
      <c r="A10222" s="3">
        <v>928.0</v>
      </c>
      <c r="B10222" s="4">
        <v>45445.65226851852</v>
      </c>
      <c r="C10222" s="3" t="s">
        <v>3</v>
      </c>
    </row>
    <row r="10223">
      <c r="A10223" s="3">
        <v>3038.0</v>
      </c>
      <c r="B10223" s="4">
        <v>45445.66142361111</v>
      </c>
      <c r="C10223" s="3" t="s">
        <v>4</v>
      </c>
    </row>
    <row r="10224">
      <c r="A10224" s="3">
        <v>3334.0</v>
      </c>
      <c r="B10224" s="4">
        <v>45445.66967592593</v>
      </c>
      <c r="C10224" s="3" t="s">
        <v>7</v>
      </c>
    </row>
    <row r="10225">
      <c r="A10225" s="3">
        <v>4127.0</v>
      </c>
      <c r="B10225" s="4">
        <v>45445.69049768519</v>
      </c>
      <c r="C10225" s="3" t="s">
        <v>5</v>
      </c>
    </row>
    <row r="10226">
      <c r="A10226" s="3">
        <v>4994.0</v>
      </c>
      <c r="B10226" s="4">
        <v>45445.725069444445</v>
      </c>
      <c r="C10226" s="3" t="s">
        <v>4</v>
      </c>
    </row>
    <row r="10227">
      <c r="A10227" s="3">
        <v>2489.0</v>
      </c>
      <c r="B10227" s="4">
        <v>45445.74068287037</v>
      </c>
      <c r="C10227" s="3" t="s">
        <v>4</v>
      </c>
    </row>
    <row r="10228">
      <c r="A10228" s="3">
        <v>7514.0</v>
      </c>
      <c r="B10228" s="4">
        <v>45445.75071759259</v>
      </c>
      <c r="C10228" s="3" t="s">
        <v>3</v>
      </c>
    </row>
    <row r="10229">
      <c r="A10229" s="3">
        <v>1243.0</v>
      </c>
      <c r="B10229" s="4">
        <v>45445.75828703704</v>
      </c>
      <c r="C10229" s="3" t="s">
        <v>6</v>
      </c>
    </row>
    <row r="10230">
      <c r="A10230" s="3">
        <v>5679.0</v>
      </c>
      <c r="B10230" s="4">
        <v>45445.76430555555</v>
      </c>
      <c r="C10230" s="3" t="s">
        <v>3</v>
      </c>
    </row>
    <row r="10231">
      <c r="A10231" s="3">
        <v>6596.0</v>
      </c>
      <c r="B10231" s="4">
        <v>45445.77112268518</v>
      </c>
      <c r="C10231" s="3" t="s">
        <v>4</v>
      </c>
    </row>
    <row r="10232">
      <c r="A10232" s="3">
        <v>7443.0</v>
      </c>
      <c r="B10232" s="4">
        <v>45445.803773148145</v>
      </c>
      <c r="C10232" s="3" t="s">
        <v>7</v>
      </c>
    </row>
    <row r="10233">
      <c r="A10233" s="3">
        <v>5794.0</v>
      </c>
      <c r="B10233" s="4">
        <v>45445.8152662037</v>
      </c>
      <c r="C10233" s="3" t="s">
        <v>4</v>
      </c>
    </row>
    <row r="10234">
      <c r="A10234" s="3">
        <v>4102.0</v>
      </c>
      <c r="B10234" s="4">
        <v>45445.820856481485</v>
      </c>
      <c r="C10234" s="3" t="s">
        <v>5</v>
      </c>
    </row>
    <row r="10235">
      <c r="A10235" s="3">
        <v>3429.0</v>
      </c>
      <c r="B10235" s="4">
        <v>45445.84611111111</v>
      </c>
      <c r="C10235" s="3" t="s">
        <v>4</v>
      </c>
    </row>
    <row r="10236">
      <c r="A10236" s="3">
        <v>7136.0</v>
      </c>
      <c r="B10236" s="4">
        <v>45445.855671296296</v>
      </c>
      <c r="C10236" s="3" t="s">
        <v>6</v>
      </c>
    </row>
    <row r="10237">
      <c r="A10237" s="3">
        <v>2030.0</v>
      </c>
      <c r="B10237" s="4">
        <v>45445.9044212963</v>
      </c>
      <c r="C10237" s="3" t="s">
        <v>4</v>
      </c>
    </row>
    <row r="10238">
      <c r="A10238" s="3">
        <v>7540.0</v>
      </c>
      <c r="B10238" s="4">
        <v>45445.91297453704</v>
      </c>
      <c r="C10238" s="3" t="s">
        <v>7</v>
      </c>
    </row>
    <row r="10239">
      <c r="A10239" s="3">
        <v>1747.0</v>
      </c>
      <c r="B10239" s="4">
        <v>45445.98535879629</v>
      </c>
      <c r="C10239" s="3" t="s">
        <v>3</v>
      </c>
    </row>
    <row r="10240">
      <c r="A10240" s="3">
        <v>1533.0</v>
      </c>
      <c r="B10240" s="4">
        <v>45445.993125</v>
      </c>
      <c r="C10240" s="3" t="s">
        <v>4</v>
      </c>
    </row>
    <row r="10241">
      <c r="A10241" s="3">
        <v>463.0</v>
      </c>
      <c r="B10241" s="4">
        <v>45446.00247685185</v>
      </c>
      <c r="C10241" s="3" t="s">
        <v>3</v>
      </c>
    </row>
    <row r="10242">
      <c r="A10242" s="3">
        <v>4994.0</v>
      </c>
      <c r="B10242" s="4">
        <v>45446.02229166667</v>
      </c>
      <c r="C10242" s="3" t="s">
        <v>7</v>
      </c>
    </row>
    <row r="10243">
      <c r="A10243" s="3">
        <v>1634.0</v>
      </c>
      <c r="B10243" s="4">
        <v>45446.028761574074</v>
      </c>
      <c r="C10243" s="3" t="s">
        <v>3</v>
      </c>
    </row>
    <row r="10244">
      <c r="A10244" s="3">
        <v>2628.0</v>
      </c>
      <c r="B10244" s="4">
        <v>45446.03261574074</v>
      </c>
      <c r="C10244" s="3" t="s">
        <v>6</v>
      </c>
    </row>
    <row r="10245">
      <c r="A10245" s="3">
        <v>5095.0</v>
      </c>
      <c r="B10245" s="4">
        <v>45446.050532407404</v>
      </c>
      <c r="C10245" s="3" t="s">
        <v>3</v>
      </c>
    </row>
    <row r="10246">
      <c r="A10246" s="3">
        <v>7080.0</v>
      </c>
      <c r="B10246" s="4">
        <v>45446.05447916667</v>
      </c>
      <c r="C10246" s="3" t="s">
        <v>3</v>
      </c>
    </row>
    <row r="10247">
      <c r="A10247" s="3">
        <v>3071.0</v>
      </c>
      <c r="B10247" s="4">
        <v>45446.05704861111</v>
      </c>
      <c r="C10247" s="3" t="s">
        <v>5</v>
      </c>
    </row>
    <row r="10248">
      <c r="A10248" s="3">
        <v>2670.0</v>
      </c>
      <c r="B10248" s="4">
        <v>45446.060532407406</v>
      </c>
      <c r="C10248" s="3" t="s">
        <v>3</v>
      </c>
    </row>
    <row r="10249">
      <c r="A10249" s="3">
        <v>3681.0</v>
      </c>
      <c r="B10249" s="4">
        <v>45446.08560185185</v>
      </c>
      <c r="C10249" s="3" t="s">
        <v>5</v>
      </c>
    </row>
    <row r="10250">
      <c r="A10250" s="3">
        <v>7285.0</v>
      </c>
      <c r="B10250" s="4">
        <v>45446.09328703704</v>
      </c>
      <c r="C10250" s="3" t="s">
        <v>4</v>
      </c>
    </row>
    <row r="10251">
      <c r="A10251" s="3">
        <v>6423.0</v>
      </c>
      <c r="B10251" s="4">
        <v>45446.10113425926</v>
      </c>
      <c r="C10251" s="3" t="s">
        <v>3</v>
      </c>
    </row>
    <row r="10252">
      <c r="A10252" s="3">
        <v>4577.0</v>
      </c>
      <c r="B10252" s="4">
        <v>45446.11231481482</v>
      </c>
      <c r="C10252" s="3" t="s">
        <v>3</v>
      </c>
    </row>
    <row r="10253">
      <c r="A10253" s="3">
        <v>643.0</v>
      </c>
      <c r="B10253" s="4">
        <v>45446.12462962963</v>
      </c>
      <c r="C10253" s="3" t="s">
        <v>3</v>
      </c>
    </row>
    <row r="10254">
      <c r="A10254" s="3">
        <v>3681.0</v>
      </c>
      <c r="B10254" s="4">
        <v>45446.14462962963</v>
      </c>
      <c r="C10254" s="3" t="s">
        <v>7</v>
      </c>
    </row>
    <row r="10255">
      <c r="A10255" s="3">
        <v>643.0</v>
      </c>
      <c r="B10255" s="4">
        <v>45446.14833333333</v>
      </c>
      <c r="C10255" s="3" t="s">
        <v>4</v>
      </c>
    </row>
    <row r="10256">
      <c r="A10256" s="3">
        <v>7579.0</v>
      </c>
      <c r="B10256" s="4">
        <v>45446.16952546296</v>
      </c>
      <c r="C10256" s="3" t="s">
        <v>3</v>
      </c>
    </row>
    <row r="10257">
      <c r="A10257" s="3">
        <v>1836.0</v>
      </c>
      <c r="B10257" s="4">
        <v>45446.19269675926</v>
      </c>
      <c r="C10257" s="3" t="s">
        <v>3</v>
      </c>
    </row>
    <row r="10258">
      <c r="A10258" s="3">
        <v>3163.0</v>
      </c>
      <c r="B10258" s="4">
        <v>45446.193449074075</v>
      </c>
      <c r="C10258" s="3" t="s">
        <v>4</v>
      </c>
    </row>
    <row r="10259">
      <c r="A10259" s="3">
        <v>4819.0</v>
      </c>
      <c r="B10259" s="4">
        <v>45446.21173611111</v>
      </c>
      <c r="C10259" s="3" t="s">
        <v>6</v>
      </c>
    </row>
    <row r="10260">
      <c r="A10260" s="3">
        <v>102.0</v>
      </c>
      <c r="B10260" s="4">
        <v>45446.212916666664</v>
      </c>
      <c r="C10260" s="3" t="s">
        <v>5</v>
      </c>
    </row>
    <row r="10261">
      <c r="A10261" s="3">
        <v>7940.0</v>
      </c>
      <c r="B10261" s="4">
        <v>45446.2143287037</v>
      </c>
      <c r="C10261" s="3" t="s">
        <v>6</v>
      </c>
    </row>
    <row r="10262">
      <c r="A10262" s="3">
        <v>4277.0</v>
      </c>
      <c r="B10262" s="4">
        <v>45446.23171296297</v>
      </c>
      <c r="C10262" s="3" t="s">
        <v>3</v>
      </c>
    </row>
    <row r="10263">
      <c r="A10263" s="3">
        <v>6404.0</v>
      </c>
      <c r="B10263" s="4">
        <v>45446.23784722222</v>
      </c>
      <c r="C10263" s="3" t="s">
        <v>3</v>
      </c>
    </row>
    <row r="10264">
      <c r="A10264" s="3">
        <v>7285.0</v>
      </c>
      <c r="B10264" s="4">
        <v>45446.25604166667</v>
      </c>
      <c r="C10264" s="3" t="s">
        <v>3</v>
      </c>
    </row>
    <row r="10265">
      <c r="A10265" s="3">
        <v>6166.0</v>
      </c>
      <c r="B10265" s="4">
        <v>45446.26981481481</v>
      </c>
      <c r="C10265" s="3" t="s">
        <v>4</v>
      </c>
    </row>
    <row r="10266">
      <c r="A10266" s="3">
        <v>4103.0</v>
      </c>
      <c r="B10266" s="4">
        <v>45446.27460648148</v>
      </c>
      <c r="C10266" s="3" t="s">
        <v>3</v>
      </c>
    </row>
    <row r="10267">
      <c r="A10267" s="3">
        <v>6296.0</v>
      </c>
      <c r="B10267" s="4">
        <v>45446.28806712963</v>
      </c>
      <c r="C10267" s="3" t="s">
        <v>3</v>
      </c>
    </row>
    <row r="10268">
      <c r="A10268" s="3">
        <v>5598.0</v>
      </c>
      <c r="B10268" s="4">
        <v>45446.30504629629</v>
      </c>
      <c r="C10268" s="3" t="s">
        <v>7</v>
      </c>
    </row>
    <row r="10269">
      <c r="A10269" s="3">
        <v>4089.0</v>
      </c>
      <c r="B10269" s="4">
        <v>45446.305925925924</v>
      </c>
      <c r="C10269" s="3" t="s">
        <v>3</v>
      </c>
    </row>
    <row r="10270">
      <c r="A10270" s="3">
        <v>1078.0</v>
      </c>
      <c r="B10270" s="4">
        <v>45446.307858796295</v>
      </c>
      <c r="C10270" s="3" t="s">
        <v>3</v>
      </c>
    </row>
    <row r="10271">
      <c r="A10271" s="3">
        <v>5882.0</v>
      </c>
      <c r="B10271" s="4">
        <v>45446.311203703706</v>
      </c>
      <c r="C10271" s="3" t="s">
        <v>3</v>
      </c>
    </row>
    <row r="10272">
      <c r="A10272" s="3">
        <v>4353.0</v>
      </c>
      <c r="B10272" s="4">
        <v>45446.3690625</v>
      </c>
      <c r="C10272" s="3" t="s">
        <v>3</v>
      </c>
    </row>
    <row r="10273">
      <c r="A10273" s="3">
        <v>4020.0</v>
      </c>
      <c r="B10273" s="4">
        <v>45446.39225694445</v>
      </c>
      <c r="C10273" s="3" t="s">
        <v>5</v>
      </c>
    </row>
    <row r="10274">
      <c r="A10274" s="3">
        <v>2670.0</v>
      </c>
      <c r="B10274" s="4">
        <v>45446.396886574075</v>
      </c>
      <c r="C10274" s="3" t="s">
        <v>4</v>
      </c>
    </row>
    <row r="10275">
      <c r="A10275" s="3">
        <v>3226.0</v>
      </c>
      <c r="B10275" s="4">
        <v>45446.42965277778</v>
      </c>
      <c r="C10275" s="3" t="s">
        <v>3</v>
      </c>
    </row>
    <row r="10276">
      <c r="A10276" s="3">
        <v>6598.0</v>
      </c>
      <c r="B10276" s="4">
        <v>45446.43821759259</v>
      </c>
      <c r="C10276" s="3" t="s">
        <v>3</v>
      </c>
    </row>
    <row r="10277">
      <c r="A10277" s="3">
        <v>569.0</v>
      </c>
      <c r="B10277" s="4">
        <v>45446.445289351854</v>
      </c>
      <c r="C10277" s="3" t="s">
        <v>3</v>
      </c>
    </row>
    <row r="10278">
      <c r="A10278" s="3">
        <v>2875.0</v>
      </c>
      <c r="B10278" s="4">
        <v>45446.44770833333</v>
      </c>
      <c r="C10278" s="3" t="s">
        <v>4</v>
      </c>
    </row>
    <row r="10279">
      <c r="A10279" s="3">
        <v>3338.0</v>
      </c>
      <c r="B10279" s="4">
        <v>45446.451689814814</v>
      </c>
      <c r="C10279" s="3" t="s">
        <v>3</v>
      </c>
    </row>
    <row r="10280">
      <c r="A10280" s="3">
        <v>7479.0</v>
      </c>
      <c r="B10280" s="4">
        <v>45446.47021990741</v>
      </c>
      <c r="C10280" s="3" t="s">
        <v>7</v>
      </c>
    </row>
    <row r="10281">
      <c r="A10281" s="3">
        <v>3315.0</v>
      </c>
      <c r="B10281" s="4">
        <v>45446.485</v>
      </c>
      <c r="C10281" s="3" t="s">
        <v>4</v>
      </c>
    </row>
    <row r="10282">
      <c r="A10282" s="3">
        <v>3555.0</v>
      </c>
      <c r="B10282" s="4">
        <v>45446.49153935185</v>
      </c>
      <c r="C10282" s="3" t="s">
        <v>5</v>
      </c>
    </row>
    <row r="10283">
      <c r="A10283" s="3">
        <v>6563.0</v>
      </c>
      <c r="B10283" s="4">
        <v>45446.502592592595</v>
      </c>
      <c r="C10283" s="3" t="s">
        <v>6</v>
      </c>
    </row>
    <row r="10284">
      <c r="A10284" s="3">
        <v>6683.0</v>
      </c>
      <c r="B10284" s="4">
        <v>45446.51142361111</v>
      </c>
      <c r="C10284" s="3" t="s">
        <v>3</v>
      </c>
    </row>
    <row r="10285">
      <c r="A10285" s="3">
        <v>51.0</v>
      </c>
      <c r="B10285" s="4">
        <v>45446.53011574074</v>
      </c>
      <c r="C10285" s="3" t="s">
        <v>7</v>
      </c>
    </row>
    <row r="10286">
      <c r="A10286" s="3">
        <v>6423.0</v>
      </c>
      <c r="B10286" s="4">
        <v>45446.543958333335</v>
      </c>
      <c r="C10286" s="3" t="s">
        <v>4</v>
      </c>
    </row>
    <row r="10287">
      <c r="A10287" s="3">
        <v>5441.0</v>
      </c>
      <c r="B10287" s="4">
        <v>45446.55627314815</v>
      </c>
      <c r="C10287" s="3" t="s">
        <v>4</v>
      </c>
    </row>
    <row r="10288">
      <c r="A10288" s="3">
        <v>3212.0</v>
      </c>
      <c r="B10288" s="4">
        <v>45446.57880787037</v>
      </c>
      <c r="C10288" s="3" t="s">
        <v>3</v>
      </c>
    </row>
    <row r="10289">
      <c r="A10289" s="3">
        <v>3212.0</v>
      </c>
      <c r="B10289" s="4">
        <v>45446.614386574074</v>
      </c>
      <c r="C10289" s="3" t="s">
        <v>4</v>
      </c>
    </row>
    <row r="10290">
      <c r="A10290" s="3">
        <v>6596.0</v>
      </c>
      <c r="B10290" s="4">
        <v>45446.63086805555</v>
      </c>
      <c r="C10290" s="3" t="s">
        <v>7</v>
      </c>
    </row>
    <row r="10291">
      <c r="A10291" s="3">
        <v>895.0</v>
      </c>
      <c r="B10291" s="4">
        <v>45446.67181712963</v>
      </c>
      <c r="C10291" s="3" t="s">
        <v>4</v>
      </c>
    </row>
    <row r="10292">
      <c r="A10292" s="3">
        <v>5762.0</v>
      </c>
      <c r="B10292" s="4">
        <v>45446.683854166666</v>
      </c>
      <c r="C10292" s="3" t="s">
        <v>6</v>
      </c>
    </row>
    <row r="10293">
      <c r="A10293" s="3">
        <v>7479.0</v>
      </c>
      <c r="B10293" s="4">
        <v>45446.69388888889</v>
      </c>
      <c r="C10293" s="3" t="s">
        <v>6</v>
      </c>
    </row>
    <row r="10294">
      <c r="A10294" s="3">
        <v>3739.0</v>
      </c>
      <c r="B10294" s="4">
        <v>45446.71129629629</v>
      </c>
      <c r="C10294" s="3" t="s">
        <v>3</v>
      </c>
    </row>
    <row r="10295">
      <c r="A10295" s="3">
        <v>2489.0</v>
      </c>
      <c r="B10295" s="4">
        <v>45446.72157407407</v>
      </c>
      <c r="C10295" s="3" t="s">
        <v>5</v>
      </c>
    </row>
    <row r="10296">
      <c r="A10296" s="3">
        <v>3615.0</v>
      </c>
      <c r="B10296" s="4">
        <v>45446.7262962963</v>
      </c>
      <c r="C10296" s="3" t="s">
        <v>7</v>
      </c>
    </row>
    <row r="10297">
      <c r="A10297" s="3">
        <v>6694.0</v>
      </c>
      <c r="B10297" s="4">
        <v>45446.731840277775</v>
      </c>
      <c r="C10297" s="3" t="s">
        <v>4</v>
      </c>
    </row>
    <row r="10298">
      <c r="A10298" s="3">
        <v>2822.0</v>
      </c>
      <c r="B10298" s="4">
        <v>45446.7599537037</v>
      </c>
      <c r="C10298" s="3" t="s">
        <v>5</v>
      </c>
    </row>
    <row r="10299">
      <c r="A10299" s="3">
        <v>454.0</v>
      </c>
      <c r="B10299" s="4">
        <v>45446.76758101852</v>
      </c>
      <c r="C10299" s="3" t="s">
        <v>7</v>
      </c>
    </row>
    <row r="10300">
      <c r="A10300" s="3">
        <v>454.0</v>
      </c>
      <c r="B10300" s="4">
        <v>45446.76833333333</v>
      </c>
      <c r="C10300" s="3" t="s">
        <v>6</v>
      </c>
    </row>
    <row r="10301">
      <c r="A10301" s="3">
        <v>6318.0</v>
      </c>
      <c r="B10301" s="4">
        <v>45446.78527777778</v>
      </c>
      <c r="C10301" s="3" t="s">
        <v>7</v>
      </c>
    </row>
    <row r="10302">
      <c r="A10302" s="3">
        <v>7809.0</v>
      </c>
      <c r="B10302" s="4">
        <v>45446.78939814815</v>
      </c>
      <c r="C10302" s="3" t="s">
        <v>3</v>
      </c>
    </row>
    <row r="10303">
      <c r="A10303" s="3">
        <v>4210.0</v>
      </c>
      <c r="B10303" s="4">
        <v>45446.8393287037</v>
      </c>
      <c r="C10303" s="3" t="s">
        <v>5</v>
      </c>
    </row>
    <row r="10304">
      <c r="A10304" s="3">
        <v>7696.0</v>
      </c>
      <c r="B10304" s="4">
        <v>45446.874386574076</v>
      </c>
      <c r="C10304" s="3" t="s">
        <v>3</v>
      </c>
    </row>
    <row r="10305">
      <c r="A10305" s="3">
        <v>3198.0</v>
      </c>
      <c r="B10305" s="4">
        <v>45446.882199074076</v>
      </c>
      <c r="C10305" s="3" t="s">
        <v>4</v>
      </c>
    </row>
    <row r="10306">
      <c r="A10306" s="3">
        <v>648.0</v>
      </c>
      <c r="B10306" s="4">
        <v>45446.88636574074</v>
      </c>
      <c r="C10306" s="3" t="s">
        <v>5</v>
      </c>
    </row>
    <row r="10307">
      <c r="A10307" s="3">
        <v>3506.0</v>
      </c>
      <c r="B10307" s="4">
        <v>45446.88952546296</v>
      </c>
      <c r="C10307" s="3" t="s">
        <v>3</v>
      </c>
    </row>
    <row r="10308">
      <c r="A10308" s="3">
        <v>2317.0</v>
      </c>
      <c r="B10308" s="4">
        <v>45446.90175925926</v>
      </c>
      <c r="C10308" s="3" t="s">
        <v>6</v>
      </c>
    </row>
    <row r="10309">
      <c r="A10309" s="3">
        <v>3364.0</v>
      </c>
      <c r="B10309" s="4">
        <v>45446.902291666665</v>
      </c>
      <c r="C10309" s="3" t="s">
        <v>3</v>
      </c>
    </row>
    <row r="10310">
      <c r="A10310" s="3">
        <v>6741.0</v>
      </c>
      <c r="B10310" s="4">
        <v>45446.903136574074</v>
      </c>
      <c r="C10310" s="3" t="s">
        <v>3</v>
      </c>
    </row>
    <row r="10311">
      <c r="A10311" s="3">
        <v>6284.0</v>
      </c>
      <c r="B10311" s="4">
        <v>45446.91680555556</v>
      </c>
      <c r="C10311" s="3" t="s">
        <v>3</v>
      </c>
    </row>
    <row r="10312">
      <c r="A10312" s="3">
        <v>119.0</v>
      </c>
      <c r="B10312" s="4">
        <v>45446.91842592593</v>
      </c>
      <c r="C10312" s="3" t="s">
        <v>3</v>
      </c>
    </row>
    <row r="10313">
      <c r="A10313" s="3">
        <v>1243.0</v>
      </c>
      <c r="B10313" s="4">
        <v>45446.9480787037</v>
      </c>
      <c r="C10313" s="3" t="s">
        <v>7</v>
      </c>
    </row>
    <row r="10314">
      <c r="A10314" s="3">
        <v>6048.0</v>
      </c>
      <c r="B10314" s="4">
        <v>45447.03423611111</v>
      </c>
      <c r="C10314" s="3" t="s">
        <v>3</v>
      </c>
    </row>
    <row r="10315">
      <c r="A10315" s="3">
        <v>4163.0</v>
      </c>
      <c r="B10315" s="4">
        <v>45447.042083333334</v>
      </c>
      <c r="C10315" s="3" t="s">
        <v>3</v>
      </c>
    </row>
    <row r="10316">
      <c r="A10316" s="3">
        <v>4297.0</v>
      </c>
      <c r="B10316" s="4">
        <v>45447.054606481484</v>
      </c>
      <c r="C10316" s="3" t="s">
        <v>5</v>
      </c>
    </row>
    <row r="10317">
      <c r="A10317" s="3">
        <v>2165.0</v>
      </c>
      <c r="B10317" s="4">
        <v>45447.06452546296</v>
      </c>
      <c r="C10317" s="3" t="s">
        <v>4</v>
      </c>
    </row>
    <row r="10318">
      <c r="A10318" s="3">
        <v>6598.0</v>
      </c>
      <c r="B10318" s="4">
        <v>45447.06872685185</v>
      </c>
      <c r="C10318" s="3" t="s">
        <v>4</v>
      </c>
    </row>
    <row r="10319">
      <c r="A10319" s="3">
        <v>5442.0</v>
      </c>
      <c r="B10319" s="4">
        <v>45447.074421296296</v>
      </c>
      <c r="C10319" s="3" t="s">
        <v>7</v>
      </c>
    </row>
    <row r="10320">
      <c r="A10320" s="3">
        <v>155.0</v>
      </c>
      <c r="B10320" s="4">
        <v>45447.07795138889</v>
      </c>
      <c r="C10320" s="3" t="s">
        <v>3</v>
      </c>
    </row>
    <row r="10321">
      <c r="A10321" s="3">
        <v>4877.0</v>
      </c>
      <c r="B10321" s="4">
        <v>45447.08107638889</v>
      </c>
      <c r="C10321" s="3" t="s">
        <v>3</v>
      </c>
    </row>
    <row r="10322">
      <c r="A10322" s="3">
        <v>7160.0</v>
      </c>
      <c r="B10322" s="4">
        <v>45447.09030092593</v>
      </c>
      <c r="C10322" s="3" t="s">
        <v>5</v>
      </c>
    </row>
    <row r="10323">
      <c r="A10323" s="3">
        <v>5933.0</v>
      </c>
      <c r="B10323" s="4">
        <v>45447.09527777778</v>
      </c>
      <c r="C10323" s="3" t="s">
        <v>3</v>
      </c>
    </row>
    <row r="10324">
      <c r="A10324" s="3">
        <v>4819.0</v>
      </c>
      <c r="B10324" s="4">
        <v>45447.09758101852</v>
      </c>
      <c r="C10324" s="3" t="s">
        <v>7</v>
      </c>
    </row>
    <row r="10325">
      <c r="A10325" s="3">
        <v>4080.0</v>
      </c>
      <c r="B10325" s="4">
        <v>45447.1096412037</v>
      </c>
      <c r="C10325" s="3" t="s">
        <v>3</v>
      </c>
    </row>
    <row r="10326">
      <c r="A10326" s="3">
        <v>5988.0</v>
      </c>
      <c r="B10326" s="4">
        <v>45447.124976851854</v>
      </c>
      <c r="C10326" s="3" t="s">
        <v>6</v>
      </c>
    </row>
    <row r="10327">
      <c r="A10327" s="3">
        <v>3549.0</v>
      </c>
      <c r="B10327" s="4">
        <v>45447.13584490741</v>
      </c>
      <c r="C10327" s="3" t="s">
        <v>3</v>
      </c>
    </row>
    <row r="10328">
      <c r="A10328" s="3">
        <v>158.0</v>
      </c>
      <c r="B10328" s="4">
        <v>45447.13984953704</v>
      </c>
      <c r="C10328" s="3" t="s">
        <v>6</v>
      </c>
    </row>
    <row r="10329">
      <c r="A10329" s="3">
        <v>1512.0</v>
      </c>
      <c r="B10329" s="4">
        <v>45447.14439814815</v>
      </c>
      <c r="C10329" s="3" t="s">
        <v>3</v>
      </c>
    </row>
    <row r="10330">
      <c r="A10330" s="3">
        <v>3556.0</v>
      </c>
      <c r="B10330" s="4">
        <v>45447.14858796296</v>
      </c>
      <c r="C10330" s="3" t="s">
        <v>4</v>
      </c>
    </row>
    <row r="10331">
      <c r="A10331" s="3">
        <v>1884.0</v>
      </c>
      <c r="B10331" s="4">
        <v>45447.153287037036</v>
      </c>
      <c r="C10331" s="3" t="s">
        <v>4</v>
      </c>
    </row>
    <row r="10332">
      <c r="A10332" s="3">
        <v>5426.0</v>
      </c>
      <c r="B10332" s="4">
        <v>45447.15392361111</v>
      </c>
      <c r="C10332" s="3" t="s">
        <v>3</v>
      </c>
    </row>
    <row r="10333">
      <c r="A10333" s="3">
        <v>6683.0</v>
      </c>
      <c r="B10333" s="4">
        <v>45447.156956018516</v>
      </c>
      <c r="C10333" s="3" t="s">
        <v>4</v>
      </c>
    </row>
    <row r="10334">
      <c r="A10334" s="3">
        <v>7285.0</v>
      </c>
      <c r="B10334" s="4">
        <v>45447.1653125</v>
      </c>
      <c r="C10334" s="3" t="s">
        <v>7</v>
      </c>
    </row>
    <row r="10335">
      <c r="A10335" s="3">
        <v>304.0</v>
      </c>
      <c r="B10335" s="4">
        <v>45447.165810185186</v>
      </c>
      <c r="C10335" s="3" t="s">
        <v>7</v>
      </c>
    </row>
    <row r="10336">
      <c r="A10336" s="3">
        <v>1523.0</v>
      </c>
      <c r="B10336" s="4">
        <v>45447.185219907406</v>
      </c>
      <c r="C10336" s="3" t="s">
        <v>3</v>
      </c>
    </row>
    <row r="10337">
      <c r="A10337" s="3">
        <v>3734.0</v>
      </c>
      <c r="B10337" s="4">
        <v>45447.18622685185</v>
      </c>
      <c r="C10337" s="3" t="s">
        <v>6</v>
      </c>
    </row>
    <row r="10338">
      <c r="A10338" s="3">
        <v>2998.0</v>
      </c>
      <c r="B10338" s="4">
        <v>45447.18880787037</v>
      </c>
      <c r="C10338" s="3" t="s">
        <v>7</v>
      </c>
    </row>
    <row r="10339">
      <c r="A10339" s="3">
        <v>6077.0</v>
      </c>
      <c r="B10339" s="4">
        <v>45447.24128472222</v>
      </c>
      <c r="C10339" s="3" t="s">
        <v>3</v>
      </c>
    </row>
    <row r="10340">
      <c r="A10340" s="3">
        <v>102.0</v>
      </c>
      <c r="B10340" s="4">
        <v>45447.248611111114</v>
      </c>
      <c r="C10340" s="3" t="s">
        <v>7</v>
      </c>
    </row>
    <row r="10341">
      <c r="A10341" s="3">
        <v>463.0</v>
      </c>
      <c r="B10341" s="4">
        <v>45447.24949074074</v>
      </c>
      <c r="C10341" s="3" t="s">
        <v>4</v>
      </c>
    </row>
    <row r="10342">
      <c r="A10342" s="3">
        <v>602.0</v>
      </c>
      <c r="B10342" s="4">
        <v>45447.25682870371</v>
      </c>
      <c r="C10342" s="3" t="s">
        <v>3</v>
      </c>
    </row>
    <row r="10343">
      <c r="A10343" s="3">
        <v>119.0</v>
      </c>
      <c r="B10343" s="4">
        <v>45447.26001157407</v>
      </c>
      <c r="C10343" s="3" t="s">
        <v>5</v>
      </c>
    </row>
    <row r="10344">
      <c r="A10344" s="3">
        <v>2456.0</v>
      </c>
      <c r="B10344" s="4">
        <v>45447.261967592596</v>
      </c>
      <c r="C10344" s="3" t="s">
        <v>3</v>
      </c>
    </row>
    <row r="10345">
      <c r="A10345" s="3">
        <v>3878.0</v>
      </c>
      <c r="B10345" s="4">
        <v>45447.27673611111</v>
      </c>
      <c r="C10345" s="3" t="s">
        <v>3</v>
      </c>
    </row>
    <row r="10346">
      <c r="A10346" s="3">
        <v>22.0</v>
      </c>
      <c r="B10346" s="4">
        <v>45447.280543981484</v>
      </c>
      <c r="C10346" s="3" t="s">
        <v>3</v>
      </c>
    </row>
    <row r="10347">
      <c r="A10347" s="3">
        <v>376.0</v>
      </c>
      <c r="B10347" s="4">
        <v>45447.28314814815</v>
      </c>
      <c r="C10347" s="3" t="s">
        <v>3</v>
      </c>
    </row>
    <row r="10348">
      <c r="A10348" s="3">
        <v>3429.0</v>
      </c>
      <c r="B10348" s="4">
        <v>45447.320555555554</v>
      </c>
      <c r="C10348" s="3" t="s">
        <v>6</v>
      </c>
    </row>
    <row r="10349">
      <c r="A10349" s="3">
        <v>2483.0</v>
      </c>
      <c r="B10349" s="4">
        <v>45447.327199074076</v>
      </c>
      <c r="C10349" s="3" t="s">
        <v>3</v>
      </c>
    </row>
    <row r="10350">
      <c r="A10350" s="3">
        <v>6596.0</v>
      </c>
      <c r="B10350" s="4">
        <v>45447.34201388889</v>
      </c>
      <c r="C10350" s="3" t="s">
        <v>6</v>
      </c>
    </row>
    <row r="10351">
      <c r="A10351" s="3">
        <v>3556.0</v>
      </c>
      <c r="B10351" s="4">
        <v>45447.358090277776</v>
      </c>
      <c r="C10351" s="3" t="s">
        <v>3</v>
      </c>
    </row>
    <row r="10352">
      <c r="A10352" s="3">
        <v>119.0</v>
      </c>
      <c r="B10352" s="4">
        <v>45447.38905092593</v>
      </c>
      <c r="C10352" s="3" t="s">
        <v>6</v>
      </c>
    </row>
    <row r="10353">
      <c r="A10353" s="3">
        <v>119.0</v>
      </c>
      <c r="B10353" s="4">
        <v>45447.40201388889</v>
      </c>
      <c r="C10353" s="3" t="s">
        <v>4</v>
      </c>
    </row>
    <row r="10354">
      <c r="A10354" s="3">
        <v>5056.0</v>
      </c>
      <c r="B10354" s="4">
        <v>45447.41347222222</v>
      </c>
      <c r="C10354" s="3" t="s">
        <v>4</v>
      </c>
    </row>
    <row r="10355">
      <c r="A10355" s="3">
        <v>1884.0</v>
      </c>
      <c r="B10355" s="4">
        <v>45447.42493055556</v>
      </c>
      <c r="C10355" s="3" t="s">
        <v>3</v>
      </c>
    </row>
    <row r="10356">
      <c r="A10356" s="3">
        <v>6423.0</v>
      </c>
      <c r="B10356" s="4">
        <v>45447.43178240741</v>
      </c>
      <c r="C10356" s="3" t="s">
        <v>7</v>
      </c>
    </row>
    <row r="10357">
      <c r="A10357" s="3">
        <v>1836.0</v>
      </c>
      <c r="B10357" s="4">
        <v>45447.451215277775</v>
      </c>
      <c r="C10357" s="3" t="s">
        <v>6</v>
      </c>
    </row>
    <row r="10358">
      <c r="A10358" s="3">
        <v>7962.0</v>
      </c>
      <c r="B10358" s="4">
        <v>45447.48353009259</v>
      </c>
      <c r="C10358" s="3" t="s">
        <v>3</v>
      </c>
    </row>
    <row r="10359">
      <c r="A10359" s="3">
        <v>4297.0</v>
      </c>
      <c r="B10359" s="4">
        <v>45447.50912037037</v>
      </c>
      <c r="C10359" s="3" t="s">
        <v>3</v>
      </c>
    </row>
    <row r="10360">
      <c r="A10360" s="3">
        <v>7540.0</v>
      </c>
      <c r="B10360" s="4">
        <v>45447.52082175926</v>
      </c>
      <c r="C10360" s="3" t="s">
        <v>6</v>
      </c>
    </row>
    <row r="10361">
      <c r="A10361" s="3">
        <v>7652.0</v>
      </c>
      <c r="B10361" s="4">
        <v>45447.525416666664</v>
      </c>
      <c r="C10361" s="3" t="s">
        <v>3</v>
      </c>
    </row>
    <row r="10362">
      <c r="A10362" s="3">
        <v>5805.0</v>
      </c>
      <c r="B10362" s="4">
        <v>45447.54519675926</v>
      </c>
      <c r="C10362" s="3" t="s">
        <v>3</v>
      </c>
    </row>
    <row r="10363">
      <c r="A10363" s="3">
        <v>7659.0</v>
      </c>
      <c r="B10363" s="4">
        <v>45447.567395833335</v>
      </c>
      <c r="C10363" s="3" t="s">
        <v>6</v>
      </c>
    </row>
    <row r="10364">
      <c r="A10364" s="3">
        <v>3110.0</v>
      </c>
      <c r="B10364" s="4">
        <v>45447.59616898148</v>
      </c>
      <c r="C10364" s="3" t="s">
        <v>3</v>
      </c>
    </row>
    <row r="10365">
      <c r="A10365" s="3">
        <v>1298.0</v>
      </c>
      <c r="B10365" s="4">
        <v>45447.614965277775</v>
      </c>
      <c r="C10365" s="3" t="s">
        <v>6</v>
      </c>
    </row>
    <row r="10366">
      <c r="A10366" s="3">
        <v>4994.0</v>
      </c>
      <c r="B10366" s="4">
        <v>45447.618252314816</v>
      </c>
      <c r="C10366" s="3" t="s">
        <v>5</v>
      </c>
    </row>
    <row r="10367">
      <c r="A10367" s="3">
        <v>5042.0</v>
      </c>
      <c r="B10367" s="4">
        <v>45447.66820601852</v>
      </c>
      <c r="C10367" s="3" t="s">
        <v>3</v>
      </c>
    </row>
    <row r="10368">
      <c r="A10368" s="3">
        <v>2848.0</v>
      </c>
      <c r="B10368" s="4">
        <v>45447.669594907406</v>
      </c>
      <c r="C10368" s="3" t="s">
        <v>6</v>
      </c>
    </row>
    <row r="10369">
      <c r="A10369" s="3">
        <v>5598.0</v>
      </c>
      <c r="B10369" s="4">
        <v>45447.67230324074</v>
      </c>
      <c r="C10369" s="3" t="s">
        <v>6</v>
      </c>
    </row>
    <row r="10370">
      <c r="A10370" s="3">
        <v>5056.0</v>
      </c>
      <c r="B10370" s="4">
        <v>45447.69464120371</v>
      </c>
      <c r="C10370" s="3" t="s">
        <v>3</v>
      </c>
    </row>
    <row r="10371">
      <c r="A10371" s="3">
        <v>6204.0</v>
      </c>
      <c r="B10371" s="4">
        <v>45447.717986111114</v>
      </c>
      <c r="C10371" s="3" t="s">
        <v>3</v>
      </c>
    </row>
    <row r="10372">
      <c r="A10372" s="3">
        <v>7578.0</v>
      </c>
      <c r="B10372" s="4">
        <v>45447.72392361111</v>
      </c>
      <c r="C10372" s="3" t="s">
        <v>3</v>
      </c>
    </row>
    <row r="10373">
      <c r="A10373" s="3">
        <v>4199.0</v>
      </c>
      <c r="B10373" s="4">
        <v>45447.72957175926</v>
      </c>
      <c r="C10373" s="3" t="s">
        <v>3</v>
      </c>
    </row>
    <row r="10374">
      <c r="A10374" s="3">
        <v>6696.0</v>
      </c>
      <c r="B10374" s="4">
        <v>45447.73473379629</v>
      </c>
      <c r="C10374" s="3" t="s">
        <v>3</v>
      </c>
    </row>
    <row r="10375">
      <c r="A10375" s="3">
        <v>4742.0</v>
      </c>
      <c r="B10375" s="4">
        <v>45447.74811342593</v>
      </c>
      <c r="C10375" s="3" t="s">
        <v>3</v>
      </c>
    </row>
    <row r="10376">
      <c r="A10376" s="3">
        <v>2165.0</v>
      </c>
      <c r="B10376" s="4">
        <v>45447.76578703704</v>
      </c>
      <c r="C10376" s="3" t="s">
        <v>3</v>
      </c>
    </row>
    <row r="10377">
      <c r="A10377" s="3">
        <v>2942.0</v>
      </c>
      <c r="B10377" s="4">
        <v>45447.77700231481</v>
      </c>
      <c r="C10377" s="3" t="s">
        <v>3</v>
      </c>
    </row>
    <row r="10378">
      <c r="A10378" s="3">
        <v>102.0</v>
      </c>
      <c r="B10378" s="4">
        <v>45447.78039351852</v>
      </c>
      <c r="C10378" s="3" t="s">
        <v>6</v>
      </c>
    </row>
    <row r="10379">
      <c r="A10379" s="3">
        <v>4889.0</v>
      </c>
      <c r="B10379" s="4">
        <v>45447.78493055556</v>
      </c>
      <c r="C10379" s="3" t="s">
        <v>6</v>
      </c>
    </row>
    <row r="10380">
      <c r="A10380" s="3">
        <v>7809.0</v>
      </c>
      <c r="B10380" s="4">
        <v>45447.793229166666</v>
      </c>
      <c r="C10380" s="3" t="s">
        <v>4</v>
      </c>
    </row>
    <row r="10381">
      <c r="A10381" s="3">
        <v>3422.0</v>
      </c>
      <c r="B10381" s="4">
        <v>45447.79336805556</v>
      </c>
      <c r="C10381" s="3" t="s">
        <v>3</v>
      </c>
    </row>
    <row r="10382">
      <c r="A10382" s="3">
        <v>1144.0</v>
      </c>
      <c r="B10382" s="4">
        <v>45447.82759259259</v>
      </c>
      <c r="C10382" s="3" t="s">
        <v>3</v>
      </c>
    </row>
    <row r="10383">
      <c r="A10383" s="3">
        <v>643.0</v>
      </c>
      <c r="B10383" s="4">
        <v>45447.84809027778</v>
      </c>
      <c r="C10383" s="3" t="s">
        <v>6</v>
      </c>
    </row>
    <row r="10384">
      <c r="A10384" s="3">
        <v>3226.0</v>
      </c>
      <c r="B10384" s="4">
        <v>45447.849016203705</v>
      </c>
      <c r="C10384" s="3" t="s">
        <v>4</v>
      </c>
    </row>
    <row r="10385">
      <c r="A10385" s="3">
        <v>7809.0</v>
      </c>
      <c r="B10385" s="4">
        <v>45447.85392361111</v>
      </c>
      <c r="C10385" s="3" t="s">
        <v>7</v>
      </c>
    </row>
    <row r="10386">
      <c r="A10386" s="3">
        <v>1733.0</v>
      </c>
      <c r="B10386" s="4">
        <v>45447.85576388889</v>
      </c>
      <c r="C10386" s="3" t="s">
        <v>7</v>
      </c>
    </row>
    <row r="10387">
      <c r="A10387" s="3">
        <v>2998.0</v>
      </c>
      <c r="B10387" s="4">
        <v>45447.861979166664</v>
      </c>
      <c r="C10387" s="3" t="s">
        <v>6</v>
      </c>
    </row>
    <row r="10388">
      <c r="A10388" s="3">
        <v>5426.0</v>
      </c>
      <c r="B10388" s="4">
        <v>45447.867106481484</v>
      </c>
      <c r="C10388" s="3" t="s">
        <v>4</v>
      </c>
    </row>
    <row r="10389">
      <c r="A10389" s="3">
        <v>1011.0</v>
      </c>
      <c r="B10389" s="4">
        <v>45447.87300925926</v>
      </c>
      <c r="C10389" s="3" t="s">
        <v>3</v>
      </c>
    </row>
    <row r="10390">
      <c r="A10390" s="3">
        <v>6969.0</v>
      </c>
      <c r="B10390" s="4">
        <v>45447.87699074074</v>
      </c>
      <c r="C10390" s="3" t="s">
        <v>3</v>
      </c>
    </row>
    <row r="10391">
      <c r="A10391" s="3">
        <v>966.0</v>
      </c>
      <c r="B10391" s="4">
        <v>45447.87762731482</v>
      </c>
      <c r="C10391" s="3" t="s">
        <v>4</v>
      </c>
    </row>
    <row r="10392">
      <c r="A10392" s="3">
        <v>804.0</v>
      </c>
      <c r="B10392" s="4">
        <v>45447.89592592593</v>
      </c>
      <c r="C10392" s="3" t="s">
        <v>3</v>
      </c>
    </row>
    <row r="10393">
      <c r="A10393" s="3">
        <v>1512.0</v>
      </c>
      <c r="B10393" s="4">
        <v>45447.908738425926</v>
      </c>
      <c r="C10393" s="3" t="s">
        <v>4</v>
      </c>
    </row>
    <row r="10394">
      <c r="A10394" s="3">
        <v>4419.0</v>
      </c>
      <c r="B10394" s="4">
        <v>45447.91409722222</v>
      </c>
      <c r="C10394" s="3" t="s">
        <v>3</v>
      </c>
    </row>
    <row r="10395">
      <c r="A10395" s="3">
        <v>4339.0</v>
      </c>
      <c r="B10395" s="4">
        <v>45447.92607638889</v>
      </c>
      <c r="C10395" s="3" t="s">
        <v>6</v>
      </c>
    </row>
    <row r="10396">
      <c r="A10396" s="3">
        <v>202.0</v>
      </c>
      <c r="B10396" s="4">
        <v>45447.94261574074</v>
      </c>
      <c r="C10396" s="3" t="s">
        <v>3</v>
      </c>
    </row>
    <row r="10397">
      <c r="A10397" s="3">
        <v>4210.0</v>
      </c>
      <c r="B10397" s="4">
        <v>45447.948530092595</v>
      </c>
      <c r="C10397" s="3" t="s">
        <v>6</v>
      </c>
    </row>
    <row r="10398">
      <c r="A10398" s="3">
        <v>6596.0</v>
      </c>
      <c r="B10398" s="4">
        <v>45447.94875</v>
      </c>
      <c r="C10398" s="3" t="s">
        <v>5</v>
      </c>
    </row>
    <row r="10399">
      <c r="A10399" s="3">
        <v>4819.0</v>
      </c>
      <c r="B10399" s="4">
        <v>45447.94945601852</v>
      </c>
      <c r="C10399" s="3" t="s">
        <v>4</v>
      </c>
    </row>
    <row r="10400">
      <c r="A10400" s="3">
        <v>2670.0</v>
      </c>
      <c r="B10400" s="4">
        <v>45447.960069444445</v>
      </c>
      <c r="C10400" s="3" t="s">
        <v>7</v>
      </c>
    </row>
    <row r="10401">
      <c r="A10401" s="3">
        <v>3230.0</v>
      </c>
      <c r="B10401" s="4">
        <v>45447.99643518519</v>
      </c>
      <c r="C10401" s="3" t="s">
        <v>3</v>
      </c>
    </row>
    <row r="10402">
      <c r="A10402" s="3">
        <v>593.0</v>
      </c>
      <c r="B10402" s="4">
        <v>45448.009988425925</v>
      </c>
      <c r="C10402" s="3" t="s">
        <v>6</v>
      </c>
    </row>
    <row r="10403">
      <c r="A10403" s="3">
        <v>2030.0</v>
      </c>
      <c r="B10403" s="4">
        <v>45448.028275462966</v>
      </c>
      <c r="C10403" s="3" t="s">
        <v>7</v>
      </c>
    </row>
    <row r="10404">
      <c r="A10404" s="3">
        <v>3028.0</v>
      </c>
      <c r="B10404" s="4">
        <v>45448.03618055556</v>
      </c>
      <c r="C10404" s="3" t="s">
        <v>6</v>
      </c>
    </row>
    <row r="10405">
      <c r="A10405" s="3">
        <v>6077.0</v>
      </c>
      <c r="B10405" s="4">
        <v>45448.04099537037</v>
      </c>
      <c r="C10405" s="3" t="s">
        <v>4</v>
      </c>
    </row>
    <row r="10406">
      <c r="A10406" s="3">
        <v>5007.0</v>
      </c>
      <c r="B10406" s="4">
        <v>45448.04188657407</v>
      </c>
      <c r="C10406" s="3" t="s">
        <v>3</v>
      </c>
    </row>
    <row r="10407">
      <c r="A10407" s="3">
        <v>6454.0</v>
      </c>
      <c r="B10407" s="4">
        <v>45448.054085648146</v>
      </c>
      <c r="C10407" s="3" t="s">
        <v>3</v>
      </c>
    </row>
    <row r="10408">
      <c r="A10408" s="3">
        <v>755.0</v>
      </c>
      <c r="B10408" s="4">
        <v>45448.146469907406</v>
      </c>
      <c r="C10408" s="3" t="s">
        <v>4</v>
      </c>
    </row>
    <row r="10409">
      <c r="A10409" s="3">
        <v>2862.0</v>
      </c>
      <c r="B10409" s="4">
        <v>45448.17458333333</v>
      </c>
      <c r="C10409" s="3" t="s">
        <v>3</v>
      </c>
    </row>
    <row r="10410">
      <c r="A10410" s="3">
        <v>6048.0</v>
      </c>
      <c r="B10410" s="4">
        <v>45448.17505787037</v>
      </c>
      <c r="C10410" s="3" t="s">
        <v>4</v>
      </c>
    </row>
    <row r="10411">
      <c r="A10411" s="3">
        <v>7568.0</v>
      </c>
      <c r="B10411" s="4">
        <v>45448.196076388886</v>
      </c>
      <c r="C10411" s="3" t="s">
        <v>3</v>
      </c>
    </row>
    <row r="10412">
      <c r="A10412" s="3">
        <v>1011.0</v>
      </c>
      <c r="B10412" s="4">
        <v>45448.22248842593</v>
      </c>
      <c r="C10412" s="3" t="s">
        <v>7</v>
      </c>
    </row>
    <row r="10413">
      <c r="A10413" s="3">
        <v>1884.0</v>
      </c>
      <c r="B10413" s="4">
        <v>45448.32622685185</v>
      </c>
      <c r="C10413" s="3" t="s">
        <v>6</v>
      </c>
    </row>
    <row r="10414">
      <c r="A10414" s="3">
        <v>3612.0</v>
      </c>
      <c r="B10414" s="4">
        <v>45448.39255787037</v>
      </c>
      <c r="C10414" s="3" t="s">
        <v>3</v>
      </c>
    </row>
    <row r="10415">
      <c r="A10415" s="3">
        <v>5815.0</v>
      </c>
      <c r="B10415" s="4">
        <v>45448.39461805556</v>
      </c>
      <c r="C10415" s="3" t="s">
        <v>6</v>
      </c>
    </row>
    <row r="10416">
      <c r="A10416" s="3">
        <v>928.0</v>
      </c>
      <c r="B10416" s="4">
        <v>45448.4015162037</v>
      </c>
      <c r="C10416" s="3" t="s">
        <v>6</v>
      </c>
    </row>
    <row r="10417">
      <c r="A10417" s="3">
        <v>7962.0</v>
      </c>
      <c r="B10417" s="4">
        <v>45448.41228009259</v>
      </c>
      <c r="C10417" s="3" t="s">
        <v>4</v>
      </c>
    </row>
    <row r="10418">
      <c r="A10418" s="3">
        <v>3462.0</v>
      </c>
      <c r="B10418" s="4">
        <v>45448.444861111115</v>
      </c>
      <c r="C10418" s="3" t="s">
        <v>3</v>
      </c>
    </row>
    <row r="10419">
      <c r="A10419" s="3">
        <v>4353.0</v>
      </c>
      <c r="B10419" s="4">
        <v>45448.465</v>
      </c>
      <c r="C10419" s="3" t="s">
        <v>4</v>
      </c>
    </row>
    <row r="10420">
      <c r="A10420" s="3">
        <v>4814.0</v>
      </c>
      <c r="B10420" s="4">
        <v>45448.469988425924</v>
      </c>
      <c r="C10420" s="3" t="s">
        <v>3</v>
      </c>
    </row>
    <row r="10421">
      <c r="A10421" s="3">
        <v>773.0</v>
      </c>
      <c r="B10421" s="4">
        <v>45448.481620370374</v>
      </c>
      <c r="C10421" s="3" t="s">
        <v>4</v>
      </c>
    </row>
    <row r="10422">
      <c r="A10422" s="3">
        <v>7398.0</v>
      </c>
      <c r="B10422" s="4">
        <v>45448.51385416667</v>
      </c>
      <c r="C10422" s="3" t="s">
        <v>3</v>
      </c>
    </row>
    <row r="10423">
      <c r="A10423" s="3">
        <v>4199.0</v>
      </c>
      <c r="B10423" s="4">
        <v>45448.54189814815</v>
      </c>
      <c r="C10423" s="3" t="s">
        <v>6</v>
      </c>
    </row>
    <row r="10424">
      <c r="A10424" s="3">
        <v>1129.0</v>
      </c>
      <c r="B10424" s="4">
        <v>45448.567974537036</v>
      </c>
      <c r="C10424" s="3" t="s">
        <v>3</v>
      </c>
    </row>
    <row r="10425">
      <c r="A10425" s="3">
        <v>813.0</v>
      </c>
      <c r="B10425" s="4">
        <v>45448.577731481484</v>
      </c>
      <c r="C10425" s="3" t="s">
        <v>3</v>
      </c>
    </row>
    <row r="10426">
      <c r="A10426" s="3">
        <v>2030.0</v>
      </c>
      <c r="B10426" s="4">
        <v>45448.58394675926</v>
      </c>
      <c r="C10426" s="3" t="s">
        <v>5</v>
      </c>
    </row>
    <row r="10427">
      <c r="A10427" s="3">
        <v>1836.0</v>
      </c>
      <c r="B10427" s="4">
        <v>45448.600694444445</v>
      </c>
      <c r="C10427" s="3" t="s">
        <v>4</v>
      </c>
    </row>
    <row r="10428">
      <c r="A10428" s="3">
        <v>3878.0</v>
      </c>
      <c r="B10428" s="4">
        <v>45448.61890046296</v>
      </c>
      <c r="C10428" s="3" t="s">
        <v>4</v>
      </c>
    </row>
    <row r="10429">
      <c r="A10429" s="3">
        <v>4127.0</v>
      </c>
      <c r="B10429" s="4">
        <v>45448.679293981484</v>
      </c>
      <c r="C10429" s="3" t="s">
        <v>6</v>
      </c>
    </row>
    <row r="10430">
      <c r="A10430" s="3">
        <v>204.0</v>
      </c>
      <c r="B10430" s="4">
        <v>45448.68104166666</v>
      </c>
      <c r="C10430" s="3" t="s">
        <v>4</v>
      </c>
    </row>
    <row r="10431">
      <c r="A10431" s="3">
        <v>2942.0</v>
      </c>
      <c r="B10431" s="4">
        <v>45448.68952546296</v>
      </c>
      <c r="C10431" s="3" t="s">
        <v>6</v>
      </c>
    </row>
    <row r="10432">
      <c r="A10432" s="3">
        <v>1011.0</v>
      </c>
      <c r="B10432" s="4">
        <v>45448.695439814815</v>
      </c>
      <c r="C10432" s="3" t="s">
        <v>5</v>
      </c>
    </row>
    <row r="10433">
      <c r="A10433" s="3">
        <v>7652.0</v>
      </c>
      <c r="B10433" s="4">
        <v>45448.75252314815</v>
      </c>
      <c r="C10433" s="3" t="s">
        <v>5</v>
      </c>
    </row>
    <row r="10434">
      <c r="A10434" s="3">
        <v>4819.0</v>
      </c>
      <c r="B10434" s="4">
        <v>45448.77685185185</v>
      </c>
      <c r="C10434" s="3" t="s">
        <v>5</v>
      </c>
    </row>
    <row r="10435">
      <c r="A10435" s="3">
        <v>6053.0</v>
      </c>
      <c r="B10435" s="4">
        <v>45448.788935185185</v>
      </c>
      <c r="C10435" s="3" t="s">
        <v>3</v>
      </c>
    </row>
    <row r="10436">
      <c r="A10436" s="3">
        <v>7285.0</v>
      </c>
      <c r="B10436" s="4">
        <v>45448.79515046296</v>
      </c>
      <c r="C10436" s="3" t="s">
        <v>5</v>
      </c>
    </row>
    <row r="10437">
      <c r="A10437" s="3">
        <v>7707.0</v>
      </c>
      <c r="B10437" s="4">
        <v>45448.8384375</v>
      </c>
      <c r="C10437" s="3" t="s">
        <v>3</v>
      </c>
    </row>
    <row r="10438">
      <c r="A10438" s="3">
        <v>602.0</v>
      </c>
      <c r="B10438" s="4">
        <v>45448.86751157408</v>
      </c>
      <c r="C10438" s="3" t="s">
        <v>4</v>
      </c>
    </row>
    <row r="10439">
      <c r="A10439" s="3">
        <v>4199.0</v>
      </c>
      <c r="B10439" s="4">
        <v>45448.87329861111</v>
      </c>
      <c r="C10439" s="3" t="s">
        <v>4</v>
      </c>
    </row>
    <row r="10440">
      <c r="A10440" s="3">
        <v>2030.0</v>
      </c>
      <c r="B10440" s="4">
        <v>45448.88340277778</v>
      </c>
      <c r="C10440" s="3" t="s">
        <v>6</v>
      </c>
    </row>
    <row r="10441">
      <c r="A10441" s="3">
        <v>5396.0</v>
      </c>
      <c r="B10441" s="4">
        <v>45448.91662037037</v>
      </c>
      <c r="C10441" s="3" t="s">
        <v>6</v>
      </c>
    </row>
    <row r="10442">
      <c r="A10442" s="3">
        <v>565.0</v>
      </c>
      <c r="B10442" s="4">
        <v>45448.920381944445</v>
      </c>
      <c r="C10442" s="3" t="s">
        <v>3</v>
      </c>
    </row>
    <row r="10443">
      <c r="A10443" s="3">
        <v>2258.0</v>
      </c>
      <c r="B10443" s="4">
        <v>45448.92974537037</v>
      </c>
      <c r="C10443" s="3" t="s">
        <v>3</v>
      </c>
    </row>
    <row r="10444">
      <c r="A10444" s="3">
        <v>3612.0</v>
      </c>
      <c r="B10444" s="4">
        <v>45448.953206018516</v>
      </c>
      <c r="C10444" s="3" t="s">
        <v>4</v>
      </c>
    </row>
    <row r="10445">
      <c r="A10445" s="3">
        <v>1733.0</v>
      </c>
      <c r="B10445" s="4">
        <v>45448.97053240741</v>
      </c>
      <c r="C10445" s="3" t="s">
        <v>6</v>
      </c>
    </row>
    <row r="10446">
      <c r="A10446" s="3">
        <v>5933.0</v>
      </c>
      <c r="B10446" s="4">
        <v>45448.97840277778</v>
      </c>
      <c r="C10446" s="3" t="s">
        <v>4</v>
      </c>
    </row>
    <row r="10447">
      <c r="A10447" s="3">
        <v>3334.0</v>
      </c>
      <c r="B10447" s="4">
        <v>45448.97961805556</v>
      </c>
      <c r="C10447" s="3" t="s">
        <v>6</v>
      </c>
    </row>
    <row r="10448">
      <c r="A10448" s="3">
        <v>1448.0</v>
      </c>
      <c r="B10448" s="4">
        <v>45448.989699074074</v>
      </c>
      <c r="C10448" s="3" t="s">
        <v>3</v>
      </c>
    </row>
    <row r="10449">
      <c r="A10449" s="3">
        <v>1512.0</v>
      </c>
      <c r="B10449" s="4">
        <v>45448.99681712963</v>
      </c>
      <c r="C10449" s="3" t="s">
        <v>5</v>
      </c>
    </row>
    <row r="10450">
      <c r="A10450" s="3">
        <v>813.0</v>
      </c>
      <c r="B10450" s="4">
        <v>45449.03144675926</v>
      </c>
      <c r="C10450" s="3" t="s">
        <v>5</v>
      </c>
    </row>
    <row r="10451">
      <c r="A10451" s="3">
        <v>1129.0</v>
      </c>
      <c r="B10451" s="4">
        <v>45449.0371875</v>
      </c>
      <c r="C10451" s="3" t="s">
        <v>5</v>
      </c>
    </row>
    <row r="10452">
      <c r="A10452" s="3">
        <v>643.0</v>
      </c>
      <c r="B10452" s="4">
        <v>45449.0409375</v>
      </c>
      <c r="C10452" s="3" t="s">
        <v>5</v>
      </c>
    </row>
    <row r="10453">
      <c r="A10453" s="3">
        <v>3021.0</v>
      </c>
      <c r="B10453" s="4">
        <v>45449.061215277776</v>
      </c>
      <c r="C10453" s="3" t="s">
        <v>3</v>
      </c>
    </row>
    <row r="10454">
      <c r="A10454" s="3">
        <v>1129.0</v>
      </c>
      <c r="B10454" s="4">
        <v>45449.06722222222</v>
      </c>
      <c r="C10454" s="3" t="s">
        <v>4</v>
      </c>
    </row>
    <row r="10455">
      <c r="A10455" s="3">
        <v>3681.0</v>
      </c>
      <c r="B10455" s="4">
        <v>45449.0702662037</v>
      </c>
      <c r="C10455" s="3" t="s">
        <v>6</v>
      </c>
    </row>
    <row r="10456">
      <c r="A10456" s="3">
        <v>6166.0</v>
      </c>
      <c r="B10456" s="4">
        <v>45449.19287037037</v>
      </c>
      <c r="C10456" s="3" t="s">
        <v>5</v>
      </c>
    </row>
    <row r="10457">
      <c r="A10457" s="3">
        <v>5301.0</v>
      </c>
      <c r="B10457" s="4">
        <v>45449.209189814814</v>
      </c>
      <c r="C10457" s="3" t="s">
        <v>3</v>
      </c>
    </row>
    <row r="10458">
      <c r="A10458" s="3">
        <v>6318.0</v>
      </c>
      <c r="B10458" s="4">
        <v>45449.21739583334</v>
      </c>
      <c r="C10458" s="3" t="s">
        <v>5</v>
      </c>
    </row>
    <row r="10459">
      <c r="A10459" s="3">
        <v>562.0</v>
      </c>
      <c r="B10459" s="4">
        <v>45449.21875</v>
      </c>
      <c r="C10459" s="3" t="s">
        <v>3</v>
      </c>
    </row>
    <row r="10460">
      <c r="A10460" s="3">
        <v>7578.0</v>
      </c>
      <c r="B10460" s="4">
        <v>45449.21916666667</v>
      </c>
      <c r="C10460" s="3" t="s">
        <v>4</v>
      </c>
    </row>
    <row r="10461">
      <c r="A10461" s="3">
        <v>7666.0</v>
      </c>
      <c r="B10461" s="4">
        <v>45449.229108796295</v>
      </c>
      <c r="C10461" s="3" t="s">
        <v>3</v>
      </c>
    </row>
    <row r="10462">
      <c r="A10462" s="3">
        <v>168.0</v>
      </c>
      <c r="B10462" s="4">
        <v>45449.23195601852</v>
      </c>
      <c r="C10462" s="3" t="s">
        <v>3</v>
      </c>
    </row>
    <row r="10463">
      <c r="A10463" s="3">
        <v>2496.0</v>
      </c>
      <c r="B10463" s="4">
        <v>45449.26405092593</v>
      </c>
      <c r="C10463" s="3" t="s">
        <v>3</v>
      </c>
    </row>
    <row r="10464">
      <c r="A10464" s="3">
        <v>6982.0</v>
      </c>
      <c r="B10464" s="4">
        <v>45449.30262731481</v>
      </c>
      <c r="C10464" s="3" t="s">
        <v>4</v>
      </c>
    </row>
    <row r="10465">
      <c r="A10465" s="3">
        <v>3146.0</v>
      </c>
      <c r="B10465" s="4">
        <v>45449.30784722222</v>
      </c>
      <c r="C10465" s="3" t="s">
        <v>3</v>
      </c>
    </row>
    <row r="10466">
      <c r="A10466" s="3">
        <v>6204.0</v>
      </c>
      <c r="B10466" s="4">
        <v>45449.31643518519</v>
      </c>
      <c r="C10466" s="3" t="s">
        <v>4</v>
      </c>
    </row>
    <row r="10467">
      <c r="A10467" s="3">
        <v>5619.0</v>
      </c>
      <c r="B10467" s="4">
        <v>45449.31827546296</v>
      </c>
      <c r="C10467" s="3" t="s">
        <v>3</v>
      </c>
    </row>
    <row r="10468">
      <c r="A10468" s="3">
        <v>7809.0</v>
      </c>
      <c r="B10468" s="4">
        <v>45449.32679398148</v>
      </c>
      <c r="C10468" s="3" t="s">
        <v>6</v>
      </c>
    </row>
    <row r="10469">
      <c r="A10469" s="3">
        <v>2670.0</v>
      </c>
      <c r="B10469" s="4">
        <v>45449.34228009259</v>
      </c>
      <c r="C10469" s="3" t="s">
        <v>6</v>
      </c>
    </row>
    <row r="10470">
      <c r="A10470" s="3">
        <v>2942.0</v>
      </c>
      <c r="B10470" s="4">
        <v>45449.379583333335</v>
      </c>
      <c r="C10470" s="3" t="s">
        <v>4</v>
      </c>
    </row>
    <row r="10471">
      <c r="A10471" s="3">
        <v>7465.0</v>
      </c>
      <c r="B10471" s="4">
        <v>45449.38306712963</v>
      </c>
      <c r="C10471" s="3" t="s">
        <v>3</v>
      </c>
    </row>
    <row r="10472">
      <c r="A10472" s="3">
        <v>7872.0</v>
      </c>
      <c r="B10472" s="4">
        <v>45449.38386574074</v>
      </c>
      <c r="C10472" s="3" t="s">
        <v>7</v>
      </c>
    </row>
    <row r="10473">
      <c r="A10473" s="3">
        <v>602.0</v>
      </c>
      <c r="B10473" s="4">
        <v>45449.38663194444</v>
      </c>
      <c r="C10473" s="3" t="s">
        <v>5</v>
      </c>
    </row>
    <row r="10474">
      <c r="A10474" s="3">
        <v>6982.0</v>
      </c>
      <c r="B10474" s="4">
        <v>45449.40358796297</v>
      </c>
      <c r="C10474" s="3" t="s">
        <v>3</v>
      </c>
    </row>
    <row r="10475">
      <c r="A10475" s="3">
        <v>1129.0</v>
      </c>
      <c r="B10475" s="4">
        <v>45449.43861111111</v>
      </c>
      <c r="C10475" s="3" t="s">
        <v>6</v>
      </c>
    </row>
    <row r="10476">
      <c r="A10476" s="3">
        <v>7659.0</v>
      </c>
      <c r="B10476" s="4">
        <v>45449.444861111115</v>
      </c>
      <c r="C10476" s="3" t="s">
        <v>7</v>
      </c>
    </row>
    <row r="10477">
      <c r="A10477" s="3">
        <v>1747.0</v>
      </c>
      <c r="B10477" s="4">
        <v>45449.45391203704</v>
      </c>
      <c r="C10477" s="3" t="s">
        <v>6</v>
      </c>
    </row>
    <row r="10478">
      <c r="A10478" s="3">
        <v>7696.0</v>
      </c>
      <c r="B10478" s="4">
        <v>45449.47443287037</v>
      </c>
      <c r="C10478" s="3" t="s">
        <v>5</v>
      </c>
    </row>
    <row r="10479">
      <c r="A10479" s="3">
        <v>6549.0</v>
      </c>
      <c r="B10479" s="4">
        <v>45449.49539351852</v>
      </c>
      <c r="C10479" s="3" t="s">
        <v>3</v>
      </c>
    </row>
    <row r="10480">
      <c r="A10480" s="3">
        <v>7445.0</v>
      </c>
      <c r="B10480" s="4">
        <v>45449.49859953704</v>
      </c>
      <c r="C10480" s="3" t="s">
        <v>3</v>
      </c>
    </row>
    <row r="10481">
      <c r="A10481" s="3">
        <v>2822.0</v>
      </c>
      <c r="B10481" s="4">
        <v>45449.52217592593</v>
      </c>
      <c r="C10481" s="3" t="s">
        <v>6</v>
      </c>
    </row>
    <row r="10482">
      <c r="A10482" s="3">
        <v>2343.0</v>
      </c>
      <c r="B10482" s="4">
        <v>45449.52591435185</v>
      </c>
      <c r="C10482" s="3" t="s">
        <v>3</v>
      </c>
    </row>
    <row r="10483">
      <c r="A10483" s="3">
        <v>7958.0</v>
      </c>
      <c r="B10483" s="4">
        <v>45449.53991898148</v>
      </c>
      <c r="C10483" s="3" t="s">
        <v>3</v>
      </c>
    </row>
    <row r="10484">
      <c r="A10484" s="3">
        <v>4103.0</v>
      </c>
      <c r="B10484" s="4">
        <v>45449.550208333334</v>
      </c>
      <c r="C10484" s="3" t="s">
        <v>7</v>
      </c>
    </row>
    <row r="10485">
      <c r="A10485" s="3">
        <v>5708.0</v>
      </c>
      <c r="B10485" s="4">
        <v>45449.55386574074</v>
      </c>
      <c r="C10485" s="3" t="s">
        <v>7</v>
      </c>
    </row>
    <row r="10486">
      <c r="A10486" s="3">
        <v>4505.0</v>
      </c>
      <c r="B10486" s="4">
        <v>45449.578726851854</v>
      </c>
      <c r="C10486" s="3" t="s">
        <v>3</v>
      </c>
    </row>
    <row r="10487">
      <c r="A10487" s="3">
        <v>7733.0</v>
      </c>
      <c r="B10487" s="4">
        <v>45449.592939814815</v>
      </c>
      <c r="C10487" s="3" t="s">
        <v>3</v>
      </c>
    </row>
    <row r="10488">
      <c r="A10488" s="3">
        <v>6967.0</v>
      </c>
      <c r="B10488" s="4">
        <v>45449.595497685186</v>
      </c>
      <c r="C10488" s="3" t="s">
        <v>3</v>
      </c>
    </row>
    <row r="10489">
      <c r="A10489" s="3">
        <v>2836.0</v>
      </c>
      <c r="B10489" s="4">
        <v>45449.613229166665</v>
      </c>
      <c r="C10489" s="3" t="s">
        <v>3</v>
      </c>
    </row>
    <row r="10490">
      <c r="A10490" s="3">
        <v>1172.0</v>
      </c>
      <c r="B10490" s="4">
        <v>45449.64013888889</v>
      </c>
      <c r="C10490" s="3" t="s">
        <v>4</v>
      </c>
    </row>
    <row r="10491">
      <c r="A10491" s="3">
        <v>6211.0</v>
      </c>
      <c r="B10491" s="4">
        <v>45449.64722222222</v>
      </c>
      <c r="C10491" s="3" t="s">
        <v>3</v>
      </c>
    </row>
    <row r="10492">
      <c r="A10492" s="3">
        <v>6211.0</v>
      </c>
      <c r="B10492" s="4">
        <v>45449.65806712963</v>
      </c>
      <c r="C10492" s="3" t="s">
        <v>4</v>
      </c>
    </row>
    <row r="10493">
      <c r="A10493" s="3">
        <v>6723.0</v>
      </c>
      <c r="B10493" s="4">
        <v>45449.66247685185</v>
      </c>
      <c r="C10493" s="3" t="s">
        <v>3</v>
      </c>
    </row>
    <row r="10494">
      <c r="A10494" s="3">
        <v>6491.0</v>
      </c>
      <c r="B10494" s="4">
        <v>45449.69871527778</v>
      </c>
      <c r="C10494" s="3" t="s">
        <v>3</v>
      </c>
    </row>
    <row r="10495">
      <c r="A10495" s="3">
        <v>1886.0</v>
      </c>
      <c r="B10495" s="4">
        <v>45449.73260416667</v>
      </c>
      <c r="C10495" s="3" t="s">
        <v>3</v>
      </c>
    </row>
    <row r="10496">
      <c r="A10496" s="3">
        <v>2025.0</v>
      </c>
      <c r="B10496" s="4">
        <v>45449.75848379629</v>
      </c>
      <c r="C10496" s="3" t="s">
        <v>5</v>
      </c>
    </row>
    <row r="10497">
      <c r="A10497" s="3">
        <v>555.0</v>
      </c>
      <c r="B10497" s="4">
        <v>45449.76777777778</v>
      </c>
      <c r="C10497" s="3" t="s">
        <v>3</v>
      </c>
    </row>
    <row r="10498">
      <c r="A10498" s="3">
        <v>5245.0</v>
      </c>
      <c r="B10498" s="4">
        <v>45449.76945601852</v>
      </c>
      <c r="C10498" s="3" t="s">
        <v>6</v>
      </c>
    </row>
    <row r="10499">
      <c r="A10499" s="3">
        <v>6613.0</v>
      </c>
      <c r="B10499" s="4">
        <v>45449.77543981482</v>
      </c>
      <c r="C10499" s="3" t="s">
        <v>3</v>
      </c>
    </row>
    <row r="10500">
      <c r="A10500" s="3">
        <v>4938.0</v>
      </c>
      <c r="B10500" s="4">
        <v>45449.79855324074</v>
      </c>
      <c r="C10500" s="3" t="s">
        <v>6</v>
      </c>
    </row>
    <row r="10501">
      <c r="A10501" s="3">
        <v>1946.0</v>
      </c>
      <c r="B10501" s="4">
        <v>45449.800208333334</v>
      </c>
      <c r="C10501" s="3" t="s">
        <v>3</v>
      </c>
    </row>
    <row r="10502">
      <c r="A10502" s="3">
        <v>7503.0</v>
      </c>
      <c r="B10502" s="4">
        <v>45449.814351851855</v>
      </c>
      <c r="C10502" s="3" t="s">
        <v>3</v>
      </c>
    </row>
    <row r="10503">
      <c r="A10503" s="3">
        <v>4472.0</v>
      </c>
      <c r="B10503" s="4">
        <v>45449.850277777776</v>
      </c>
      <c r="C10503" s="3" t="s">
        <v>3</v>
      </c>
    </row>
    <row r="10504">
      <c r="A10504" s="3">
        <v>924.0</v>
      </c>
      <c r="B10504" s="4">
        <v>45449.91915509259</v>
      </c>
      <c r="C10504" s="3" t="s">
        <v>3</v>
      </c>
    </row>
    <row r="10505">
      <c r="A10505" s="3">
        <v>2106.0</v>
      </c>
      <c r="B10505" s="4">
        <v>45449.94013888889</v>
      </c>
      <c r="C10505" s="3" t="s">
        <v>3</v>
      </c>
    </row>
    <row r="10506">
      <c r="A10506" s="3">
        <v>2025.0</v>
      </c>
      <c r="B10506" s="4">
        <v>45449.97655092592</v>
      </c>
      <c r="C10506" s="3" t="s">
        <v>3</v>
      </c>
    </row>
    <row r="10507">
      <c r="A10507" s="3">
        <v>928.0</v>
      </c>
      <c r="B10507" s="4">
        <v>45449.979837962965</v>
      </c>
      <c r="C10507" s="3" t="s">
        <v>5</v>
      </c>
    </row>
    <row r="10508">
      <c r="A10508" s="3">
        <v>5966.0</v>
      </c>
      <c r="B10508" s="4">
        <v>45450.00206018519</v>
      </c>
      <c r="C10508" s="3" t="s">
        <v>3</v>
      </c>
    </row>
    <row r="10509">
      <c r="A10509" s="3">
        <v>2329.0</v>
      </c>
      <c r="B10509" s="4">
        <v>45450.007002314815</v>
      </c>
      <c r="C10509" s="3" t="s">
        <v>3</v>
      </c>
    </row>
    <row r="10510">
      <c r="A10510" s="3">
        <v>3715.0</v>
      </c>
      <c r="B10510" s="4">
        <v>45450.01428240741</v>
      </c>
      <c r="C10510" s="3" t="s">
        <v>3</v>
      </c>
    </row>
    <row r="10511">
      <c r="A10511" s="3">
        <v>5739.0</v>
      </c>
      <c r="B10511" s="4">
        <v>45450.02201388889</v>
      </c>
      <c r="C10511" s="3" t="s">
        <v>3</v>
      </c>
    </row>
    <row r="10512">
      <c r="A10512" s="3">
        <v>6688.0</v>
      </c>
      <c r="B10512" s="4">
        <v>45450.02275462963</v>
      </c>
      <c r="C10512" s="3" t="s">
        <v>3</v>
      </c>
    </row>
    <row r="10513">
      <c r="A10513" s="3">
        <v>5966.0</v>
      </c>
      <c r="B10513" s="4">
        <v>45450.030277777776</v>
      </c>
      <c r="C10513" s="3" t="s">
        <v>5</v>
      </c>
    </row>
    <row r="10514">
      <c r="A10514" s="3">
        <v>2219.0</v>
      </c>
      <c r="B10514" s="4">
        <v>45450.03140046296</v>
      </c>
      <c r="C10514" s="3" t="s">
        <v>3</v>
      </c>
    </row>
    <row r="10515">
      <c r="A10515" s="3">
        <v>602.0</v>
      </c>
      <c r="B10515" s="4">
        <v>45450.06814814815</v>
      </c>
      <c r="C10515" s="3" t="s">
        <v>7</v>
      </c>
    </row>
    <row r="10516">
      <c r="A10516" s="3">
        <v>7568.0</v>
      </c>
      <c r="B10516" s="4">
        <v>45450.07443287037</v>
      </c>
      <c r="C10516" s="3" t="s">
        <v>4</v>
      </c>
    </row>
    <row r="10517">
      <c r="A10517" s="3">
        <v>6140.0</v>
      </c>
      <c r="B10517" s="4">
        <v>45450.07848379629</v>
      </c>
      <c r="C10517" s="3" t="s">
        <v>3</v>
      </c>
    </row>
    <row r="10518">
      <c r="A10518" s="3">
        <v>5211.0</v>
      </c>
      <c r="B10518" s="4">
        <v>45450.08122685185</v>
      </c>
      <c r="C10518" s="3" t="s">
        <v>4</v>
      </c>
    </row>
    <row r="10519">
      <c r="A10519" s="3">
        <v>440.0</v>
      </c>
      <c r="B10519" s="4">
        <v>45450.099328703705</v>
      </c>
      <c r="C10519" s="3" t="s">
        <v>3</v>
      </c>
    </row>
    <row r="10520">
      <c r="A10520" s="3">
        <v>94.0</v>
      </c>
      <c r="B10520" s="4">
        <v>45450.10083333333</v>
      </c>
      <c r="C10520" s="3" t="s">
        <v>4</v>
      </c>
    </row>
    <row r="10521">
      <c r="A10521" s="3">
        <v>1457.0</v>
      </c>
      <c r="B10521" s="4">
        <v>45450.11381944444</v>
      </c>
      <c r="C10521" s="3" t="s">
        <v>3</v>
      </c>
    </row>
    <row r="10522">
      <c r="A10522" s="3">
        <v>168.0</v>
      </c>
      <c r="B10522" s="4">
        <v>45450.15023148148</v>
      </c>
      <c r="C10522" s="3" t="s">
        <v>4</v>
      </c>
    </row>
    <row r="10523">
      <c r="A10523" s="3">
        <v>3146.0</v>
      </c>
      <c r="B10523" s="4">
        <v>45450.22138888889</v>
      </c>
      <c r="C10523" s="3" t="s">
        <v>5</v>
      </c>
    </row>
    <row r="10524">
      <c r="A10524" s="3">
        <v>4637.0</v>
      </c>
      <c r="B10524" s="4">
        <v>45450.23743055556</v>
      </c>
      <c r="C10524" s="3" t="s">
        <v>3</v>
      </c>
    </row>
    <row r="10525">
      <c r="A10525" s="3">
        <v>7652.0</v>
      </c>
      <c r="B10525" s="4">
        <v>45450.239386574074</v>
      </c>
      <c r="C10525" s="3" t="s">
        <v>7</v>
      </c>
    </row>
    <row r="10526">
      <c r="A10526" s="3">
        <v>968.0</v>
      </c>
      <c r="B10526" s="4">
        <v>45450.28525462963</v>
      </c>
      <c r="C10526" s="3" t="s">
        <v>3</v>
      </c>
    </row>
    <row r="10527">
      <c r="A10527" s="3">
        <v>7280.0</v>
      </c>
      <c r="B10527" s="4">
        <v>45450.35689814815</v>
      </c>
      <c r="C10527" s="3" t="s">
        <v>3</v>
      </c>
    </row>
    <row r="10528">
      <c r="A10528" s="3">
        <v>3516.0</v>
      </c>
      <c r="B10528" s="4">
        <v>45450.35824074074</v>
      </c>
      <c r="C10528" s="3" t="s">
        <v>3</v>
      </c>
    </row>
    <row r="10529">
      <c r="A10529" s="3">
        <v>2442.0</v>
      </c>
      <c r="B10529" s="4">
        <v>45450.36314814815</v>
      </c>
      <c r="C10529" s="3" t="s">
        <v>6</v>
      </c>
    </row>
    <row r="10530">
      <c r="A10530" s="3">
        <v>4072.0</v>
      </c>
      <c r="B10530" s="4">
        <v>45450.371724537035</v>
      </c>
      <c r="C10530" s="3" t="s">
        <v>3</v>
      </c>
    </row>
    <row r="10531">
      <c r="A10531" s="3">
        <v>4020.0</v>
      </c>
      <c r="B10531" s="4">
        <v>45450.37766203703</v>
      </c>
      <c r="C10531" s="3" t="s">
        <v>6</v>
      </c>
    </row>
    <row r="10532">
      <c r="A10532" s="3">
        <v>640.0</v>
      </c>
      <c r="B10532" s="4">
        <v>45450.38392361111</v>
      </c>
      <c r="C10532" s="3" t="s">
        <v>3</v>
      </c>
    </row>
    <row r="10533">
      <c r="A10533" s="3">
        <v>813.0</v>
      </c>
      <c r="B10533" s="4">
        <v>45450.398564814815</v>
      </c>
      <c r="C10533" s="3" t="s">
        <v>4</v>
      </c>
    </row>
    <row r="10534">
      <c r="A10534" s="3">
        <v>7608.0</v>
      </c>
      <c r="B10534" s="4">
        <v>45450.401550925926</v>
      </c>
      <c r="C10534" s="3" t="s">
        <v>3</v>
      </c>
    </row>
    <row r="10535">
      <c r="A10535" s="3">
        <v>4505.0</v>
      </c>
      <c r="B10535" s="4">
        <v>45450.42512731482</v>
      </c>
      <c r="C10535" s="3" t="s">
        <v>4</v>
      </c>
    </row>
    <row r="10536">
      <c r="A10536" s="3">
        <v>4770.0</v>
      </c>
      <c r="B10536" s="4">
        <v>45450.428078703706</v>
      </c>
      <c r="C10536" s="3" t="s">
        <v>3</v>
      </c>
    </row>
    <row r="10537">
      <c r="A10537" s="3">
        <v>3476.0</v>
      </c>
      <c r="B10537" s="4">
        <v>45450.46430555556</v>
      </c>
      <c r="C10537" s="3" t="s">
        <v>3</v>
      </c>
    </row>
    <row r="10538">
      <c r="A10538" s="3">
        <v>813.0</v>
      </c>
      <c r="B10538" s="4">
        <v>45450.4790162037</v>
      </c>
      <c r="C10538" s="3" t="s">
        <v>6</v>
      </c>
    </row>
    <row r="10539">
      <c r="A10539" s="3">
        <v>5966.0</v>
      </c>
      <c r="B10539" s="4">
        <v>45450.481157407405</v>
      </c>
      <c r="C10539" s="3" t="s">
        <v>4</v>
      </c>
    </row>
    <row r="10540">
      <c r="A10540" s="3">
        <v>6820.0</v>
      </c>
      <c r="B10540" s="4">
        <v>45450.51299768518</v>
      </c>
      <c r="C10540" s="3" t="s">
        <v>3</v>
      </c>
    </row>
    <row r="10541">
      <c r="A10541" s="3">
        <v>5442.0</v>
      </c>
      <c r="B10541" s="4">
        <v>45450.52287037037</v>
      </c>
      <c r="C10541" s="3" t="s">
        <v>6</v>
      </c>
    </row>
    <row r="10542">
      <c r="A10542" s="3">
        <v>7503.0</v>
      </c>
      <c r="B10542" s="4">
        <v>45450.53084490741</v>
      </c>
      <c r="C10542" s="3" t="s">
        <v>4</v>
      </c>
    </row>
    <row r="10543">
      <c r="A10543" s="3">
        <v>2116.0</v>
      </c>
      <c r="B10543" s="4">
        <v>45450.57769675926</v>
      </c>
      <c r="C10543" s="3" t="s">
        <v>3</v>
      </c>
    </row>
    <row r="10544">
      <c r="A10544" s="3">
        <v>562.0</v>
      </c>
      <c r="B10544" s="4">
        <v>45450.58027777778</v>
      </c>
      <c r="C10544" s="3" t="s">
        <v>4</v>
      </c>
    </row>
    <row r="10545">
      <c r="A10545" s="3">
        <v>4814.0</v>
      </c>
      <c r="B10545" s="4">
        <v>45450.591203703705</v>
      </c>
      <c r="C10545" s="3" t="s">
        <v>4</v>
      </c>
    </row>
    <row r="10546">
      <c r="A10546" s="3">
        <v>7809.0</v>
      </c>
      <c r="B10546" s="4">
        <v>45450.60392361111</v>
      </c>
      <c r="C10546" s="3" t="s">
        <v>5</v>
      </c>
    </row>
    <row r="10547">
      <c r="A10547" s="3">
        <v>2221.0</v>
      </c>
      <c r="B10547" s="4">
        <v>45450.61337962963</v>
      </c>
      <c r="C10547" s="3" t="s">
        <v>3</v>
      </c>
    </row>
    <row r="10548">
      <c r="A10548" s="3">
        <v>2836.0</v>
      </c>
      <c r="B10548" s="4">
        <v>45450.62469907408</v>
      </c>
      <c r="C10548" s="3" t="s">
        <v>4</v>
      </c>
    </row>
    <row r="10549">
      <c r="A10549" s="3">
        <v>2875.0</v>
      </c>
      <c r="B10549" s="4">
        <v>45450.6280787037</v>
      </c>
      <c r="C10549" s="3" t="s">
        <v>6</v>
      </c>
    </row>
    <row r="10550">
      <c r="A10550" s="3">
        <v>5459.0</v>
      </c>
      <c r="B10550" s="4">
        <v>45450.642604166664</v>
      </c>
      <c r="C10550" s="3" t="s">
        <v>3</v>
      </c>
    </row>
    <row r="10551">
      <c r="A10551" s="3">
        <v>6140.0</v>
      </c>
      <c r="B10551" s="4">
        <v>45450.654490740744</v>
      </c>
      <c r="C10551" s="3" t="s">
        <v>4</v>
      </c>
    </row>
    <row r="10552">
      <c r="A10552" s="3">
        <v>7816.0</v>
      </c>
      <c r="B10552" s="4">
        <v>45450.65541666667</v>
      </c>
      <c r="C10552" s="3" t="s">
        <v>3</v>
      </c>
    </row>
    <row r="10553">
      <c r="A10553" s="3">
        <v>602.0</v>
      </c>
      <c r="B10553" s="4">
        <v>45450.662083333336</v>
      </c>
      <c r="C10553" s="3" t="s">
        <v>6</v>
      </c>
    </row>
    <row r="10554">
      <c r="A10554" s="3">
        <v>6869.0</v>
      </c>
      <c r="B10554" s="4">
        <v>45450.66412037037</v>
      </c>
      <c r="C10554" s="3" t="s">
        <v>3</v>
      </c>
    </row>
    <row r="10555">
      <c r="A10555" s="3">
        <v>2322.0</v>
      </c>
      <c r="B10555" s="4">
        <v>45450.66695601852</v>
      </c>
      <c r="C10555" s="3" t="s">
        <v>3</v>
      </c>
    </row>
    <row r="10556">
      <c r="A10556" s="3">
        <v>7733.0</v>
      </c>
      <c r="B10556" s="4">
        <v>45450.67767361111</v>
      </c>
      <c r="C10556" s="3" t="s">
        <v>4</v>
      </c>
    </row>
    <row r="10557">
      <c r="A10557" s="3">
        <v>2942.0</v>
      </c>
      <c r="B10557" s="4">
        <v>45450.68434027778</v>
      </c>
      <c r="C10557" s="3" t="s">
        <v>5</v>
      </c>
    </row>
    <row r="10558">
      <c r="A10558" s="3">
        <v>4402.0</v>
      </c>
      <c r="B10558" s="4">
        <v>45450.72090277778</v>
      </c>
      <c r="C10558" s="3" t="s">
        <v>4</v>
      </c>
    </row>
    <row r="10559">
      <c r="A10559" s="3">
        <v>5431.0</v>
      </c>
      <c r="B10559" s="4">
        <v>45450.724699074075</v>
      </c>
      <c r="C10559" s="3" t="s">
        <v>3</v>
      </c>
    </row>
    <row r="10560">
      <c r="A10560" s="3">
        <v>648.0</v>
      </c>
      <c r="B10560" s="4">
        <v>45450.74511574074</v>
      </c>
      <c r="C10560" s="3" t="s">
        <v>6</v>
      </c>
    </row>
    <row r="10561">
      <c r="A10561" s="3">
        <v>2496.0</v>
      </c>
      <c r="B10561" s="4">
        <v>45450.74946759259</v>
      </c>
      <c r="C10561" s="3" t="s">
        <v>7</v>
      </c>
    </row>
    <row r="10562">
      <c r="A10562" s="3">
        <v>7279.0</v>
      </c>
      <c r="B10562" s="4">
        <v>45450.757268518515</v>
      </c>
      <c r="C10562" s="3" t="s">
        <v>3</v>
      </c>
    </row>
    <row r="10563">
      <c r="A10563" s="3">
        <v>5211.0</v>
      </c>
      <c r="B10563" s="4">
        <v>45450.820914351854</v>
      </c>
      <c r="C10563" s="3" t="s">
        <v>3</v>
      </c>
    </row>
    <row r="10564">
      <c r="A10564" s="3">
        <v>2670.0</v>
      </c>
      <c r="B10564" s="4">
        <v>45450.84829861111</v>
      </c>
      <c r="C10564" s="3" t="s">
        <v>5</v>
      </c>
    </row>
    <row r="10565">
      <c r="A10565" s="3">
        <v>94.0</v>
      </c>
      <c r="B10565" s="4">
        <v>45450.871712962966</v>
      </c>
      <c r="C10565" s="3" t="s">
        <v>3</v>
      </c>
    </row>
    <row r="10566">
      <c r="A10566" s="3">
        <v>4402.0</v>
      </c>
      <c r="B10566" s="4">
        <v>45450.88407407407</v>
      </c>
      <c r="C10566" s="3" t="s">
        <v>3</v>
      </c>
    </row>
    <row r="10567">
      <c r="A10567" s="3">
        <v>2116.0</v>
      </c>
      <c r="B10567" s="4">
        <v>45450.892604166664</v>
      </c>
      <c r="C10567" s="3" t="s">
        <v>4</v>
      </c>
    </row>
    <row r="10568">
      <c r="A10568" s="3">
        <v>7398.0</v>
      </c>
      <c r="B10568" s="4">
        <v>45450.89912037037</v>
      </c>
      <c r="C10568" s="3" t="s">
        <v>4</v>
      </c>
    </row>
    <row r="10569">
      <c r="A10569" s="3">
        <v>3332.0</v>
      </c>
      <c r="B10569" s="4">
        <v>45450.918171296296</v>
      </c>
      <c r="C10569" s="3" t="s">
        <v>3</v>
      </c>
    </row>
    <row r="10570">
      <c r="A10570" s="3">
        <v>2862.0</v>
      </c>
      <c r="B10570" s="4">
        <v>45450.933217592596</v>
      </c>
      <c r="C10570" s="3" t="s">
        <v>4</v>
      </c>
    </row>
    <row r="10571">
      <c r="A10571" s="3">
        <v>4781.0</v>
      </c>
      <c r="B10571" s="4">
        <v>45450.9521875</v>
      </c>
      <c r="C10571" s="3" t="s">
        <v>3</v>
      </c>
    </row>
    <row r="10572">
      <c r="A10572" s="3">
        <v>3739.0</v>
      </c>
      <c r="B10572" s="4">
        <v>45450.98469907408</v>
      </c>
      <c r="C10572" s="3" t="s">
        <v>4</v>
      </c>
    </row>
    <row r="10573">
      <c r="A10573" s="3">
        <v>3878.0</v>
      </c>
      <c r="B10573" s="4">
        <v>45450.98574074074</v>
      </c>
      <c r="C10573" s="3" t="s">
        <v>5</v>
      </c>
    </row>
    <row r="10574">
      <c r="A10574" s="3">
        <v>6966.0</v>
      </c>
      <c r="B10574" s="4">
        <v>45451.00675925926</v>
      </c>
      <c r="C10574" s="3" t="s">
        <v>3</v>
      </c>
    </row>
    <row r="10575">
      <c r="A10575" s="3">
        <v>96.0</v>
      </c>
      <c r="B10575" s="4">
        <v>45451.02583333333</v>
      </c>
      <c r="C10575" s="3" t="s">
        <v>3</v>
      </c>
    </row>
    <row r="10576">
      <c r="A10576" s="3">
        <v>2496.0</v>
      </c>
      <c r="B10576" s="4">
        <v>45451.04796296296</v>
      </c>
      <c r="C10576" s="3" t="s">
        <v>4</v>
      </c>
    </row>
    <row r="10577">
      <c r="A10577" s="3">
        <v>3612.0</v>
      </c>
      <c r="B10577" s="4">
        <v>45451.0525</v>
      </c>
      <c r="C10577" s="3" t="s">
        <v>5</v>
      </c>
    </row>
    <row r="10578">
      <c r="A10578" s="3">
        <v>198.0</v>
      </c>
      <c r="B10578" s="4">
        <v>45451.05878472222</v>
      </c>
      <c r="C10578" s="3" t="s">
        <v>3</v>
      </c>
    </row>
    <row r="10579">
      <c r="A10579" s="3">
        <v>4418.0</v>
      </c>
      <c r="B10579" s="4">
        <v>45451.07324074074</v>
      </c>
      <c r="C10579" s="3" t="s">
        <v>3</v>
      </c>
    </row>
    <row r="10580">
      <c r="A10580" s="3">
        <v>2025.0</v>
      </c>
      <c r="B10580" s="4">
        <v>45451.07648148148</v>
      </c>
      <c r="C10580" s="3" t="s">
        <v>4</v>
      </c>
    </row>
    <row r="10581">
      <c r="A10581" s="3">
        <v>5441.0</v>
      </c>
      <c r="B10581" s="4">
        <v>45451.08090277778</v>
      </c>
      <c r="C10581" s="3" t="s">
        <v>7</v>
      </c>
    </row>
    <row r="10582">
      <c r="A10582" s="3">
        <v>7531.0</v>
      </c>
      <c r="B10582" s="4">
        <v>45451.0940625</v>
      </c>
      <c r="C10582" s="3" t="s">
        <v>4</v>
      </c>
    </row>
    <row r="10583">
      <c r="A10583" s="3">
        <v>6214.0</v>
      </c>
      <c r="B10583" s="4">
        <v>45451.095983796295</v>
      </c>
      <c r="C10583" s="3" t="s">
        <v>3</v>
      </c>
    </row>
    <row r="10584">
      <c r="A10584" s="3">
        <v>5211.0</v>
      </c>
      <c r="B10584" s="4">
        <v>45451.11619212963</v>
      </c>
      <c r="C10584" s="3" t="s">
        <v>5</v>
      </c>
    </row>
    <row r="10585">
      <c r="A10585" s="3">
        <v>3045.0</v>
      </c>
      <c r="B10585" s="4">
        <v>45451.120625</v>
      </c>
      <c r="C10585" s="3" t="s">
        <v>4</v>
      </c>
    </row>
    <row r="10586">
      <c r="A10586" s="3">
        <v>3146.0</v>
      </c>
      <c r="B10586" s="4">
        <v>45451.12912037037</v>
      </c>
      <c r="C10586" s="3" t="s">
        <v>4</v>
      </c>
    </row>
    <row r="10587">
      <c r="A10587" s="3">
        <v>5428.0</v>
      </c>
      <c r="B10587" s="4">
        <v>45451.13155092593</v>
      </c>
      <c r="C10587" s="3" t="s">
        <v>3</v>
      </c>
    </row>
    <row r="10588">
      <c r="A10588" s="3">
        <v>6214.0</v>
      </c>
      <c r="B10588" s="4">
        <v>45451.156006944446</v>
      </c>
      <c r="C10588" s="3" t="s">
        <v>4</v>
      </c>
    </row>
    <row r="10589">
      <c r="A10589" s="3">
        <v>7398.0</v>
      </c>
      <c r="B10589" s="4">
        <v>45451.19608796296</v>
      </c>
      <c r="C10589" s="3" t="s">
        <v>5</v>
      </c>
    </row>
    <row r="10590">
      <c r="A10590" s="3">
        <v>5889.0</v>
      </c>
      <c r="B10590" s="4">
        <v>45451.198113425926</v>
      </c>
      <c r="C10590" s="3" t="s">
        <v>3</v>
      </c>
    </row>
    <row r="10591">
      <c r="A10591" s="3">
        <v>6696.0</v>
      </c>
      <c r="B10591" s="4">
        <v>45451.20140046296</v>
      </c>
      <c r="C10591" s="3" t="s">
        <v>4</v>
      </c>
    </row>
    <row r="10592">
      <c r="A10592" s="3">
        <v>304.0</v>
      </c>
      <c r="B10592" s="4">
        <v>45451.21005787037</v>
      </c>
      <c r="C10592" s="3" t="s">
        <v>6</v>
      </c>
    </row>
    <row r="10593">
      <c r="A10593" s="3">
        <v>5619.0</v>
      </c>
      <c r="B10593" s="4">
        <v>45451.21377314815</v>
      </c>
      <c r="C10593" s="3" t="s">
        <v>4</v>
      </c>
    </row>
    <row r="10594">
      <c r="A10594" s="3">
        <v>1886.0</v>
      </c>
      <c r="B10594" s="4">
        <v>45451.2328125</v>
      </c>
      <c r="C10594" s="3" t="s">
        <v>4</v>
      </c>
    </row>
    <row r="10595">
      <c r="A10595" s="3">
        <v>1221.0</v>
      </c>
      <c r="B10595" s="4">
        <v>45451.23768518519</v>
      </c>
      <c r="C10595" s="3" t="s">
        <v>3</v>
      </c>
    </row>
    <row r="10596">
      <c r="A10596" s="3">
        <v>2329.0</v>
      </c>
      <c r="B10596" s="4">
        <v>45451.23840277778</v>
      </c>
      <c r="C10596" s="3" t="s">
        <v>4</v>
      </c>
    </row>
    <row r="10597">
      <c r="A10597" s="3">
        <v>1739.0</v>
      </c>
      <c r="B10597" s="4">
        <v>45451.24548611111</v>
      </c>
      <c r="C10597" s="3" t="s">
        <v>3</v>
      </c>
    </row>
    <row r="10598">
      <c r="A10598" s="3">
        <v>2165.0</v>
      </c>
      <c r="B10598" s="4">
        <v>45451.26621527778</v>
      </c>
      <c r="C10598" s="3" t="s">
        <v>7</v>
      </c>
    </row>
    <row r="10599">
      <c r="A10599" s="3">
        <v>6966.0</v>
      </c>
      <c r="B10599" s="4">
        <v>45451.27575231482</v>
      </c>
      <c r="C10599" s="3" t="s">
        <v>4</v>
      </c>
    </row>
    <row r="10600">
      <c r="A10600" s="3">
        <v>3476.0</v>
      </c>
      <c r="B10600" s="4">
        <v>45451.30706018519</v>
      </c>
      <c r="C10600" s="3" t="s">
        <v>4</v>
      </c>
    </row>
    <row r="10601">
      <c r="A10601" s="3">
        <v>3516.0</v>
      </c>
      <c r="B10601" s="4">
        <v>45451.30771990741</v>
      </c>
      <c r="C10601" s="3" t="s">
        <v>4</v>
      </c>
    </row>
    <row r="10602">
      <c r="A10602" s="3">
        <v>2284.0</v>
      </c>
      <c r="B10602" s="4">
        <v>45451.31995370371</v>
      </c>
      <c r="C10602" s="3" t="s">
        <v>3</v>
      </c>
    </row>
    <row r="10603">
      <c r="A10603" s="3">
        <v>2258.0</v>
      </c>
      <c r="B10603" s="4">
        <v>45451.33482638889</v>
      </c>
      <c r="C10603" s="3" t="s">
        <v>4</v>
      </c>
    </row>
    <row r="10604">
      <c r="A10604" s="3">
        <v>3615.0</v>
      </c>
      <c r="B10604" s="4">
        <v>45451.33888888889</v>
      </c>
      <c r="C10604" s="3" t="s">
        <v>6</v>
      </c>
    </row>
    <row r="10605">
      <c r="A10605" s="3">
        <v>3405.0</v>
      </c>
      <c r="B10605" s="4">
        <v>45451.34446759259</v>
      </c>
      <c r="C10605" s="3" t="s">
        <v>4</v>
      </c>
    </row>
    <row r="10606">
      <c r="A10606" s="3">
        <v>7559.0</v>
      </c>
      <c r="B10606" s="4">
        <v>45451.36393518518</v>
      </c>
      <c r="C10606" s="3" t="s">
        <v>3</v>
      </c>
    </row>
    <row r="10607">
      <c r="A10607" s="3">
        <v>7531.0</v>
      </c>
      <c r="B10607" s="4">
        <v>45451.366319444445</v>
      </c>
      <c r="C10607" s="3" t="s">
        <v>5</v>
      </c>
    </row>
    <row r="10608">
      <c r="A10608" s="3">
        <v>6158.0</v>
      </c>
      <c r="B10608" s="4">
        <v>45451.37085648148</v>
      </c>
      <c r="C10608" s="3" t="s">
        <v>3</v>
      </c>
    </row>
    <row r="10609">
      <c r="A10609" s="3">
        <v>555.0</v>
      </c>
      <c r="B10609" s="4">
        <v>45451.42138888889</v>
      </c>
      <c r="C10609" s="3" t="s">
        <v>5</v>
      </c>
    </row>
    <row r="10610">
      <c r="A10610" s="3">
        <v>3720.0</v>
      </c>
      <c r="B10610" s="4">
        <v>45451.423472222225</v>
      </c>
      <c r="C10610" s="3" t="s">
        <v>3</v>
      </c>
    </row>
    <row r="10611">
      <c r="A10611" s="3">
        <v>6318.0</v>
      </c>
      <c r="B10611" s="4">
        <v>45451.42741898148</v>
      </c>
      <c r="C10611" s="3" t="s">
        <v>6</v>
      </c>
    </row>
    <row r="10612">
      <c r="A10612" s="3">
        <v>6158.0</v>
      </c>
      <c r="B10612" s="4">
        <v>45451.435590277775</v>
      </c>
      <c r="C10612" s="3" t="s">
        <v>4</v>
      </c>
    </row>
    <row r="10613">
      <c r="A10613" s="3">
        <v>3146.0</v>
      </c>
      <c r="B10613" s="4">
        <v>45451.48846064815</v>
      </c>
      <c r="C10613" s="3" t="s">
        <v>6</v>
      </c>
    </row>
    <row r="10614">
      <c r="A10614" s="3">
        <v>2091.0</v>
      </c>
      <c r="B10614" s="4">
        <v>45451.4891087963</v>
      </c>
      <c r="C10614" s="3" t="s">
        <v>3</v>
      </c>
    </row>
    <row r="10615">
      <c r="A10615" s="3">
        <v>7163.0</v>
      </c>
      <c r="B10615" s="4">
        <v>45451.5128125</v>
      </c>
      <c r="C10615" s="3" t="s">
        <v>3</v>
      </c>
    </row>
    <row r="10616">
      <c r="A10616" s="3">
        <v>7531.0</v>
      </c>
      <c r="B10616" s="4">
        <v>45451.514444444445</v>
      </c>
      <c r="C10616" s="3" t="s">
        <v>3</v>
      </c>
    </row>
    <row r="10617">
      <c r="A10617" s="3">
        <v>3405.0</v>
      </c>
      <c r="B10617" s="4">
        <v>45451.5337037037</v>
      </c>
      <c r="C10617" s="3" t="s">
        <v>3</v>
      </c>
    </row>
    <row r="10618">
      <c r="A10618" s="3">
        <v>1946.0</v>
      </c>
      <c r="B10618" s="4">
        <v>45451.537256944444</v>
      </c>
      <c r="C10618" s="3" t="s">
        <v>4</v>
      </c>
    </row>
    <row r="10619">
      <c r="A10619" s="3">
        <v>5814.0</v>
      </c>
      <c r="B10619" s="4">
        <v>45451.56212962963</v>
      </c>
      <c r="C10619" s="3" t="s">
        <v>4</v>
      </c>
    </row>
    <row r="10620">
      <c r="A10620" s="3">
        <v>2116.0</v>
      </c>
      <c r="B10620" s="4">
        <v>45451.60021990741</v>
      </c>
      <c r="C10620" s="3" t="s">
        <v>6</v>
      </c>
    </row>
    <row r="10621">
      <c r="A10621" s="3">
        <v>4114.0</v>
      </c>
      <c r="B10621" s="4">
        <v>45451.615115740744</v>
      </c>
      <c r="C10621" s="3" t="s">
        <v>3</v>
      </c>
    </row>
    <row r="10622">
      <c r="A10622" s="3">
        <v>1504.0</v>
      </c>
      <c r="B10622" s="4">
        <v>45451.62527777778</v>
      </c>
      <c r="C10622" s="3" t="s">
        <v>3</v>
      </c>
    </row>
    <row r="10623">
      <c r="A10623" s="3">
        <v>3952.0</v>
      </c>
      <c r="B10623" s="4">
        <v>45451.64503472222</v>
      </c>
      <c r="C10623" s="3" t="s">
        <v>4</v>
      </c>
    </row>
    <row r="10624">
      <c r="A10624" s="3">
        <v>5540.0</v>
      </c>
      <c r="B10624" s="4">
        <v>45451.65100694444</v>
      </c>
      <c r="C10624" s="3" t="s">
        <v>3</v>
      </c>
    </row>
    <row r="10625">
      <c r="A10625" s="3">
        <v>1523.0</v>
      </c>
      <c r="B10625" s="4">
        <v>45451.663981481484</v>
      </c>
      <c r="C10625" s="3" t="s">
        <v>4</v>
      </c>
    </row>
    <row r="10626">
      <c r="A10626" s="3">
        <v>3045.0</v>
      </c>
      <c r="B10626" s="4">
        <v>45451.675462962965</v>
      </c>
      <c r="C10626" s="3" t="s">
        <v>5</v>
      </c>
    </row>
    <row r="10627">
      <c r="A10627" s="3">
        <v>7696.0</v>
      </c>
      <c r="B10627" s="4">
        <v>45451.68204861111</v>
      </c>
      <c r="C10627" s="3" t="s">
        <v>6</v>
      </c>
    </row>
    <row r="10628">
      <c r="A10628" s="3">
        <v>6422.0</v>
      </c>
      <c r="B10628" s="4">
        <v>45451.69577546296</v>
      </c>
      <c r="C10628" s="3" t="s">
        <v>5</v>
      </c>
    </row>
    <row r="10629">
      <c r="A10629" s="3">
        <v>3952.0</v>
      </c>
      <c r="B10629" s="4">
        <v>45451.707233796296</v>
      </c>
      <c r="C10629" s="3" t="s">
        <v>3</v>
      </c>
    </row>
    <row r="10630">
      <c r="A10630" s="3">
        <v>7872.0</v>
      </c>
      <c r="B10630" s="4">
        <v>45451.723958333336</v>
      </c>
      <c r="C10630" s="3" t="s">
        <v>6</v>
      </c>
    </row>
    <row r="10631">
      <c r="A10631" s="3">
        <v>1373.0</v>
      </c>
      <c r="B10631" s="4">
        <v>45451.72928240741</v>
      </c>
      <c r="C10631" s="3" t="s">
        <v>3</v>
      </c>
    </row>
    <row r="10632">
      <c r="A10632" s="3">
        <v>3045.0</v>
      </c>
      <c r="B10632" s="4">
        <v>45451.73914351852</v>
      </c>
      <c r="C10632" s="3" t="s">
        <v>3</v>
      </c>
    </row>
    <row r="10633">
      <c r="A10633" s="3">
        <v>1946.0</v>
      </c>
      <c r="B10633" s="4">
        <v>45451.742476851854</v>
      </c>
      <c r="C10633" s="3" t="s">
        <v>6</v>
      </c>
    </row>
    <row r="10634">
      <c r="A10634" s="3">
        <v>6422.0</v>
      </c>
      <c r="B10634" s="4">
        <v>45451.75181712963</v>
      </c>
      <c r="C10634" s="3" t="s">
        <v>3</v>
      </c>
    </row>
    <row r="10635">
      <c r="A10635" s="3">
        <v>168.0</v>
      </c>
      <c r="B10635" s="4">
        <v>45451.7703125</v>
      </c>
      <c r="C10635" s="3" t="s">
        <v>7</v>
      </c>
    </row>
    <row r="10636">
      <c r="A10636" s="3">
        <v>5814.0</v>
      </c>
      <c r="B10636" s="4">
        <v>45451.77322916667</v>
      </c>
      <c r="C10636" s="3" t="s">
        <v>3</v>
      </c>
    </row>
    <row r="10637">
      <c r="A10637" s="3">
        <v>6694.0</v>
      </c>
      <c r="B10637" s="4">
        <v>45451.818703703706</v>
      </c>
      <c r="C10637" s="3" t="s">
        <v>6</v>
      </c>
    </row>
    <row r="10638">
      <c r="A10638" s="3">
        <v>7285.0</v>
      </c>
      <c r="B10638" s="4">
        <v>45451.819699074076</v>
      </c>
      <c r="C10638" s="3" t="s">
        <v>6</v>
      </c>
    </row>
    <row r="10639">
      <c r="A10639" s="3">
        <v>2380.0</v>
      </c>
      <c r="B10639" s="4">
        <v>45451.83652777778</v>
      </c>
      <c r="C10639" s="3" t="s">
        <v>3</v>
      </c>
    </row>
    <row r="10640">
      <c r="A10640" s="3">
        <v>6739.0</v>
      </c>
      <c r="B10640" s="4">
        <v>45451.85396990741</v>
      </c>
      <c r="C10640" s="3" t="s">
        <v>3</v>
      </c>
    </row>
    <row r="10641">
      <c r="A10641" s="3">
        <v>5810.0</v>
      </c>
      <c r="B10641" s="4">
        <v>45451.89193287037</v>
      </c>
      <c r="C10641" s="3" t="s">
        <v>3</v>
      </c>
    </row>
    <row r="10642">
      <c r="A10642" s="3">
        <v>4994.0</v>
      </c>
      <c r="B10642" s="4">
        <v>45451.896782407406</v>
      </c>
      <c r="C10642" s="3" t="s">
        <v>6</v>
      </c>
    </row>
    <row r="10643">
      <c r="A10643" s="3">
        <v>3516.0</v>
      </c>
      <c r="B10643" s="4">
        <v>45451.91259259259</v>
      </c>
      <c r="C10643" s="3" t="s">
        <v>5</v>
      </c>
    </row>
    <row r="10644">
      <c r="A10644" s="3">
        <v>6688.0</v>
      </c>
      <c r="B10644" s="4">
        <v>45451.925578703704</v>
      </c>
      <c r="C10644" s="3" t="s">
        <v>4</v>
      </c>
    </row>
    <row r="10645">
      <c r="A10645" s="3">
        <v>2699.0</v>
      </c>
      <c r="B10645" s="4">
        <v>45451.92628472222</v>
      </c>
      <c r="C10645" s="3" t="s">
        <v>3</v>
      </c>
    </row>
    <row r="10646">
      <c r="A10646" s="3">
        <v>1459.0</v>
      </c>
      <c r="B10646" s="4">
        <v>45451.92765046296</v>
      </c>
      <c r="C10646" s="3" t="s">
        <v>3</v>
      </c>
    </row>
    <row r="10647">
      <c r="A10647" s="3">
        <v>3549.0</v>
      </c>
      <c r="B10647" s="4">
        <v>45451.92990740741</v>
      </c>
      <c r="C10647" s="3" t="s">
        <v>4</v>
      </c>
    </row>
    <row r="10648">
      <c r="A10648" s="3">
        <v>3612.0</v>
      </c>
      <c r="B10648" s="4">
        <v>45452.00546296296</v>
      </c>
      <c r="C10648" s="3" t="s">
        <v>6</v>
      </c>
    </row>
    <row r="10649">
      <c r="A10649" s="3">
        <v>2329.0</v>
      </c>
      <c r="B10649" s="4">
        <v>45452.01391203704</v>
      </c>
      <c r="C10649" s="3" t="s">
        <v>6</v>
      </c>
    </row>
    <row r="10650">
      <c r="A10650" s="3">
        <v>7531.0</v>
      </c>
      <c r="B10650" s="4">
        <v>45452.02658564815</v>
      </c>
      <c r="C10650" s="3" t="s">
        <v>7</v>
      </c>
    </row>
    <row r="10651">
      <c r="A10651" s="3">
        <v>2385.0</v>
      </c>
      <c r="B10651" s="4">
        <v>45452.057118055556</v>
      </c>
      <c r="C10651" s="3" t="s">
        <v>3</v>
      </c>
    </row>
    <row r="10652">
      <c r="A10652" s="3">
        <v>2091.0</v>
      </c>
      <c r="B10652" s="4">
        <v>45452.06270833333</v>
      </c>
      <c r="C10652" s="3" t="s">
        <v>4</v>
      </c>
    </row>
    <row r="10653">
      <c r="A10653" s="3">
        <v>3911.0</v>
      </c>
      <c r="B10653" s="4">
        <v>45452.09872685185</v>
      </c>
      <c r="C10653" s="3" t="s">
        <v>3</v>
      </c>
    </row>
    <row r="10654">
      <c r="A10654" s="3">
        <v>6211.0</v>
      </c>
      <c r="B10654" s="4">
        <v>45452.10461805556</v>
      </c>
      <c r="C10654" s="3" t="s">
        <v>5</v>
      </c>
    </row>
    <row r="10655">
      <c r="A10655" s="3">
        <v>4051.0</v>
      </c>
      <c r="B10655" s="4">
        <v>45452.10690972222</v>
      </c>
      <c r="C10655" s="3" t="s">
        <v>3</v>
      </c>
    </row>
    <row r="10656">
      <c r="A10656" s="3">
        <v>3476.0</v>
      </c>
      <c r="B10656" s="4">
        <v>45452.129745370374</v>
      </c>
      <c r="C10656" s="3" t="s">
        <v>6</v>
      </c>
    </row>
    <row r="10657">
      <c r="A10657" s="3">
        <v>2329.0</v>
      </c>
      <c r="B10657" s="4">
        <v>45452.13107638889</v>
      </c>
      <c r="C10657" s="3" t="s">
        <v>5</v>
      </c>
    </row>
    <row r="10658">
      <c r="A10658" s="3">
        <v>6688.0</v>
      </c>
      <c r="B10658" s="4">
        <v>45452.14378472222</v>
      </c>
      <c r="C10658" s="3" t="s">
        <v>5</v>
      </c>
    </row>
    <row r="10659">
      <c r="A10659" s="3">
        <v>6324.0</v>
      </c>
      <c r="B10659" s="4">
        <v>45452.15524305555</v>
      </c>
      <c r="C10659" s="3" t="s">
        <v>3</v>
      </c>
    </row>
    <row r="10660">
      <c r="A10660" s="3">
        <v>4473.0</v>
      </c>
      <c r="B10660" s="4">
        <v>45452.15866898148</v>
      </c>
      <c r="C10660" s="3" t="s">
        <v>3</v>
      </c>
    </row>
    <row r="10661">
      <c r="A10661" s="3">
        <v>3476.0</v>
      </c>
      <c r="B10661" s="4">
        <v>45452.16070601852</v>
      </c>
      <c r="C10661" s="3" t="s">
        <v>5</v>
      </c>
    </row>
    <row r="10662">
      <c r="A10662" s="3">
        <v>813.0</v>
      </c>
      <c r="B10662" s="4">
        <v>45452.16888888889</v>
      </c>
      <c r="C10662" s="3" t="s">
        <v>7</v>
      </c>
    </row>
    <row r="10663">
      <c r="A10663" s="3">
        <v>1551.0</v>
      </c>
      <c r="B10663" s="4">
        <v>45452.170486111114</v>
      </c>
      <c r="C10663" s="3" t="s">
        <v>3</v>
      </c>
    </row>
    <row r="10664">
      <c r="A10664" s="3">
        <v>143.0</v>
      </c>
      <c r="B10664" s="4">
        <v>45452.18195601852</v>
      </c>
      <c r="C10664" s="3" t="s">
        <v>3</v>
      </c>
    </row>
    <row r="10665">
      <c r="A10665" s="3">
        <v>1305.0</v>
      </c>
      <c r="B10665" s="4">
        <v>45452.19248842593</v>
      </c>
      <c r="C10665" s="3" t="s">
        <v>3</v>
      </c>
    </row>
    <row r="10666">
      <c r="A10666" s="3">
        <v>6723.0</v>
      </c>
      <c r="B10666" s="4">
        <v>45452.211539351854</v>
      </c>
      <c r="C10666" s="3" t="s">
        <v>4</v>
      </c>
    </row>
    <row r="10667">
      <c r="A10667" s="3">
        <v>3899.0</v>
      </c>
      <c r="B10667" s="4">
        <v>45452.22525462963</v>
      </c>
      <c r="C10667" s="3" t="s">
        <v>3</v>
      </c>
    </row>
    <row r="10668">
      <c r="A10668" s="3">
        <v>565.0</v>
      </c>
      <c r="B10668" s="4">
        <v>45452.23685185185</v>
      </c>
      <c r="C10668" s="3" t="s">
        <v>4</v>
      </c>
    </row>
    <row r="10669">
      <c r="A10669" s="3">
        <v>2179.0</v>
      </c>
      <c r="B10669" s="4">
        <v>45452.245787037034</v>
      </c>
      <c r="C10669" s="3" t="s">
        <v>3</v>
      </c>
    </row>
    <row r="10670">
      <c r="A10670" s="3">
        <v>5814.0</v>
      </c>
      <c r="B10670" s="4">
        <v>45452.24607638889</v>
      </c>
      <c r="C10670" s="3" t="s">
        <v>5</v>
      </c>
    </row>
    <row r="10671">
      <c r="A10671" s="3">
        <v>7958.0</v>
      </c>
      <c r="B10671" s="4">
        <v>45452.24618055556</v>
      </c>
      <c r="C10671" s="3" t="s">
        <v>4</v>
      </c>
    </row>
    <row r="10672">
      <c r="A10672" s="3">
        <v>7344.0</v>
      </c>
      <c r="B10672" s="4">
        <v>45452.25467592593</v>
      </c>
      <c r="C10672" s="3" t="s">
        <v>3</v>
      </c>
    </row>
    <row r="10673">
      <c r="A10673" s="3">
        <v>1624.0</v>
      </c>
      <c r="B10673" s="4">
        <v>45452.25934027778</v>
      </c>
      <c r="C10673" s="3" t="s">
        <v>3</v>
      </c>
    </row>
    <row r="10674">
      <c r="A10674" s="3">
        <v>1884.0</v>
      </c>
      <c r="B10674" s="4">
        <v>45452.271782407406</v>
      </c>
      <c r="C10674" s="3" t="s">
        <v>7</v>
      </c>
    </row>
    <row r="10675">
      <c r="A10675" s="3">
        <v>4353.0</v>
      </c>
      <c r="B10675" s="4">
        <v>45452.2833912037</v>
      </c>
      <c r="C10675" s="3" t="s">
        <v>7</v>
      </c>
    </row>
    <row r="10676">
      <c r="A10676" s="3">
        <v>4114.0</v>
      </c>
      <c r="B10676" s="4">
        <v>45452.28928240741</v>
      </c>
      <c r="C10676" s="3" t="s">
        <v>4</v>
      </c>
    </row>
    <row r="10677">
      <c r="A10677" s="3">
        <v>7279.0</v>
      </c>
      <c r="B10677" s="4">
        <v>45452.298842592594</v>
      </c>
      <c r="C10677" s="3" t="s">
        <v>4</v>
      </c>
    </row>
    <row r="10678">
      <c r="A10678" s="3">
        <v>640.0</v>
      </c>
      <c r="B10678" s="4">
        <v>45452.330613425926</v>
      </c>
      <c r="C10678" s="3" t="s">
        <v>4</v>
      </c>
    </row>
    <row r="10679">
      <c r="A10679" s="3">
        <v>134.0</v>
      </c>
      <c r="B10679" s="4">
        <v>45452.33319444444</v>
      </c>
      <c r="C10679" s="3" t="s">
        <v>3</v>
      </c>
    </row>
    <row r="10680">
      <c r="A10680" s="3">
        <v>5901.0</v>
      </c>
      <c r="B10680" s="4">
        <v>45452.336909722224</v>
      </c>
      <c r="C10680" s="3" t="s">
        <v>3</v>
      </c>
    </row>
    <row r="10681">
      <c r="A10681" s="3">
        <v>5426.0</v>
      </c>
      <c r="B10681" s="4">
        <v>45452.36990740741</v>
      </c>
      <c r="C10681" s="3" t="s">
        <v>6</v>
      </c>
    </row>
    <row r="10682">
      <c r="A10682" s="3">
        <v>3608.0</v>
      </c>
      <c r="B10682" s="4">
        <v>45452.39577546297</v>
      </c>
      <c r="C10682" s="3" t="s">
        <v>3</v>
      </c>
    </row>
    <row r="10683">
      <c r="A10683" s="3">
        <v>1446.0</v>
      </c>
      <c r="B10683" s="4">
        <v>45452.40043981482</v>
      </c>
      <c r="C10683" s="3" t="s">
        <v>3</v>
      </c>
    </row>
    <row r="10684">
      <c r="A10684" s="3">
        <v>96.0</v>
      </c>
      <c r="B10684" s="4">
        <v>45452.434652777774</v>
      </c>
      <c r="C10684" s="3" t="s">
        <v>6</v>
      </c>
    </row>
    <row r="10685">
      <c r="A10685" s="3">
        <v>5459.0</v>
      </c>
      <c r="B10685" s="4">
        <v>45452.43510416667</v>
      </c>
      <c r="C10685" s="3" t="s">
        <v>5</v>
      </c>
    </row>
    <row r="10686">
      <c r="A10686" s="3">
        <v>4072.0</v>
      </c>
      <c r="B10686" s="4">
        <v>45452.50189814815</v>
      </c>
      <c r="C10686" s="3" t="s">
        <v>4</v>
      </c>
    </row>
    <row r="10687">
      <c r="A10687" s="3">
        <v>6728.0</v>
      </c>
      <c r="B10687" s="4">
        <v>45452.526979166665</v>
      </c>
      <c r="C10687" s="3" t="s">
        <v>3</v>
      </c>
    </row>
    <row r="10688">
      <c r="A10688" s="3">
        <v>1551.0</v>
      </c>
      <c r="B10688" s="4">
        <v>45452.535520833335</v>
      </c>
      <c r="C10688" s="3" t="s">
        <v>5</v>
      </c>
    </row>
    <row r="10689">
      <c r="A10689" s="3">
        <v>5966.0</v>
      </c>
      <c r="B10689" s="4">
        <v>45452.543032407404</v>
      </c>
      <c r="C10689" s="3" t="s">
        <v>7</v>
      </c>
    </row>
    <row r="10690">
      <c r="A10690" s="3">
        <v>4948.0</v>
      </c>
      <c r="B10690" s="4">
        <v>45452.547800925924</v>
      </c>
      <c r="C10690" s="3" t="s">
        <v>3</v>
      </c>
    </row>
    <row r="10691">
      <c r="A10691" s="3">
        <v>643.0</v>
      </c>
      <c r="B10691" s="4">
        <v>45452.55385416667</v>
      </c>
      <c r="C10691" s="3" t="s">
        <v>7</v>
      </c>
    </row>
    <row r="10692">
      <c r="A10692" s="3">
        <v>4114.0</v>
      </c>
      <c r="B10692" s="4">
        <v>45452.558287037034</v>
      </c>
      <c r="C10692" s="3" t="s">
        <v>7</v>
      </c>
    </row>
    <row r="10693">
      <c r="A10693" s="3">
        <v>4770.0</v>
      </c>
      <c r="B10693" s="4">
        <v>45452.577060185184</v>
      </c>
      <c r="C10693" s="3" t="s">
        <v>4</v>
      </c>
    </row>
    <row r="10694">
      <c r="A10694" s="3">
        <v>1373.0</v>
      </c>
      <c r="B10694" s="4">
        <v>45452.58631944445</v>
      </c>
      <c r="C10694" s="3" t="s">
        <v>5</v>
      </c>
    </row>
    <row r="10695">
      <c r="A10695" s="3">
        <v>5211.0</v>
      </c>
      <c r="B10695" s="4">
        <v>45452.58657407408</v>
      </c>
      <c r="C10695" s="3" t="s">
        <v>7</v>
      </c>
    </row>
    <row r="10696">
      <c r="A10696" s="3">
        <v>2496.0</v>
      </c>
      <c r="B10696" s="4">
        <v>45452.59185185185</v>
      </c>
      <c r="C10696" s="3" t="s">
        <v>5</v>
      </c>
    </row>
    <row r="10697">
      <c r="A10697" s="3">
        <v>6077.0</v>
      </c>
      <c r="B10697" s="4">
        <v>45452.598761574074</v>
      </c>
      <c r="C10697" s="3" t="s">
        <v>7</v>
      </c>
    </row>
    <row r="10698">
      <c r="A10698" s="3">
        <v>4114.0</v>
      </c>
      <c r="B10698" s="4">
        <v>45452.60283564815</v>
      </c>
      <c r="C10698" s="3" t="s">
        <v>5</v>
      </c>
    </row>
    <row r="10699">
      <c r="A10699" s="3">
        <v>6271.0</v>
      </c>
      <c r="B10699" s="4">
        <v>45452.60649305556</v>
      </c>
      <c r="C10699" s="3" t="s">
        <v>3</v>
      </c>
    </row>
    <row r="10700">
      <c r="A10700" s="3">
        <v>6728.0</v>
      </c>
      <c r="B10700" s="4">
        <v>45452.63298611111</v>
      </c>
      <c r="C10700" s="3" t="s">
        <v>4</v>
      </c>
    </row>
    <row r="10701">
      <c r="A10701" s="3">
        <v>358.0</v>
      </c>
      <c r="B10701" s="4">
        <v>45452.64166666667</v>
      </c>
      <c r="C10701" s="3" t="s">
        <v>3</v>
      </c>
    </row>
    <row r="10702">
      <c r="A10702" s="3">
        <v>1373.0</v>
      </c>
      <c r="B10702" s="4">
        <v>45452.64611111111</v>
      </c>
      <c r="C10702" s="3" t="s">
        <v>4</v>
      </c>
    </row>
    <row r="10703">
      <c r="A10703" s="3">
        <v>1292.0</v>
      </c>
      <c r="B10703" s="4">
        <v>45452.672002314815</v>
      </c>
      <c r="C10703" s="3" t="s">
        <v>3</v>
      </c>
    </row>
    <row r="10704">
      <c r="A10704" s="3">
        <v>7163.0</v>
      </c>
      <c r="B10704" s="4">
        <v>45452.71313657407</v>
      </c>
      <c r="C10704" s="3" t="s">
        <v>6</v>
      </c>
    </row>
    <row r="10705">
      <c r="A10705" s="3">
        <v>1877.0</v>
      </c>
      <c r="B10705" s="4">
        <v>45452.72059027778</v>
      </c>
      <c r="C10705" s="3" t="s">
        <v>3</v>
      </c>
    </row>
    <row r="10706">
      <c r="A10706" s="3">
        <v>4297.0</v>
      </c>
      <c r="B10706" s="4">
        <v>45452.724270833336</v>
      </c>
      <c r="C10706" s="3" t="s">
        <v>7</v>
      </c>
    </row>
    <row r="10707">
      <c r="A10707" s="3">
        <v>1504.0</v>
      </c>
      <c r="B10707" s="4">
        <v>45452.732881944445</v>
      </c>
      <c r="C10707" s="3" t="s">
        <v>4</v>
      </c>
    </row>
    <row r="10708">
      <c r="A10708" s="3">
        <v>4535.0</v>
      </c>
      <c r="B10708" s="4">
        <v>45452.734444444446</v>
      </c>
      <c r="C10708" s="3" t="s">
        <v>3</v>
      </c>
    </row>
    <row r="10709">
      <c r="A10709" s="3">
        <v>7696.0</v>
      </c>
      <c r="B10709" s="4">
        <v>45452.75568287037</v>
      </c>
      <c r="C10709" s="3" t="s">
        <v>7</v>
      </c>
    </row>
    <row r="10710">
      <c r="A10710" s="3">
        <v>6056.0</v>
      </c>
      <c r="B10710" s="4">
        <v>45452.77342592592</v>
      </c>
      <c r="C10710" s="3" t="s">
        <v>3</v>
      </c>
    </row>
    <row r="10711">
      <c r="A10711" s="3">
        <v>5044.0</v>
      </c>
      <c r="B10711" s="4">
        <v>45452.7899537037</v>
      </c>
      <c r="C10711" s="3" t="s">
        <v>3</v>
      </c>
    </row>
    <row r="10712">
      <c r="A10712" s="3">
        <v>7163.0</v>
      </c>
      <c r="B10712" s="4">
        <v>45452.80856481481</v>
      </c>
      <c r="C10712" s="3" t="s">
        <v>4</v>
      </c>
    </row>
    <row r="10713">
      <c r="A10713" s="3">
        <v>2327.0</v>
      </c>
      <c r="B10713" s="4">
        <v>45452.8124537037</v>
      </c>
      <c r="C10713" s="3" t="s">
        <v>3</v>
      </c>
    </row>
    <row r="10714">
      <c r="A10714" s="3">
        <v>2116.0</v>
      </c>
      <c r="B10714" s="4">
        <v>45452.81428240741</v>
      </c>
      <c r="C10714" s="3" t="s">
        <v>5</v>
      </c>
    </row>
    <row r="10715">
      <c r="A10715" s="3">
        <v>1624.0</v>
      </c>
      <c r="B10715" s="4">
        <v>45452.82030092592</v>
      </c>
      <c r="C10715" s="3" t="s">
        <v>4</v>
      </c>
    </row>
    <row r="10716">
      <c r="A10716" s="3">
        <v>4381.0</v>
      </c>
      <c r="B10716" s="4">
        <v>45452.849027777775</v>
      </c>
      <c r="C10716" s="3" t="s">
        <v>3</v>
      </c>
    </row>
    <row r="10717">
      <c r="A10717" s="3">
        <v>820.0</v>
      </c>
      <c r="B10717" s="4">
        <v>45452.859768518516</v>
      </c>
      <c r="C10717" s="3" t="s">
        <v>3</v>
      </c>
    </row>
    <row r="10718">
      <c r="A10718" s="3">
        <v>6631.0</v>
      </c>
      <c r="B10718" s="4">
        <v>45452.88575231482</v>
      </c>
      <c r="C10718" s="3" t="s">
        <v>3</v>
      </c>
    </row>
    <row r="10719">
      <c r="A10719" s="3">
        <v>1373.0</v>
      </c>
      <c r="B10719" s="4">
        <v>45452.89503472222</v>
      </c>
      <c r="C10719" s="3" t="s">
        <v>7</v>
      </c>
    </row>
    <row r="10720">
      <c r="A10720" s="3">
        <v>119.0</v>
      </c>
      <c r="B10720" s="4">
        <v>45452.901458333334</v>
      </c>
      <c r="C10720" s="3" t="s">
        <v>7</v>
      </c>
    </row>
    <row r="10721">
      <c r="A10721" s="3">
        <v>4418.0</v>
      </c>
      <c r="B10721" s="4">
        <v>45452.90188657407</v>
      </c>
      <c r="C10721" s="3" t="s">
        <v>4</v>
      </c>
    </row>
    <row r="10722">
      <c r="A10722" s="3">
        <v>7398.0</v>
      </c>
      <c r="B10722" s="4">
        <v>45452.91664351852</v>
      </c>
      <c r="C10722" s="3" t="s">
        <v>6</v>
      </c>
    </row>
    <row r="10723">
      <c r="A10723" s="3">
        <v>6330.0</v>
      </c>
      <c r="B10723" s="4">
        <v>45452.92936342592</v>
      </c>
      <c r="C10723" s="3" t="s">
        <v>3</v>
      </c>
    </row>
    <row r="10724">
      <c r="A10724" s="3">
        <v>5739.0</v>
      </c>
      <c r="B10724" s="4">
        <v>45452.949594907404</v>
      </c>
      <c r="C10724" s="3" t="s">
        <v>4</v>
      </c>
    </row>
    <row r="10725">
      <c r="A10725" s="3">
        <v>7879.0</v>
      </c>
      <c r="B10725" s="4">
        <v>45452.95883101852</v>
      </c>
      <c r="C10725" s="3" t="s">
        <v>3</v>
      </c>
    </row>
    <row r="10726">
      <c r="A10726" s="3">
        <v>5431.0</v>
      </c>
      <c r="B10726" s="4">
        <v>45453.022256944445</v>
      </c>
      <c r="C10726" s="3" t="s">
        <v>7</v>
      </c>
    </row>
    <row r="10727">
      <c r="A10727" s="3">
        <v>3504.0</v>
      </c>
      <c r="B10727" s="4">
        <v>45453.025358796294</v>
      </c>
      <c r="C10727" s="3" t="s">
        <v>3</v>
      </c>
    </row>
    <row r="10728">
      <c r="A10728" s="3">
        <v>7733.0</v>
      </c>
      <c r="B10728" s="4">
        <v>45453.03971064815</v>
      </c>
      <c r="C10728" s="3" t="s">
        <v>7</v>
      </c>
    </row>
    <row r="10729">
      <c r="A10729" s="3">
        <v>7105.0</v>
      </c>
      <c r="B10729" s="4">
        <v>45453.07690972222</v>
      </c>
      <c r="C10729" s="3" t="s">
        <v>3</v>
      </c>
    </row>
    <row r="10730">
      <c r="A10730" s="3">
        <v>277.0</v>
      </c>
      <c r="B10730" s="4">
        <v>45453.104895833334</v>
      </c>
      <c r="C10730" s="3" t="s">
        <v>3</v>
      </c>
    </row>
    <row r="10731">
      <c r="A10731" s="3">
        <v>1499.0</v>
      </c>
      <c r="B10731" s="4">
        <v>45453.12086805556</v>
      </c>
      <c r="C10731" s="3" t="s">
        <v>4</v>
      </c>
    </row>
    <row r="10732">
      <c r="A10732" s="3">
        <v>4505.0</v>
      </c>
      <c r="B10732" s="4">
        <v>45453.12123842593</v>
      </c>
      <c r="C10732" s="3" t="s">
        <v>5</v>
      </c>
    </row>
    <row r="10733">
      <c r="A10733" s="3">
        <v>3899.0</v>
      </c>
      <c r="B10733" s="4">
        <v>45453.151087962964</v>
      </c>
      <c r="C10733" s="3" t="s">
        <v>4</v>
      </c>
    </row>
    <row r="10734">
      <c r="A10734" s="3">
        <v>3536.0</v>
      </c>
      <c r="B10734" s="4">
        <v>45453.17994212963</v>
      </c>
      <c r="C10734" s="3" t="s">
        <v>3</v>
      </c>
    </row>
    <row r="10735">
      <c r="A10735" s="3">
        <v>3911.0</v>
      </c>
      <c r="B10735" s="4">
        <v>45453.182962962965</v>
      </c>
      <c r="C10735" s="3" t="s">
        <v>5</v>
      </c>
    </row>
    <row r="10736">
      <c r="A10736" s="3">
        <v>4114.0</v>
      </c>
      <c r="B10736" s="4">
        <v>45453.194189814814</v>
      </c>
      <c r="C10736" s="3" t="s">
        <v>6</v>
      </c>
    </row>
    <row r="10737">
      <c r="A10737" s="3">
        <v>2284.0</v>
      </c>
      <c r="B10737" s="4">
        <v>45453.20162037037</v>
      </c>
      <c r="C10737" s="3" t="s">
        <v>4</v>
      </c>
    </row>
    <row r="10738">
      <c r="A10738" s="3">
        <v>6006.0</v>
      </c>
      <c r="B10738" s="4">
        <v>45453.234988425924</v>
      </c>
      <c r="C10738" s="3" t="s">
        <v>3</v>
      </c>
    </row>
    <row r="10739">
      <c r="A10739" s="3">
        <v>3878.0</v>
      </c>
      <c r="B10739" s="4">
        <v>45453.30194444444</v>
      </c>
      <c r="C10739" s="3" t="s">
        <v>6</v>
      </c>
    </row>
    <row r="10740">
      <c r="A10740" s="3">
        <v>7016.0</v>
      </c>
      <c r="B10740" s="4">
        <v>45453.30862268519</v>
      </c>
      <c r="C10740" s="3" t="s">
        <v>3</v>
      </c>
    </row>
    <row r="10741">
      <c r="A10741" s="3">
        <v>7279.0</v>
      </c>
      <c r="B10741" s="4">
        <v>45453.34546296296</v>
      </c>
      <c r="C10741" s="3" t="s">
        <v>6</v>
      </c>
    </row>
    <row r="10742">
      <c r="A10742" s="3">
        <v>277.0</v>
      </c>
      <c r="B10742" s="4">
        <v>45453.3672337963</v>
      </c>
      <c r="C10742" s="3" t="s">
        <v>4</v>
      </c>
    </row>
    <row r="10743">
      <c r="A10743" s="3">
        <v>168.0</v>
      </c>
      <c r="B10743" s="4">
        <v>45453.37179398148</v>
      </c>
      <c r="C10743" s="3" t="s">
        <v>5</v>
      </c>
    </row>
    <row r="10744">
      <c r="A10744" s="3">
        <v>6728.0</v>
      </c>
      <c r="B10744" s="4">
        <v>45453.398888888885</v>
      </c>
      <c r="C10744" s="3" t="s">
        <v>6</v>
      </c>
    </row>
    <row r="10745">
      <c r="A10745" s="3">
        <v>4864.0</v>
      </c>
      <c r="B10745" s="4">
        <v>45453.42744212963</v>
      </c>
      <c r="C10745" s="3" t="s">
        <v>3</v>
      </c>
    </row>
    <row r="10746">
      <c r="A10746" s="3">
        <v>5441.0</v>
      </c>
      <c r="B10746" s="4">
        <v>45453.466840277775</v>
      </c>
      <c r="C10746" s="3" t="s">
        <v>6</v>
      </c>
    </row>
    <row r="10747">
      <c r="A10747" s="3">
        <v>7368.0</v>
      </c>
      <c r="B10747" s="4">
        <v>45453.476435185185</v>
      </c>
      <c r="C10747" s="3" t="s">
        <v>3</v>
      </c>
    </row>
    <row r="10748">
      <c r="A10748" s="3">
        <v>1551.0</v>
      </c>
      <c r="B10748" s="4">
        <v>45453.50206018519</v>
      </c>
      <c r="C10748" s="3" t="s">
        <v>7</v>
      </c>
    </row>
    <row r="10749">
      <c r="A10749" s="3">
        <v>3822.0</v>
      </c>
      <c r="B10749" s="4">
        <v>45453.50921296296</v>
      </c>
      <c r="C10749" s="3" t="s">
        <v>3</v>
      </c>
    </row>
    <row r="10750">
      <c r="A10750" s="3">
        <v>5834.0</v>
      </c>
      <c r="B10750" s="4">
        <v>45453.54715277778</v>
      </c>
      <c r="C10750" s="3" t="s">
        <v>3</v>
      </c>
    </row>
    <row r="10751">
      <c r="A10751" s="3">
        <v>4368.0</v>
      </c>
      <c r="B10751" s="4">
        <v>45453.54837962963</v>
      </c>
      <c r="C10751" s="3" t="s">
        <v>3</v>
      </c>
    </row>
    <row r="10752">
      <c r="A10752" s="3">
        <v>2025.0</v>
      </c>
      <c r="B10752" s="4">
        <v>45453.560011574074</v>
      </c>
      <c r="C10752" s="3" t="s">
        <v>6</v>
      </c>
    </row>
    <row r="10753">
      <c r="A10753" s="3">
        <v>1499.0</v>
      </c>
      <c r="B10753" s="4">
        <v>45453.56392361111</v>
      </c>
      <c r="C10753" s="3" t="s">
        <v>3</v>
      </c>
    </row>
    <row r="10754">
      <c r="A10754" s="3">
        <v>3911.0</v>
      </c>
      <c r="B10754" s="4">
        <v>45453.611608796295</v>
      </c>
      <c r="C10754" s="3" t="s">
        <v>4</v>
      </c>
    </row>
    <row r="10755">
      <c r="A10755" s="3">
        <v>6631.0</v>
      </c>
      <c r="B10755" s="4">
        <v>45453.644641203704</v>
      </c>
      <c r="C10755" s="3" t="s">
        <v>6</v>
      </c>
    </row>
    <row r="10756">
      <c r="A10756" s="3">
        <v>1129.0</v>
      </c>
      <c r="B10756" s="4">
        <v>45453.65025462963</v>
      </c>
      <c r="C10756" s="3" t="s">
        <v>7</v>
      </c>
    </row>
    <row r="10757">
      <c r="A10757" s="3">
        <v>7812.0</v>
      </c>
      <c r="B10757" s="4">
        <v>45453.6575</v>
      </c>
      <c r="C10757" s="3" t="s">
        <v>5</v>
      </c>
    </row>
    <row r="10758">
      <c r="A10758" s="3">
        <v>5739.0</v>
      </c>
      <c r="B10758" s="4">
        <v>45453.66119212963</v>
      </c>
      <c r="C10758" s="3" t="s">
        <v>5</v>
      </c>
    </row>
    <row r="10759">
      <c r="A10759" s="3">
        <v>2179.0</v>
      </c>
      <c r="B10759" s="4">
        <v>45453.68042824074</v>
      </c>
      <c r="C10759" s="3" t="s">
        <v>5</v>
      </c>
    </row>
    <row r="10760">
      <c r="A10760" s="3">
        <v>4302.0</v>
      </c>
      <c r="B10760" s="4">
        <v>45453.70326388889</v>
      </c>
      <c r="C10760" s="3" t="s">
        <v>3</v>
      </c>
    </row>
    <row r="10761">
      <c r="A10761" s="3">
        <v>6324.0</v>
      </c>
      <c r="B10761" s="4">
        <v>45453.70693287037</v>
      </c>
      <c r="C10761" s="3" t="s">
        <v>4</v>
      </c>
    </row>
    <row r="10762">
      <c r="A10762" s="3">
        <v>5834.0</v>
      </c>
      <c r="B10762" s="4">
        <v>45453.71847222222</v>
      </c>
      <c r="C10762" s="3" t="s">
        <v>4</v>
      </c>
    </row>
    <row r="10763">
      <c r="A10763" s="3">
        <v>459.0</v>
      </c>
      <c r="B10763" s="4">
        <v>45453.724641203706</v>
      </c>
      <c r="C10763" s="3" t="s">
        <v>3</v>
      </c>
    </row>
    <row r="10764">
      <c r="A10764" s="3">
        <v>562.0</v>
      </c>
      <c r="B10764" s="4">
        <v>45453.80695601852</v>
      </c>
      <c r="C10764" s="3" t="s">
        <v>7</v>
      </c>
    </row>
    <row r="10765">
      <c r="A10765" s="3">
        <v>6166.0</v>
      </c>
      <c r="B10765" s="4">
        <v>45453.81511574074</v>
      </c>
      <c r="C10765" s="3" t="s">
        <v>6</v>
      </c>
    </row>
    <row r="10766">
      <c r="A10766" s="3">
        <v>5426.0</v>
      </c>
      <c r="B10766" s="4">
        <v>45453.81590277778</v>
      </c>
      <c r="C10766" s="3" t="s">
        <v>7</v>
      </c>
    </row>
    <row r="10767">
      <c r="A10767" s="3">
        <v>6271.0</v>
      </c>
      <c r="B10767" s="4">
        <v>45453.82371527778</v>
      </c>
      <c r="C10767" s="3" t="s">
        <v>4</v>
      </c>
    </row>
    <row r="10768">
      <c r="A10768" s="3">
        <v>4039.0</v>
      </c>
      <c r="B10768" s="4">
        <v>45453.884664351855</v>
      </c>
      <c r="C10768" s="3" t="s">
        <v>3</v>
      </c>
    </row>
    <row r="10769">
      <c r="A10769" s="3">
        <v>4505.0</v>
      </c>
      <c r="B10769" s="4">
        <v>45453.90076388889</v>
      </c>
      <c r="C10769" s="3" t="s">
        <v>7</v>
      </c>
    </row>
    <row r="10770">
      <c r="A10770" s="3">
        <v>6051.0</v>
      </c>
      <c r="B10770" s="4">
        <v>45453.90628472222</v>
      </c>
      <c r="C10770" s="3" t="s">
        <v>3</v>
      </c>
    </row>
    <row r="10771">
      <c r="A10771" s="3">
        <v>843.0</v>
      </c>
      <c r="B10771" s="4">
        <v>45453.92763888889</v>
      </c>
      <c r="C10771" s="3" t="s">
        <v>3</v>
      </c>
    </row>
    <row r="10772">
      <c r="A10772" s="3">
        <v>7812.0</v>
      </c>
      <c r="B10772" s="4">
        <v>45453.94495370371</v>
      </c>
      <c r="C10772" s="3" t="s">
        <v>3</v>
      </c>
    </row>
    <row r="10773">
      <c r="A10773" s="3">
        <v>1624.0</v>
      </c>
      <c r="B10773" s="4">
        <v>45453.94640046296</v>
      </c>
      <c r="C10773" s="3" t="s">
        <v>6</v>
      </c>
    </row>
    <row r="10774">
      <c r="A10774" s="3">
        <v>966.0</v>
      </c>
      <c r="B10774" s="4">
        <v>45453.97340277778</v>
      </c>
      <c r="C10774" s="3" t="s">
        <v>6</v>
      </c>
    </row>
    <row r="10775">
      <c r="A10775" s="3">
        <v>96.0</v>
      </c>
      <c r="B10775" s="4">
        <v>45453.99605324074</v>
      </c>
      <c r="C10775" s="3" t="s">
        <v>4</v>
      </c>
    </row>
    <row r="10776">
      <c r="A10776" s="3">
        <v>5810.0</v>
      </c>
      <c r="B10776" s="4">
        <v>45454.00310185185</v>
      </c>
      <c r="C10776" s="3" t="s">
        <v>4</v>
      </c>
    </row>
    <row r="10777">
      <c r="A10777" s="3">
        <v>7608.0</v>
      </c>
      <c r="B10777" s="4">
        <v>45454.043217592596</v>
      </c>
      <c r="C10777" s="3" t="s">
        <v>4</v>
      </c>
    </row>
    <row r="10778">
      <c r="A10778" s="3">
        <v>4814.0</v>
      </c>
      <c r="B10778" s="4">
        <v>45454.04634259259</v>
      </c>
      <c r="C10778" s="3" t="s">
        <v>6</v>
      </c>
    </row>
    <row r="10779">
      <c r="A10779" s="3">
        <v>6140.0</v>
      </c>
      <c r="B10779" s="4">
        <v>45454.05131944444</v>
      </c>
      <c r="C10779" s="3" t="s">
        <v>7</v>
      </c>
    </row>
    <row r="10780">
      <c r="A10780" s="3">
        <v>5834.0</v>
      </c>
      <c r="B10780" s="4">
        <v>45454.07256944444</v>
      </c>
      <c r="C10780" s="3" t="s">
        <v>5</v>
      </c>
    </row>
    <row r="10781">
      <c r="A10781" s="3">
        <v>4770.0</v>
      </c>
      <c r="B10781" s="4">
        <v>45454.07381944444</v>
      </c>
      <c r="C10781" s="3" t="s">
        <v>5</v>
      </c>
    </row>
    <row r="10782">
      <c r="A10782" s="3">
        <v>7867.0</v>
      </c>
      <c r="B10782" s="4">
        <v>45454.090787037036</v>
      </c>
      <c r="C10782" s="3" t="s">
        <v>5</v>
      </c>
    </row>
    <row r="10783">
      <c r="A10783" s="3">
        <v>7279.0</v>
      </c>
      <c r="B10783" s="4">
        <v>45454.09150462963</v>
      </c>
      <c r="C10783" s="3" t="s">
        <v>5</v>
      </c>
    </row>
    <row r="10784">
      <c r="A10784" s="3">
        <v>5771.0</v>
      </c>
      <c r="B10784" s="4">
        <v>45454.0943287037</v>
      </c>
      <c r="C10784" s="3" t="s">
        <v>4</v>
      </c>
    </row>
    <row r="10785">
      <c r="A10785" s="3">
        <v>2179.0</v>
      </c>
      <c r="B10785" s="4">
        <v>45454.125081018516</v>
      </c>
      <c r="C10785" s="3" t="s">
        <v>7</v>
      </c>
    </row>
    <row r="10786">
      <c r="A10786" s="3">
        <v>4617.0</v>
      </c>
      <c r="B10786" s="4">
        <v>45454.17041666667</v>
      </c>
      <c r="C10786" s="3" t="s">
        <v>3</v>
      </c>
    </row>
    <row r="10787">
      <c r="A10787" s="3">
        <v>3516.0</v>
      </c>
      <c r="B10787" s="4">
        <v>45454.17152777778</v>
      </c>
      <c r="C10787" s="3" t="s">
        <v>6</v>
      </c>
    </row>
    <row r="10788">
      <c r="A10788" s="3">
        <v>7491.0</v>
      </c>
      <c r="B10788" s="4">
        <v>45454.17679398148</v>
      </c>
      <c r="C10788" s="3" t="s">
        <v>3</v>
      </c>
    </row>
    <row r="10789">
      <c r="A10789" s="3">
        <v>6030.0</v>
      </c>
      <c r="B10789" s="4">
        <v>45454.18431712963</v>
      </c>
      <c r="C10789" s="3" t="s">
        <v>3</v>
      </c>
    </row>
    <row r="10790">
      <c r="A10790" s="3">
        <v>4696.0</v>
      </c>
      <c r="B10790" s="4">
        <v>45454.20082175926</v>
      </c>
      <c r="C10790" s="3" t="s">
        <v>3</v>
      </c>
    </row>
    <row r="10791">
      <c r="A10791" s="3">
        <v>96.0</v>
      </c>
      <c r="B10791" s="4">
        <v>45454.20789351852</v>
      </c>
      <c r="C10791" s="3" t="s">
        <v>5</v>
      </c>
    </row>
    <row r="10792">
      <c r="A10792" s="3">
        <v>5203.0</v>
      </c>
      <c r="B10792" s="4">
        <v>45454.240532407406</v>
      </c>
      <c r="C10792" s="3" t="s">
        <v>3</v>
      </c>
    </row>
    <row r="10793">
      <c r="A10793" s="3">
        <v>7879.0</v>
      </c>
      <c r="B10793" s="4">
        <v>45454.241273148145</v>
      </c>
      <c r="C10793" s="3" t="s">
        <v>4</v>
      </c>
    </row>
    <row r="10794">
      <c r="A10794" s="3">
        <v>4836.0</v>
      </c>
      <c r="B10794" s="4">
        <v>45454.251747685186</v>
      </c>
      <c r="C10794" s="3" t="s">
        <v>3</v>
      </c>
    </row>
    <row r="10795">
      <c r="A10795" s="3">
        <v>3594.0</v>
      </c>
      <c r="B10795" s="4">
        <v>45454.25975694445</v>
      </c>
      <c r="C10795" s="3" t="s">
        <v>3</v>
      </c>
    </row>
    <row r="10796">
      <c r="A10796" s="3">
        <v>5739.0</v>
      </c>
      <c r="B10796" s="4">
        <v>45454.260405092595</v>
      </c>
      <c r="C10796" s="3" t="s">
        <v>7</v>
      </c>
    </row>
    <row r="10797">
      <c r="A10797" s="3">
        <v>2052.0</v>
      </c>
      <c r="B10797" s="4">
        <v>45454.26771990741</v>
      </c>
      <c r="C10797" s="3" t="s">
        <v>3</v>
      </c>
    </row>
    <row r="10798">
      <c r="A10798" s="3">
        <v>4069.0</v>
      </c>
      <c r="B10798" s="4">
        <v>45454.27040509259</v>
      </c>
      <c r="C10798" s="3" t="s">
        <v>3</v>
      </c>
    </row>
    <row r="10799">
      <c r="A10799" s="3">
        <v>3492.0</v>
      </c>
      <c r="B10799" s="4">
        <v>45454.27693287037</v>
      </c>
      <c r="C10799" s="3" t="s">
        <v>4</v>
      </c>
    </row>
    <row r="10800">
      <c r="A10800" s="3">
        <v>7190.0</v>
      </c>
      <c r="B10800" s="4">
        <v>45454.279814814814</v>
      </c>
      <c r="C10800" s="3" t="s">
        <v>3</v>
      </c>
    </row>
    <row r="10801">
      <c r="A10801" s="3">
        <v>3146.0</v>
      </c>
      <c r="B10801" s="4">
        <v>45454.28554398148</v>
      </c>
      <c r="C10801" s="3" t="s">
        <v>7</v>
      </c>
    </row>
    <row r="10802">
      <c r="A10802" s="3">
        <v>5691.0</v>
      </c>
      <c r="B10802" s="4">
        <v>45454.30703703704</v>
      </c>
      <c r="C10802" s="3" t="s">
        <v>3</v>
      </c>
    </row>
    <row r="10803">
      <c r="A10803" s="3">
        <v>2617.0</v>
      </c>
      <c r="B10803" s="4">
        <v>45454.332766203705</v>
      </c>
      <c r="C10803" s="3" t="s">
        <v>3</v>
      </c>
    </row>
    <row r="10804">
      <c r="A10804" s="3">
        <v>4016.0</v>
      </c>
      <c r="B10804" s="4">
        <v>45454.338784722226</v>
      </c>
      <c r="C10804" s="3" t="s">
        <v>3</v>
      </c>
    </row>
    <row r="10805">
      <c r="A10805" s="3">
        <v>4619.0</v>
      </c>
      <c r="B10805" s="4">
        <v>45454.35172453704</v>
      </c>
      <c r="C10805" s="3" t="s">
        <v>3</v>
      </c>
    </row>
    <row r="10806">
      <c r="A10806" s="3">
        <v>7925.0</v>
      </c>
      <c r="B10806" s="4">
        <v>45454.352013888885</v>
      </c>
      <c r="C10806" s="3" t="s">
        <v>5</v>
      </c>
    </row>
    <row r="10807">
      <c r="A10807" s="3">
        <v>555.0</v>
      </c>
      <c r="B10807" s="4">
        <v>45454.36194444444</v>
      </c>
      <c r="C10807" s="3" t="s">
        <v>6</v>
      </c>
    </row>
    <row r="10808">
      <c r="A10808" s="3">
        <v>6422.0</v>
      </c>
      <c r="B10808" s="4">
        <v>45454.39885416667</v>
      </c>
      <c r="C10808" s="3" t="s">
        <v>7</v>
      </c>
    </row>
    <row r="10809">
      <c r="A10809" s="3">
        <v>5431.0</v>
      </c>
      <c r="B10809" s="4">
        <v>45454.404594907406</v>
      </c>
      <c r="C10809" s="3" t="s">
        <v>6</v>
      </c>
    </row>
    <row r="10810">
      <c r="A10810" s="3">
        <v>6056.0</v>
      </c>
      <c r="B10810" s="4">
        <v>45454.40809027778</v>
      </c>
      <c r="C10810" s="3" t="s">
        <v>6</v>
      </c>
    </row>
    <row r="10811">
      <c r="A10811" s="3">
        <v>6886.0</v>
      </c>
      <c r="B10811" s="4">
        <v>45454.42114583333</v>
      </c>
      <c r="C10811" s="3" t="s">
        <v>3</v>
      </c>
    </row>
    <row r="10812">
      <c r="A10812" s="3">
        <v>4302.0</v>
      </c>
      <c r="B10812" s="4">
        <v>45454.4275</v>
      </c>
      <c r="C10812" s="3" t="s">
        <v>6</v>
      </c>
    </row>
    <row r="10813">
      <c r="A10813" s="3">
        <v>2508.0</v>
      </c>
      <c r="B10813" s="4">
        <v>45454.43859953704</v>
      </c>
      <c r="C10813" s="3" t="s">
        <v>3</v>
      </c>
    </row>
    <row r="10814">
      <c r="A10814" s="3">
        <v>4535.0</v>
      </c>
      <c r="B10814" s="4">
        <v>45454.4441087963</v>
      </c>
      <c r="C10814" s="3" t="s">
        <v>4</v>
      </c>
    </row>
    <row r="10815">
      <c r="A10815" s="3">
        <v>7867.0</v>
      </c>
      <c r="B10815" s="4">
        <v>45454.464270833334</v>
      </c>
      <c r="C10815" s="3" t="s">
        <v>3</v>
      </c>
    </row>
    <row r="10816">
      <c r="A10816" s="3">
        <v>7491.0</v>
      </c>
      <c r="B10816" s="4">
        <v>45454.48726851852</v>
      </c>
      <c r="C10816" s="3" t="s">
        <v>4</v>
      </c>
    </row>
    <row r="10817">
      <c r="A10817" s="3">
        <v>5203.0</v>
      </c>
      <c r="B10817" s="4">
        <v>45454.48974537037</v>
      </c>
      <c r="C10817" s="3" t="s">
        <v>5</v>
      </c>
    </row>
    <row r="10818">
      <c r="A10818" s="3">
        <v>5365.0</v>
      </c>
      <c r="B10818" s="4">
        <v>45454.493946759256</v>
      </c>
      <c r="C10818" s="3" t="s">
        <v>3</v>
      </c>
    </row>
    <row r="10819">
      <c r="A10819" s="3">
        <v>4353.0</v>
      </c>
      <c r="B10819" s="4">
        <v>45454.49459490741</v>
      </c>
      <c r="C10819" s="3" t="s">
        <v>6</v>
      </c>
    </row>
    <row r="10820">
      <c r="A10820" s="3">
        <v>2541.0</v>
      </c>
      <c r="B10820" s="4">
        <v>45454.50894675926</v>
      </c>
      <c r="C10820" s="3" t="s">
        <v>3</v>
      </c>
    </row>
    <row r="10821">
      <c r="A10821" s="3">
        <v>7435.0</v>
      </c>
      <c r="B10821" s="4">
        <v>45454.520578703705</v>
      </c>
      <c r="C10821" s="3" t="s">
        <v>3</v>
      </c>
    </row>
    <row r="10822">
      <c r="A10822" s="3">
        <v>3492.0</v>
      </c>
      <c r="B10822" s="4">
        <v>45454.534004629626</v>
      </c>
      <c r="C10822" s="3" t="s">
        <v>3</v>
      </c>
    </row>
    <row r="10823">
      <c r="A10823" s="3">
        <v>2607.0</v>
      </c>
      <c r="B10823" s="4">
        <v>45454.56215277778</v>
      </c>
      <c r="C10823" s="3" t="s">
        <v>3</v>
      </c>
    </row>
    <row r="10824">
      <c r="A10824" s="3">
        <v>5771.0</v>
      </c>
      <c r="B10824" s="4">
        <v>45454.57032407408</v>
      </c>
      <c r="C10824" s="3" t="s">
        <v>3</v>
      </c>
    </row>
    <row r="10825">
      <c r="A10825" s="3">
        <v>6051.0</v>
      </c>
      <c r="B10825" s="4">
        <v>45454.59626157407</v>
      </c>
      <c r="C10825" s="3" t="s">
        <v>4</v>
      </c>
    </row>
    <row r="10826">
      <c r="A10826" s="3">
        <v>5220.0</v>
      </c>
      <c r="B10826" s="4">
        <v>45454.59994212963</v>
      </c>
      <c r="C10826" s="3" t="s">
        <v>3</v>
      </c>
    </row>
    <row r="10827">
      <c r="A10827" s="3">
        <v>2869.0</v>
      </c>
      <c r="B10827" s="4">
        <v>45454.60891203704</v>
      </c>
      <c r="C10827" s="3" t="s">
        <v>3</v>
      </c>
    </row>
    <row r="10828">
      <c r="A10828" s="3">
        <v>2699.0</v>
      </c>
      <c r="B10828" s="4">
        <v>45454.61938657407</v>
      </c>
      <c r="C10828" s="3" t="s">
        <v>4</v>
      </c>
    </row>
    <row r="10829">
      <c r="A10829" s="3">
        <v>7925.0</v>
      </c>
      <c r="B10829" s="4">
        <v>45454.63520833333</v>
      </c>
      <c r="C10829" s="3" t="s">
        <v>3</v>
      </c>
    </row>
    <row r="10830">
      <c r="A10830" s="3">
        <v>2836.0</v>
      </c>
      <c r="B10830" s="4">
        <v>45454.63783564815</v>
      </c>
      <c r="C10830" s="3" t="s">
        <v>7</v>
      </c>
    </row>
    <row r="10831">
      <c r="A10831" s="3">
        <v>2621.0</v>
      </c>
      <c r="B10831" s="4">
        <v>45454.64603009259</v>
      </c>
      <c r="C10831" s="3" t="s">
        <v>3</v>
      </c>
    </row>
    <row r="10832">
      <c r="A10832" s="3">
        <v>5459.0</v>
      </c>
      <c r="B10832" s="4">
        <v>45454.67061342593</v>
      </c>
      <c r="C10832" s="3" t="s">
        <v>6</v>
      </c>
    </row>
    <row r="10833">
      <c r="A10833" s="3">
        <v>1751.0</v>
      </c>
      <c r="B10833" s="4">
        <v>45454.68744212963</v>
      </c>
      <c r="C10833" s="3" t="s">
        <v>3</v>
      </c>
    </row>
    <row r="10834">
      <c r="A10834" s="3">
        <v>3463.0</v>
      </c>
      <c r="B10834" s="4">
        <v>45454.69373842593</v>
      </c>
      <c r="C10834" s="3" t="s">
        <v>3</v>
      </c>
    </row>
    <row r="10835">
      <c r="A10835" s="3">
        <v>1817.0</v>
      </c>
      <c r="B10835" s="4">
        <v>45454.70214120371</v>
      </c>
      <c r="C10835" s="3" t="s">
        <v>3</v>
      </c>
    </row>
    <row r="10836">
      <c r="A10836" s="3">
        <v>7732.0</v>
      </c>
      <c r="B10836" s="4">
        <v>45454.71266203704</v>
      </c>
      <c r="C10836" s="3" t="s">
        <v>3</v>
      </c>
    </row>
    <row r="10837">
      <c r="A10837" s="3">
        <v>3405.0</v>
      </c>
      <c r="B10837" s="4">
        <v>45454.72400462963</v>
      </c>
      <c r="C10837" s="3" t="s">
        <v>5</v>
      </c>
    </row>
    <row r="10838">
      <c r="A10838" s="3">
        <v>6347.0</v>
      </c>
      <c r="B10838" s="4">
        <v>45454.72623842592</v>
      </c>
      <c r="C10838" s="3" t="s">
        <v>3</v>
      </c>
    </row>
    <row r="10839">
      <c r="A10839" s="3">
        <v>2165.0</v>
      </c>
      <c r="B10839" s="4">
        <v>45454.73049768519</v>
      </c>
      <c r="C10839" s="3" t="s">
        <v>6</v>
      </c>
    </row>
    <row r="10840">
      <c r="A10840" s="3">
        <v>7141.0</v>
      </c>
      <c r="B10840" s="4">
        <v>45454.752291666664</v>
      </c>
      <c r="C10840" s="3" t="s">
        <v>3</v>
      </c>
    </row>
    <row r="10841">
      <c r="A10841" s="3">
        <v>4418.0</v>
      </c>
      <c r="B10841" s="4">
        <v>45454.76856481482</v>
      </c>
      <c r="C10841" s="3" t="s">
        <v>5</v>
      </c>
    </row>
    <row r="10842">
      <c r="A10842" s="3">
        <v>4982.0</v>
      </c>
      <c r="B10842" s="4">
        <v>45454.811585648145</v>
      </c>
      <c r="C10842" s="3" t="s">
        <v>3</v>
      </c>
    </row>
    <row r="10843">
      <c r="A10843" s="3">
        <v>1551.0</v>
      </c>
      <c r="B10843" s="4">
        <v>45454.81513888889</v>
      </c>
      <c r="C10843" s="3" t="s">
        <v>6</v>
      </c>
    </row>
    <row r="10844">
      <c r="A10844" s="3">
        <v>3047.0</v>
      </c>
      <c r="B10844" s="4">
        <v>45454.815150462964</v>
      </c>
      <c r="C10844" s="3" t="s">
        <v>3</v>
      </c>
    </row>
    <row r="10845">
      <c r="A10845" s="3">
        <v>843.0</v>
      </c>
      <c r="B10845" s="4">
        <v>45454.83005787037</v>
      </c>
      <c r="C10845" s="3" t="s">
        <v>6</v>
      </c>
    </row>
    <row r="10846">
      <c r="A10846" s="3">
        <v>6557.0</v>
      </c>
      <c r="B10846" s="4">
        <v>45454.833344907405</v>
      </c>
      <c r="C10846" s="3" t="s">
        <v>3</v>
      </c>
    </row>
    <row r="10847">
      <c r="A10847" s="3">
        <v>6056.0</v>
      </c>
      <c r="B10847" s="4">
        <v>45454.846354166664</v>
      </c>
      <c r="C10847" s="3" t="s">
        <v>4</v>
      </c>
    </row>
    <row r="10848">
      <c r="A10848" s="3">
        <v>2666.0</v>
      </c>
      <c r="B10848" s="4">
        <v>45454.84800925926</v>
      </c>
      <c r="C10848" s="3" t="s">
        <v>3</v>
      </c>
    </row>
    <row r="10849">
      <c r="A10849" s="3">
        <v>6271.0</v>
      </c>
      <c r="B10849" s="4">
        <v>45454.87375</v>
      </c>
      <c r="C10849" s="3" t="s">
        <v>7</v>
      </c>
    </row>
    <row r="10850">
      <c r="A10850" s="3">
        <v>4473.0</v>
      </c>
      <c r="B10850" s="4">
        <v>45454.87851851852</v>
      </c>
      <c r="C10850" s="3" t="s">
        <v>4</v>
      </c>
    </row>
    <row r="10851">
      <c r="A10851" s="3">
        <v>3405.0</v>
      </c>
      <c r="B10851" s="4">
        <v>45454.89949074074</v>
      </c>
      <c r="C10851" s="3" t="s">
        <v>6</v>
      </c>
    </row>
    <row r="10852">
      <c r="A10852" s="3">
        <v>7879.0</v>
      </c>
      <c r="B10852" s="4">
        <v>45454.91743055556</v>
      </c>
      <c r="C10852" s="3" t="s">
        <v>5</v>
      </c>
    </row>
    <row r="10853">
      <c r="A10853" s="3">
        <v>6211.0</v>
      </c>
      <c r="B10853" s="4">
        <v>45454.91930555556</v>
      </c>
      <c r="C10853" s="3" t="s">
        <v>7</v>
      </c>
    </row>
    <row r="10854">
      <c r="A10854" s="3">
        <v>6140.0</v>
      </c>
      <c r="B10854" s="4">
        <v>45454.988344907404</v>
      </c>
      <c r="C10854" s="3" t="s">
        <v>5</v>
      </c>
    </row>
    <row r="10855">
      <c r="A10855" s="3">
        <v>7812.0</v>
      </c>
      <c r="B10855" s="4">
        <v>45455.00430555556</v>
      </c>
      <c r="C10855" s="3" t="s">
        <v>4</v>
      </c>
    </row>
    <row r="10856">
      <c r="A10856" s="3">
        <v>7023.0</v>
      </c>
      <c r="B10856" s="4">
        <v>45455.006631944445</v>
      </c>
      <c r="C10856" s="3" t="s">
        <v>3</v>
      </c>
    </row>
    <row r="10857">
      <c r="A10857" s="3">
        <v>5777.0</v>
      </c>
      <c r="B10857" s="4">
        <v>45455.01513888889</v>
      </c>
      <c r="C10857" s="3" t="s">
        <v>3</v>
      </c>
    </row>
    <row r="10858">
      <c r="A10858" s="3">
        <v>1499.0</v>
      </c>
      <c r="B10858" s="4">
        <v>45455.01671296296</v>
      </c>
      <c r="C10858" s="3" t="s">
        <v>5</v>
      </c>
    </row>
    <row r="10859">
      <c r="A10859" s="3">
        <v>6889.0</v>
      </c>
      <c r="B10859" s="4">
        <v>45455.022835648146</v>
      </c>
      <c r="C10859" s="3" t="s">
        <v>3</v>
      </c>
    </row>
    <row r="10860">
      <c r="A10860" s="3">
        <v>6437.0</v>
      </c>
      <c r="B10860" s="4">
        <v>45455.033796296295</v>
      </c>
      <c r="C10860" s="3" t="s">
        <v>3</v>
      </c>
    </row>
    <row r="10861">
      <c r="A10861" s="3">
        <v>5203.0</v>
      </c>
      <c r="B10861" s="4">
        <v>45455.04037037037</v>
      </c>
      <c r="C10861" s="3" t="s">
        <v>4</v>
      </c>
    </row>
    <row r="10862">
      <c r="A10862" s="3">
        <v>6214.0</v>
      </c>
      <c r="B10862" s="4">
        <v>45455.051400462966</v>
      </c>
      <c r="C10862" s="3" t="s">
        <v>5</v>
      </c>
    </row>
    <row r="10863">
      <c r="A10863" s="3">
        <v>4982.0</v>
      </c>
      <c r="B10863" s="4">
        <v>45455.061886574076</v>
      </c>
      <c r="C10863" s="3" t="s">
        <v>6</v>
      </c>
    </row>
    <row r="10864">
      <c r="A10864" s="3">
        <v>2056.0</v>
      </c>
      <c r="B10864" s="4">
        <v>45455.080092592594</v>
      </c>
      <c r="C10864" s="3" t="s">
        <v>3</v>
      </c>
    </row>
    <row r="10865">
      <c r="A10865" s="3">
        <v>1834.0</v>
      </c>
      <c r="B10865" s="4">
        <v>45455.11178240741</v>
      </c>
      <c r="C10865" s="3" t="s">
        <v>3</v>
      </c>
    </row>
    <row r="10866">
      <c r="A10866" s="3">
        <v>7732.0</v>
      </c>
      <c r="B10866" s="4">
        <v>45455.124930555554</v>
      </c>
      <c r="C10866" s="3" t="s">
        <v>4</v>
      </c>
    </row>
    <row r="10867">
      <c r="A10867" s="3">
        <v>6513.0</v>
      </c>
      <c r="B10867" s="4">
        <v>45455.136770833335</v>
      </c>
      <c r="C10867" s="3" t="s">
        <v>3</v>
      </c>
    </row>
    <row r="10868">
      <c r="A10868" s="3">
        <v>5365.0</v>
      </c>
      <c r="B10868" s="4">
        <v>45455.14618055556</v>
      </c>
      <c r="C10868" s="3" t="s">
        <v>7</v>
      </c>
    </row>
    <row r="10869">
      <c r="A10869" s="3">
        <v>4292.0</v>
      </c>
      <c r="B10869" s="4">
        <v>45455.14989583333</v>
      </c>
      <c r="C10869" s="3" t="s">
        <v>3</v>
      </c>
    </row>
    <row r="10870">
      <c r="A10870" s="3">
        <v>5834.0</v>
      </c>
      <c r="B10870" s="4">
        <v>45455.15739583333</v>
      </c>
      <c r="C10870" s="3" t="s">
        <v>7</v>
      </c>
    </row>
    <row r="10871">
      <c r="A10871" s="3">
        <v>6211.0</v>
      </c>
      <c r="B10871" s="4">
        <v>45455.18368055556</v>
      </c>
      <c r="C10871" s="3" t="s">
        <v>6</v>
      </c>
    </row>
    <row r="10872">
      <c r="A10872" s="3">
        <v>3398.0</v>
      </c>
      <c r="B10872" s="4">
        <v>45455.2178125</v>
      </c>
      <c r="C10872" s="3" t="s">
        <v>3</v>
      </c>
    </row>
    <row r="10873">
      <c r="A10873" s="3">
        <v>5439.0</v>
      </c>
      <c r="B10873" s="4">
        <v>45455.232881944445</v>
      </c>
      <c r="C10873" s="3" t="s">
        <v>3</v>
      </c>
    </row>
    <row r="10874">
      <c r="A10874" s="3">
        <v>1104.0</v>
      </c>
      <c r="B10874" s="4">
        <v>45455.262025462966</v>
      </c>
      <c r="C10874" s="3" t="s">
        <v>3</v>
      </c>
    </row>
    <row r="10875">
      <c r="A10875" s="3">
        <v>3598.0</v>
      </c>
      <c r="B10875" s="4">
        <v>45455.29258101852</v>
      </c>
      <c r="C10875" s="3" t="s">
        <v>3</v>
      </c>
    </row>
    <row r="10876">
      <c r="A10876" s="3">
        <v>2541.0</v>
      </c>
      <c r="B10876" s="4">
        <v>45455.2971412037</v>
      </c>
      <c r="C10876" s="3" t="s">
        <v>4</v>
      </c>
    </row>
    <row r="10877">
      <c r="A10877" s="3">
        <v>3107.0</v>
      </c>
      <c r="B10877" s="4">
        <v>45455.30873842593</v>
      </c>
      <c r="C10877" s="3" t="s">
        <v>3</v>
      </c>
    </row>
    <row r="10878">
      <c r="A10878" s="3">
        <v>1124.0</v>
      </c>
      <c r="B10878" s="4">
        <v>45455.35204861111</v>
      </c>
      <c r="C10878" s="3" t="s">
        <v>3</v>
      </c>
    </row>
    <row r="10879">
      <c r="A10879" s="3">
        <v>6077.0</v>
      </c>
      <c r="B10879" s="4">
        <v>45455.36363425926</v>
      </c>
      <c r="C10879" s="3" t="s">
        <v>6</v>
      </c>
    </row>
    <row r="10880">
      <c r="A10880" s="3">
        <v>1124.0</v>
      </c>
      <c r="B10880" s="4">
        <v>45455.36974537037</v>
      </c>
      <c r="C10880" s="3" t="s">
        <v>4</v>
      </c>
    </row>
    <row r="10881">
      <c r="A10881" s="3">
        <v>3492.0</v>
      </c>
      <c r="B10881" s="4">
        <v>45455.377337962964</v>
      </c>
      <c r="C10881" s="3" t="s">
        <v>7</v>
      </c>
    </row>
    <row r="10882">
      <c r="A10882" s="3">
        <v>4103.0</v>
      </c>
      <c r="B10882" s="4">
        <v>45455.385034722225</v>
      </c>
      <c r="C10882" s="3" t="s">
        <v>6</v>
      </c>
    </row>
    <row r="10883">
      <c r="A10883" s="3">
        <v>2100.0</v>
      </c>
      <c r="B10883" s="4">
        <v>45455.394479166665</v>
      </c>
      <c r="C10883" s="3" t="s">
        <v>3</v>
      </c>
    </row>
    <row r="10884">
      <c r="A10884" s="3">
        <v>5966.0</v>
      </c>
      <c r="B10884" s="4">
        <v>45455.410844907405</v>
      </c>
      <c r="C10884" s="3" t="s">
        <v>6</v>
      </c>
    </row>
    <row r="10885">
      <c r="A10885" s="3">
        <v>7175.0</v>
      </c>
      <c r="B10885" s="4">
        <v>45455.41388888889</v>
      </c>
      <c r="C10885" s="3" t="s">
        <v>3</v>
      </c>
    </row>
    <row r="10886">
      <c r="A10886" s="3">
        <v>4302.0</v>
      </c>
      <c r="B10886" s="4">
        <v>45455.421805555554</v>
      </c>
      <c r="C10886" s="3" t="s">
        <v>4</v>
      </c>
    </row>
    <row r="10887">
      <c r="A10887" s="3">
        <v>1607.0</v>
      </c>
      <c r="B10887" s="4">
        <v>45455.43195601852</v>
      </c>
      <c r="C10887" s="3" t="s">
        <v>4</v>
      </c>
    </row>
    <row r="10888">
      <c r="A10888" s="3">
        <v>1607.0</v>
      </c>
      <c r="B10888" s="4">
        <v>45455.439618055556</v>
      </c>
      <c r="C10888" s="3" t="s">
        <v>3</v>
      </c>
    </row>
    <row r="10889">
      <c r="A10889" s="3">
        <v>4039.0</v>
      </c>
      <c r="B10889" s="4">
        <v>45455.441412037035</v>
      </c>
      <c r="C10889" s="3" t="s">
        <v>4</v>
      </c>
    </row>
    <row r="10890">
      <c r="A10890" s="3">
        <v>7700.0</v>
      </c>
      <c r="B10890" s="4">
        <v>45455.4525462963</v>
      </c>
      <c r="C10890" s="3" t="s">
        <v>3</v>
      </c>
    </row>
    <row r="10891">
      <c r="A10891" s="3">
        <v>7163.0</v>
      </c>
      <c r="B10891" s="4">
        <v>45455.45423611111</v>
      </c>
      <c r="C10891" s="3" t="s">
        <v>7</v>
      </c>
    </row>
    <row r="10892">
      <c r="A10892" s="3">
        <v>6423.0</v>
      </c>
      <c r="B10892" s="4">
        <v>45455.456354166665</v>
      </c>
      <c r="C10892" s="3" t="s">
        <v>6</v>
      </c>
    </row>
    <row r="10893">
      <c r="A10893" s="3">
        <v>843.0</v>
      </c>
      <c r="B10893" s="4">
        <v>45455.490590277775</v>
      </c>
      <c r="C10893" s="3" t="s">
        <v>4</v>
      </c>
    </row>
    <row r="10894">
      <c r="A10894" s="3">
        <v>3045.0</v>
      </c>
      <c r="B10894" s="4">
        <v>45455.49465277778</v>
      </c>
      <c r="C10894" s="3" t="s">
        <v>6</v>
      </c>
    </row>
    <row r="10895">
      <c r="A10895" s="3">
        <v>5305.0</v>
      </c>
      <c r="B10895" s="4">
        <v>45455.514189814814</v>
      </c>
      <c r="C10895" s="3" t="s">
        <v>3</v>
      </c>
    </row>
    <row r="10896">
      <c r="A10896" s="3">
        <v>6271.0</v>
      </c>
      <c r="B10896" s="4">
        <v>45455.52077546297</v>
      </c>
      <c r="C10896" s="3" t="s">
        <v>5</v>
      </c>
    </row>
    <row r="10897">
      <c r="A10897" s="3">
        <v>4443.0</v>
      </c>
      <c r="B10897" s="4">
        <v>45455.52686342593</v>
      </c>
      <c r="C10897" s="3" t="s">
        <v>5</v>
      </c>
    </row>
    <row r="10898">
      <c r="A10898" s="3">
        <v>7871.0</v>
      </c>
      <c r="B10898" s="4">
        <v>45455.53994212963</v>
      </c>
      <c r="C10898" s="3" t="s">
        <v>3</v>
      </c>
    </row>
    <row r="10899">
      <c r="A10899" s="3">
        <v>7971.0</v>
      </c>
      <c r="B10899" s="4">
        <v>45455.540555555555</v>
      </c>
      <c r="C10899" s="3" t="s">
        <v>3</v>
      </c>
    </row>
    <row r="10900">
      <c r="A10900" s="3">
        <v>4982.0</v>
      </c>
      <c r="B10900" s="4">
        <v>45455.55378472222</v>
      </c>
      <c r="C10900" s="3" t="s">
        <v>4</v>
      </c>
    </row>
    <row r="10901">
      <c r="A10901" s="3">
        <v>5006.0</v>
      </c>
      <c r="B10901" s="4">
        <v>45455.58629629629</v>
      </c>
      <c r="C10901" s="3" t="s">
        <v>3</v>
      </c>
    </row>
    <row r="10902">
      <c r="A10902" s="3">
        <v>6437.0</v>
      </c>
      <c r="B10902" s="4">
        <v>45455.59821759259</v>
      </c>
      <c r="C10902" s="3" t="s">
        <v>5</v>
      </c>
    </row>
    <row r="10903">
      <c r="A10903" s="3">
        <v>7008.0</v>
      </c>
      <c r="B10903" s="4">
        <v>45455.598958333336</v>
      </c>
      <c r="C10903" s="3" t="s">
        <v>3</v>
      </c>
    </row>
    <row r="10904">
      <c r="A10904" s="3">
        <v>1104.0</v>
      </c>
      <c r="B10904" s="4">
        <v>45455.60747685185</v>
      </c>
      <c r="C10904" s="3" t="s">
        <v>5</v>
      </c>
    </row>
    <row r="10905">
      <c r="A10905" s="3">
        <v>5220.0</v>
      </c>
      <c r="B10905" s="4">
        <v>45455.607777777775</v>
      </c>
      <c r="C10905" s="3" t="s">
        <v>6</v>
      </c>
    </row>
    <row r="10906">
      <c r="A10906" s="3">
        <v>1624.0</v>
      </c>
      <c r="B10906" s="4">
        <v>45455.619988425926</v>
      </c>
      <c r="C10906" s="3" t="s">
        <v>5</v>
      </c>
    </row>
    <row r="10907">
      <c r="A10907" s="3">
        <v>3047.0</v>
      </c>
      <c r="B10907" s="4">
        <v>45455.643125</v>
      </c>
      <c r="C10907" s="3" t="s">
        <v>4</v>
      </c>
    </row>
    <row r="10908">
      <c r="A10908" s="3">
        <v>5044.0</v>
      </c>
      <c r="B10908" s="4">
        <v>45455.65457175926</v>
      </c>
      <c r="C10908" s="3" t="s">
        <v>4</v>
      </c>
    </row>
    <row r="10909">
      <c r="A10909" s="3">
        <v>843.0</v>
      </c>
      <c r="B10909" s="4">
        <v>45455.67287037037</v>
      </c>
      <c r="C10909" s="3" t="s">
        <v>5</v>
      </c>
    </row>
    <row r="10910">
      <c r="A10910" s="3">
        <v>5365.0</v>
      </c>
      <c r="B10910" s="4">
        <v>45455.673113425924</v>
      </c>
      <c r="C10910" s="3" t="s">
        <v>4</v>
      </c>
    </row>
    <row r="10911">
      <c r="A10911" s="3">
        <v>1848.0</v>
      </c>
      <c r="B10911" s="4">
        <v>45455.67773148148</v>
      </c>
      <c r="C10911" s="3" t="s">
        <v>3</v>
      </c>
    </row>
    <row r="10912">
      <c r="A10912" s="3">
        <v>5571.0</v>
      </c>
      <c r="B10912" s="4">
        <v>45455.68125</v>
      </c>
      <c r="C10912" s="3" t="s">
        <v>3</v>
      </c>
    </row>
    <row r="10913">
      <c r="A10913" s="3">
        <v>6324.0</v>
      </c>
      <c r="B10913" s="4">
        <v>45455.68329861111</v>
      </c>
      <c r="C10913" s="3" t="s">
        <v>6</v>
      </c>
    </row>
    <row r="10914">
      <c r="A10914" s="3">
        <v>2650.0</v>
      </c>
      <c r="B10914" s="4">
        <v>45455.68613425926</v>
      </c>
      <c r="C10914" s="3" t="s">
        <v>3</v>
      </c>
    </row>
    <row r="10915">
      <c r="A10915" s="3">
        <v>4292.0</v>
      </c>
      <c r="B10915" s="4">
        <v>45455.72292824074</v>
      </c>
      <c r="C10915" s="3" t="s">
        <v>5</v>
      </c>
    </row>
    <row r="10916">
      <c r="A10916" s="3">
        <v>3154.0</v>
      </c>
      <c r="B10916" s="4">
        <v>45455.736655092594</v>
      </c>
      <c r="C10916" s="3" t="s">
        <v>3</v>
      </c>
    </row>
    <row r="10917">
      <c r="A10917" s="3">
        <v>6982.0</v>
      </c>
      <c r="B10917" s="4">
        <v>45455.742164351854</v>
      </c>
      <c r="C10917" s="3" t="s">
        <v>6</v>
      </c>
    </row>
    <row r="10918">
      <c r="A10918" s="3">
        <v>5037.0</v>
      </c>
      <c r="B10918" s="4">
        <v>45455.75445601852</v>
      </c>
      <c r="C10918" s="3" t="s">
        <v>3</v>
      </c>
    </row>
    <row r="10919">
      <c r="A10919" s="3">
        <v>7279.0</v>
      </c>
      <c r="B10919" s="4">
        <v>45455.768483796295</v>
      </c>
      <c r="C10919" s="3" t="s">
        <v>7</v>
      </c>
    </row>
    <row r="10920">
      <c r="A10920" s="3">
        <v>3985.0</v>
      </c>
      <c r="B10920" s="4">
        <v>45455.768854166665</v>
      </c>
      <c r="C10920" s="3" t="s">
        <v>3</v>
      </c>
    </row>
    <row r="10921">
      <c r="A10921" s="3">
        <v>5940.0</v>
      </c>
      <c r="B10921" s="4">
        <v>45455.772824074076</v>
      </c>
      <c r="C10921" s="3" t="s">
        <v>3</v>
      </c>
    </row>
    <row r="10922">
      <c r="A10922" s="3">
        <v>1011.0</v>
      </c>
      <c r="B10922" s="4">
        <v>45455.78456018519</v>
      </c>
      <c r="C10922" s="3" t="s">
        <v>6</v>
      </c>
    </row>
    <row r="10923">
      <c r="A10923" s="3">
        <v>6886.0</v>
      </c>
      <c r="B10923" s="4">
        <v>45455.78996527778</v>
      </c>
      <c r="C10923" s="3" t="s">
        <v>7</v>
      </c>
    </row>
    <row r="10924">
      <c r="A10924" s="3">
        <v>2025.0</v>
      </c>
      <c r="B10924" s="4">
        <v>45455.813935185186</v>
      </c>
      <c r="C10924" s="3" t="s">
        <v>7</v>
      </c>
    </row>
    <row r="10925">
      <c r="A10925" s="3">
        <v>3476.0</v>
      </c>
      <c r="B10925" s="4">
        <v>45455.82351851852</v>
      </c>
      <c r="C10925" s="3" t="s">
        <v>7</v>
      </c>
    </row>
    <row r="10926">
      <c r="A10926" s="3">
        <v>5365.0</v>
      </c>
      <c r="B10926" s="4">
        <v>45455.833599537036</v>
      </c>
      <c r="C10926" s="3" t="s">
        <v>5</v>
      </c>
    </row>
    <row r="10927">
      <c r="A10927" s="3">
        <v>6728.0</v>
      </c>
      <c r="B10927" s="4">
        <v>45455.83526620371</v>
      </c>
      <c r="C10927" s="3" t="s">
        <v>5</v>
      </c>
    </row>
    <row r="10928">
      <c r="A10928" s="3">
        <v>1285.0</v>
      </c>
      <c r="B10928" s="4">
        <v>45455.84644675926</v>
      </c>
      <c r="C10928" s="3" t="s">
        <v>3</v>
      </c>
    </row>
    <row r="10929">
      <c r="A10929" s="3">
        <v>4619.0</v>
      </c>
      <c r="B10929" s="4">
        <v>45455.86849537037</v>
      </c>
      <c r="C10929" s="3" t="s">
        <v>5</v>
      </c>
    </row>
    <row r="10930">
      <c r="A10930" s="3">
        <v>5901.0</v>
      </c>
      <c r="B10930" s="4">
        <v>45455.882881944446</v>
      </c>
      <c r="C10930" s="3" t="s">
        <v>4</v>
      </c>
    </row>
    <row r="10931">
      <c r="A10931" s="3">
        <v>5439.0</v>
      </c>
      <c r="B10931" s="4">
        <v>45455.890127314815</v>
      </c>
      <c r="C10931" s="3" t="s">
        <v>4</v>
      </c>
    </row>
    <row r="10932">
      <c r="A10932" s="3">
        <v>4302.0</v>
      </c>
      <c r="B10932" s="4">
        <v>45455.904386574075</v>
      </c>
      <c r="C10932" s="3" t="s">
        <v>7</v>
      </c>
    </row>
    <row r="10933">
      <c r="A10933" s="3">
        <v>4982.0</v>
      </c>
      <c r="B10933" s="4">
        <v>45455.90615740741</v>
      </c>
      <c r="C10933" s="3" t="s">
        <v>5</v>
      </c>
    </row>
    <row r="10934">
      <c r="A10934" s="3">
        <v>2052.0</v>
      </c>
      <c r="B10934" s="4">
        <v>45455.91527777778</v>
      </c>
      <c r="C10934" s="3" t="s">
        <v>4</v>
      </c>
    </row>
    <row r="10935">
      <c r="A10935" s="3">
        <v>4619.0</v>
      </c>
      <c r="B10935" s="4">
        <v>45455.92594907407</v>
      </c>
      <c r="C10935" s="3" t="s">
        <v>4</v>
      </c>
    </row>
    <row r="10936">
      <c r="A10936" s="3">
        <v>2329.0</v>
      </c>
      <c r="B10936" s="4">
        <v>45455.92917824074</v>
      </c>
      <c r="C10936" s="3" t="s">
        <v>7</v>
      </c>
    </row>
    <row r="10937">
      <c r="A10937" s="3">
        <v>4443.0</v>
      </c>
      <c r="B10937" s="4">
        <v>45455.96152777778</v>
      </c>
      <c r="C10937" s="3" t="s">
        <v>3</v>
      </c>
    </row>
    <row r="10938">
      <c r="A10938" s="3">
        <v>4297.0</v>
      </c>
      <c r="B10938" s="4">
        <v>45455.978321759256</v>
      </c>
      <c r="C10938" s="3" t="s">
        <v>6</v>
      </c>
    </row>
    <row r="10939">
      <c r="A10939" s="3">
        <v>3899.0</v>
      </c>
      <c r="B10939" s="4">
        <v>45456.02017361111</v>
      </c>
      <c r="C10939" s="3" t="s">
        <v>7</v>
      </c>
    </row>
    <row r="10940">
      <c r="A10940" s="3">
        <v>1045.0</v>
      </c>
      <c r="B10940" s="4">
        <v>45456.07068287037</v>
      </c>
      <c r="C10940" s="3" t="s">
        <v>3</v>
      </c>
    </row>
    <row r="10941">
      <c r="A10941" s="3">
        <v>7883.0</v>
      </c>
      <c r="B10941" s="4">
        <v>45456.074166666665</v>
      </c>
      <c r="C10941" s="3" t="s">
        <v>3</v>
      </c>
    </row>
    <row r="10942">
      <c r="A10942" s="3">
        <v>1378.0</v>
      </c>
      <c r="B10942" s="4">
        <v>45456.0850462963</v>
      </c>
      <c r="C10942" s="3" t="s">
        <v>3</v>
      </c>
    </row>
    <row r="10943">
      <c r="A10943" s="3">
        <v>5037.0</v>
      </c>
      <c r="B10943" s="4">
        <v>45456.10920138889</v>
      </c>
      <c r="C10943" s="3" t="s">
        <v>4</v>
      </c>
    </row>
    <row r="10944">
      <c r="A10944" s="3">
        <v>4443.0</v>
      </c>
      <c r="B10944" s="4">
        <v>45456.111030092594</v>
      </c>
      <c r="C10944" s="3" t="s">
        <v>4</v>
      </c>
    </row>
    <row r="10945">
      <c r="A10945" s="3">
        <v>7871.0</v>
      </c>
      <c r="B10945" s="4">
        <v>45456.11896990741</v>
      </c>
      <c r="C10945" s="3" t="s">
        <v>4</v>
      </c>
    </row>
    <row r="10946">
      <c r="A10946" s="3">
        <v>4069.0</v>
      </c>
      <c r="B10946" s="4">
        <v>45456.12678240741</v>
      </c>
      <c r="C10946" s="3" t="s">
        <v>4</v>
      </c>
    </row>
    <row r="10947">
      <c r="A10947" s="3">
        <v>1512.0</v>
      </c>
      <c r="B10947" s="4">
        <v>45456.17833333334</v>
      </c>
      <c r="C10947" s="3" t="s">
        <v>6</v>
      </c>
    </row>
    <row r="10948">
      <c r="A10948" s="3">
        <v>3985.0</v>
      </c>
      <c r="B10948" s="4">
        <v>45456.17909722222</v>
      </c>
      <c r="C10948" s="3" t="s">
        <v>4</v>
      </c>
    </row>
    <row r="10949">
      <c r="A10949" s="3">
        <v>6688.0</v>
      </c>
      <c r="B10949" s="4">
        <v>45456.19611111111</v>
      </c>
      <c r="C10949" s="3" t="s">
        <v>7</v>
      </c>
    </row>
    <row r="10950">
      <c r="A10950" s="3">
        <v>6324.0</v>
      </c>
      <c r="B10950" s="4">
        <v>45456.19809027778</v>
      </c>
      <c r="C10950" s="3" t="s">
        <v>7</v>
      </c>
    </row>
    <row r="10951">
      <c r="A10951" s="3">
        <v>1582.0</v>
      </c>
      <c r="B10951" s="4">
        <v>45456.20167824074</v>
      </c>
      <c r="C10951" s="3" t="s">
        <v>3</v>
      </c>
    </row>
    <row r="10952">
      <c r="A10952" s="3">
        <v>7652.0</v>
      </c>
      <c r="B10952" s="4">
        <v>45456.20516203704</v>
      </c>
      <c r="C10952" s="3" t="s">
        <v>6</v>
      </c>
    </row>
    <row r="10953">
      <c r="A10953" s="3">
        <v>1801.0</v>
      </c>
      <c r="B10953" s="4">
        <v>45456.213009259256</v>
      </c>
      <c r="C10953" s="3" t="s">
        <v>3</v>
      </c>
    </row>
    <row r="10954">
      <c r="A10954" s="3">
        <v>6358.0</v>
      </c>
      <c r="B10954" s="4">
        <v>45456.26357638889</v>
      </c>
      <c r="C10954" s="3" t="s">
        <v>3</v>
      </c>
    </row>
    <row r="10955">
      <c r="A10955" s="3">
        <v>6762.0</v>
      </c>
      <c r="B10955" s="4">
        <v>45456.26461805555</v>
      </c>
      <c r="C10955" s="3" t="s">
        <v>3</v>
      </c>
    </row>
    <row r="10956">
      <c r="A10956" s="3">
        <v>562.0</v>
      </c>
      <c r="B10956" s="4">
        <v>45456.27689814815</v>
      </c>
      <c r="C10956" s="3" t="s">
        <v>6</v>
      </c>
    </row>
    <row r="10957">
      <c r="A10957" s="3">
        <v>5949.0</v>
      </c>
      <c r="B10957" s="4">
        <v>45456.30548611111</v>
      </c>
      <c r="C10957" s="3" t="s">
        <v>3</v>
      </c>
    </row>
    <row r="10958">
      <c r="A10958" s="3">
        <v>4016.0</v>
      </c>
      <c r="B10958" s="4">
        <v>45456.32880787037</v>
      </c>
      <c r="C10958" s="3" t="s">
        <v>4</v>
      </c>
    </row>
    <row r="10959">
      <c r="A10959" s="3">
        <v>6631.0</v>
      </c>
      <c r="B10959" s="4">
        <v>45456.39855324074</v>
      </c>
      <c r="C10959" s="3" t="s">
        <v>7</v>
      </c>
    </row>
    <row r="10960">
      <c r="A10960" s="3">
        <v>3504.0</v>
      </c>
      <c r="B10960" s="4">
        <v>45456.40315972222</v>
      </c>
      <c r="C10960" s="3" t="s">
        <v>4</v>
      </c>
    </row>
    <row r="10961">
      <c r="A10961" s="3">
        <v>6056.0</v>
      </c>
      <c r="B10961" s="4">
        <v>45456.43148148148</v>
      </c>
      <c r="C10961" s="3" t="s">
        <v>7</v>
      </c>
    </row>
    <row r="10962">
      <c r="A10962" s="3">
        <v>6437.0</v>
      </c>
      <c r="B10962" s="4">
        <v>45456.43444444444</v>
      </c>
      <c r="C10962" s="3" t="s">
        <v>4</v>
      </c>
    </row>
    <row r="10963">
      <c r="A10963" s="3">
        <v>5627.0</v>
      </c>
      <c r="B10963" s="4">
        <v>45456.4359375</v>
      </c>
      <c r="C10963" s="3" t="s">
        <v>3</v>
      </c>
    </row>
    <row r="10964">
      <c r="A10964" s="3">
        <v>1045.0</v>
      </c>
      <c r="B10964" s="4">
        <v>45456.44645833333</v>
      </c>
      <c r="C10964" s="3" t="s">
        <v>4</v>
      </c>
    </row>
    <row r="10965">
      <c r="A10965" s="3">
        <v>5878.0</v>
      </c>
      <c r="B10965" s="4">
        <v>45456.45002314815</v>
      </c>
      <c r="C10965" s="3" t="s">
        <v>3</v>
      </c>
    </row>
    <row r="10966">
      <c r="A10966" s="3">
        <v>4443.0</v>
      </c>
      <c r="B10966" s="4">
        <v>45456.473344907405</v>
      </c>
      <c r="C10966" s="3" t="s">
        <v>6</v>
      </c>
    </row>
    <row r="10967">
      <c r="A10967" s="3">
        <v>7867.0</v>
      </c>
      <c r="B10967" s="4">
        <v>45456.48842592593</v>
      </c>
      <c r="C10967" s="3" t="s">
        <v>4</v>
      </c>
    </row>
    <row r="10968">
      <c r="A10968" s="3">
        <v>1315.0</v>
      </c>
      <c r="B10968" s="4">
        <v>45456.49265046296</v>
      </c>
      <c r="C10968" s="3" t="s">
        <v>3</v>
      </c>
    </row>
    <row r="10969">
      <c r="A10969" s="3">
        <v>7175.0</v>
      </c>
      <c r="B10969" s="4">
        <v>45456.50597222222</v>
      </c>
      <c r="C10969" s="3" t="s">
        <v>5</v>
      </c>
    </row>
    <row r="10970">
      <c r="A10970" s="3">
        <v>744.0</v>
      </c>
      <c r="B10970" s="4">
        <v>45456.52778935185</v>
      </c>
      <c r="C10970" s="3" t="s">
        <v>3</v>
      </c>
    </row>
    <row r="10971">
      <c r="A10971" s="3">
        <v>7550.0</v>
      </c>
      <c r="B10971" s="4">
        <v>45456.53381944444</v>
      </c>
      <c r="C10971" s="3" t="s">
        <v>4</v>
      </c>
    </row>
    <row r="10972">
      <c r="A10972" s="3">
        <v>2983.0</v>
      </c>
      <c r="B10972" s="4">
        <v>45456.55871527778</v>
      </c>
      <c r="C10972" s="3" t="s">
        <v>3</v>
      </c>
    </row>
    <row r="10973">
      <c r="A10973" s="3">
        <v>2650.0</v>
      </c>
      <c r="B10973" s="4">
        <v>45456.566516203704</v>
      </c>
      <c r="C10973" s="3" t="s">
        <v>4</v>
      </c>
    </row>
    <row r="10974">
      <c r="A10974" s="3">
        <v>143.0</v>
      </c>
      <c r="B10974" s="4">
        <v>45456.569872685184</v>
      </c>
      <c r="C10974" s="3" t="s">
        <v>4</v>
      </c>
    </row>
    <row r="10975">
      <c r="A10975" s="3">
        <v>6822.0</v>
      </c>
      <c r="B10975" s="4">
        <v>45456.579675925925</v>
      </c>
      <c r="C10975" s="3" t="s">
        <v>3</v>
      </c>
    </row>
    <row r="10976">
      <c r="A10976" s="3">
        <v>2179.0</v>
      </c>
      <c r="B10976" s="4">
        <v>45456.58136574074</v>
      </c>
      <c r="C10976" s="3" t="s">
        <v>6</v>
      </c>
    </row>
    <row r="10977">
      <c r="A10977" s="3">
        <v>3985.0</v>
      </c>
      <c r="B10977" s="4">
        <v>45456.59892361111</v>
      </c>
      <c r="C10977" s="3" t="s">
        <v>5</v>
      </c>
    </row>
    <row r="10978">
      <c r="A10978" s="3">
        <v>1597.0</v>
      </c>
      <c r="B10978" s="4">
        <v>45456.639027777775</v>
      </c>
      <c r="C10978" s="3" t="s">
        <v>3</v>
      </c>
    </row>
    <row r="10979">
      <c r="A10979" s="3">
        <v>2836.0</v>
      </c>
      <c r="B10979" s="4">
        <v>45456.6509375</v>
      </c>
      <c r="C10979" s="3" t="s">
        <v>6</v>
      </c>
    </row>
    <row r="10980">
      <c r="A10980" s="3">
        <v>4290.0</v>
      </c>
      <c r="B10980" s="4">
        <v>45456.69943287037</v>
      </c>
      <c r="C10980" s="3" t="s">
        <v>3</v>
      </c>
    </row>
    <row r="10981">
      <c r="A10981" s="3">
        <v>3536.0</v>
      </c>
      <c r="B10981" s="4">
        <v>45456.74353009259</v>
      </c>
      <c r="C10981" s="3" t="s">
        <v>5</v>
      </c>
    </row>
    <row r="10982">
      <c r="A10982" s="3">
        <v>5220.0</v>
      </c>
      <c r="B10982" s="4">
        <v>45456.74820601852</v>
      </c>
      <c r="C10982" s="3" t="s">
        <v>4</v>
      </c>
    </row>
    <row r="10983">
      <c r="A10983" s="3">
        <v>4696.0</v>
      </c>
      <c r="B10983" s="4">
        <v>45456.75604166667</v>
      </c>
      <c r="C10983" s="3" t="s">
        <v>4</v>
      </c>
    </row>
    <row r="10984">
      <c r="A10984" s="3">
        <v>6587.0</v>
      </c>
      <c r="B10984" s="4">
        <v>45456.77412037037</v>
      </c>
      <c r="C10984" s="3" t="s">
        <v>3</v>
      </c>
    </row>
    <row r="10985">
      <c r="A10985" s="3">
        <v>7344.0</v>
      </c>
      <c r="B10985" s="4">
        <v>45456.77613425926</v>
      </c>
      <c r="C10985" s="3" t="s">
        <v>4</v>
      </c>
    </row>
    <row r="10986">
      <c r="A10986" s="3">
        <v>5365.0</v>
      </c>
      <c r="B10986" s="4">
        <v>45456.78623842593</v>
      </c>
      <c r="C10986" s="3" t="s">
        <v>6</v>
      </c>
    </row>
    <row r="10987">
      <c r="A10987" s="3">
        <v>5039.0</v>
      </c>
      <c r="B10987" s="4">
        <v>45456.81827546296</v>
      </c>
      <c r="C10987" s="3" t="s">
        <v>3</v>
      </c>
    </row>
    <row r="10988">
      <c r="A10988" s="3">
        <v>7550.0</v>
      </c>
      <c r="B10988" s="4">
        <v>45456.85891203704</v>
      </c>
      <c r="C10988" s="3" t="s">
        <v>3</v>
      </c>
    </row>
    <row r="10989">
      <c r="A10989" s="3">
        <v>923.0</v>
      </c>
      <c r="B10989" s="4">
        <v>45456.87159722222</v>
      </c>
      <c r="C10989" s="3" t="s">
        <v>3</v>
      </c>
    </row>
    <row r="10990">
      <c r="A10990" s="3">
        <v>5691.0</v>
      </c>
      <c r="B10990" s="4">
        <v>45456.886979166666</v>
      </c>
      <c r="C10990" s="3" t="s">
        <v>4</v>
      </c>
    </row>
    <row r="10991">
      <c r="A10991" s="3">
        <v>6358.0</v>
      </c>
      <c r="B10991" s="4">
        <v>45456.89608796296</v>
      </c>
      <c r="C10991" s="3" t="s">
        <v>4</v>
      </c>
    </row>
    <row r="10992">
      <c r="A10992" s="3">
        <v>7871.0</v>
      </c>
      <c r="B10992" s="4">
        <v>45456.90766203704</v>
      </c>
      <c r="C10992" s="3" t="s">
        <v>5</v>
      </c>
    </row>
    <row r="10993">
      <c r="A10993" s="3">
        <v>6631.0</v>
      </c>
      <c r="B10993" s="4">
        <v>45456.93241898148</v>
      </c>
      <c r="C10993" s="3" t="s">
        <v>5</v>
      </c>
    </row>
    <row r="10994">
      <c r="A10994" s="3">
        <v>2257.0</v>
      </c>
      <c r="B10994" s="4">
        <v>45456.93604166667</v>
      </c>
      <c r="C10994" s="3" t="s">
        <v>3</v>
      </c>
    </row>
    <row r="10995">
      <c r="A10995" s="3">
        <v>2116.0</v>
      </c>
      <c r="B10995" s="4">
        <v>45456.937048611115</v>
      </c>
      <c r="C10995" s="3" t="s">
        <v>7</v>
      </c>
    </row>
    <row r="10996">
      <c r="A10996" s="3">
        <v>6187.0</v>
      </c>
      <c r="B10996" s="4">
        <v>45456.93896990741</v>
      </c>
      <c r="C10996" s="3" t="s">
        <v>3</v>
      </c>
    </row>
    <row r="10997">
      <c r="A10997" s="3">
        <v>6324.0</v>
      </c>
      <c r="B10997" s="4">
        <v>45456.94368055555</v>
      </c>
      <c r="C10997" s="3" t="s">
        <v>5</v>
      </c>
    </row>
    <row r="10998">
      <c r="A10998" s="3">
        <v>4656.0</v>
      </c>
      <c r="B10998" s="4">
        <v>45456.95054398148</v>
      </c>
      <c r="C10998" s="3" t="s">
        <v>3</v>
      </c>
    </row>
    <row r="10999">
      <c r="A10999" s="3">
        <v>7368.0</v>
      </c>
      <c r="B10999" s="4">
        <v>45456.95685185185</v>
      </c>
      <c r="C10999" s="3" t="s">
        <v>4</v>
      </c>
    </row>
    <row r="11000">
      <c r="A11000" s="3">
        <v>3453.0</v>
      </c>
      <c r="B11000" s="4">
        <v>45456.95758101852</v>
      </c>
      <c r="C11000" s="3" t="s">
        <v>3</v>
      </c>
    </row>
    <row r="11001">
      <c r="A11001" s="3">
        <v>3857.0</v>
      </c>
      <c r="B11001" s="4">
        <v>45456.97858796296</v>
      </c>
      <c r="C11001" s="3" t="s">
        <v>3</v>
      </c>
    </row>
    <row r="11002">
      <c r="A11002" s="3">
        <v>744.0</v>
      </c>
      <c r="B11002" s="4">
        <v>45456.994942129626</v>
      </c>
      <c r="C11002" s="3" t="s">
        <v>4</v>
      </c>
    </row>
    <row r="11003">
      <c r="A11003" s="3">
        <v>3107.0</v>
      </c>
      <c r="B11003" s="4">
        <v>45457.00622685185</v>
      </c>
      <c r="C11003" s="3" t="s">
        <v>4</v>
      </c>
    </row>
    <row r="11004">
      <c r="A11004" s="3">
        <v>7105.0</v>
      </c>
      <c r="B11004" s="4">
        <v>45457.02684027778</v>
      </c>
      <c r="C11004" s="3" t="s">
        <v>4</v>
      </c>
    </row>
    <row r="11005">
      <c r="A11005" s="3">
        <v>2284.0</v>
      </c>
      <c r="B11005" s="4">
        <v>45457.03712962963</v>
      </c>
      <c r="C11005" s="3" t="s">
        <v>6</v>
      </c>
    </row>
    <row r="11006">
      <c r="A11006" s="3">
        <v>4418.0</v>
      </c>
      <c r="B11006" s="4">
        <v>45457.04673611111</v>
      </c>
      <c r="C11006" s="3" t="s">
        <v>7</v>
      </c>
    </row>
    <row r="11007">
      <c r="A11007" s="3">
        <v>3857.0</v>
      </c>
      <c r="B11007" s="4">
        <v>45457.04782407408</v>
      </c>
      <c r="C11007" s="3" t="s">
        <v>6</v>
      </c>
    </row>
    <row r="11008">
      <c r="A11008" s="3">
        <v>3164.0</v>
      </c>
      <c r="B11008" s="4">
        <v>45457.075057870374</v>
      </c>
      <c r="C11008" s="3" t="s">
        <v>3</v>
      </c>
    </row>
    <row r="11009">
      <c r="A11009" s="3">
        <v>3112.0</v>
      </c>
      <c r="B11009" s="4">
        <v>45457.08079861111</v>
      </c>
      <c r="C11009" s="3" t="s">
        <v>3</v>
      </c>
    </row>
    <row r="11010">
      <c r="A11010" s="3">
        <v>4505.0</v>
      </c>
      <c r="B11010" s="4">
        <v>45457.103530092594</v>
      </c>
      <c r="C11010" s="3" t="s">
        <v>6</v>
      </c>
    </row>
    <row r="11011">
      <c r="A11011" s="3">
        <v>466.0</v>
      </c>
      <c r="B11011" s="4">
        <v>45457.114328703705</v>
      </c>
      <c r="C11011" s="3" t="s">
        <v>3</v>
      </c>
    </row>
    <row r="11012">
      <c r="A11012" s="3">
        <v>4982.0</v>
      </c>
      <c r="B11012" s="4">
        <v>45457.12814814815</v>
      </c>
      <c r="C11012" s="3" t="s">
        <v>7</v>
      </c>
    </row>
    <row r="11013">
      <c r="A11013" s="3">
        <v>744.0</v>
      </c>
      <c r="B11013" s="4">
        <v>45457.13340277778</v>
      </c>
      <c r="C11013" s="3" t="s">
        <v>6</v>
      </c>
    </row>
    <row r="11014">
      <c r="A11014" s="3">
        <v>1154.0</v>
      </c>
      <c r="B11014" s="4">
        <v>45457.13490740741</v>
      </c>
      <c r="C11014" s="3" t="s">
        <v>3</v>
      </c>
    </row>
    <row r="11015">
      <c r="A11015" s="3">
        <v>4016.0</v>
      </c>
      <c r="B11015" s="4">
        <v>45457.148564814815</v>
      </c>
      <c r="C11015" s="3" t="s">
        <v>5</v>
      </c>
    </row>
    <row r="11016">
      <c r="A11016" s="3">
        <v>94.0</v>
      </c>
      <c r="B11016" s="4">
        <v>45457.175891203704</v>
      </c>
      <c r="C11016" s="3" t="s">
        <v>6</v>
      </c>
    </row>
    <row r="11017">
      <c r="A11017" s="3">
        <v>5220.0</v>
      </c>
      <c r="B11017" s="4">
        <v>45457.18934027778</v>
      </c>
      <c r="C11017" s="3" t="s">
        <v>5</v>
      </c>
    </row>
    <row r="11018">
      <c r="A11018" s="3">
        <v>5557.0</v>
      </c>
      <c r="B11018" s="4">
        <v>45457.24146990741</v>
      </c>
      <c r="C11018" s="3" t="s">
        <v>3</v>
      </c>
    </row>
    <row r="11019">
      <c r="A11019" s="3">
        <v>3985.0</v>
      </c>
      <c r="B11019" s="4">
        <v>45457.250868055555</v>
      </c>
      <c r="C11019" s="3" t="s">
        <v>6</v>
      </c>
    </row>
    <row r="11020">
      <c r="A11020" s="3">
        <v>7879.0</v>
      </c>
      <c r="B11020" s="4">
        <v>45457.27201388889</v>
      </c>
      <c r="C11020" s="3" t="s">
        <v>6</v>
      </c>
    </row>
    <row r="11021">
      <c r="A11021" s="3">
        <v>6608.0</v>
      </c>
      <c r="B11021" s="4">
        <v>45457.28443287037</v>
      </c>
      <c r="C11021" s="3" t="s">
        <v>4</v>
      </c>
    </row>
    <row r="11022">
      <c r="A11022" s="3">
        <v>450.0</v>
      </c>
      <c r="B11022" s="4">
        <v>45457.3074537037</v>
      </c>
      <c r="C11022" s="3" t="s">
        <v>3</v>
      </c>
    </row>
    <row r="11023">
      <c r="A11023" s="3">
        <v>6608.0</v>
      </c>
      <c r="B11023" s="4">
        <v>45457.30795138889</v>
      </c>
      <c r="C11023" s="3" t="s">
        <v>3</v>
      </c>
    </row>
    <row r="11024">
      <c r="A11024" s="3">
        <v>4270.0</v>
      </c>
      <c r="B11024" s="4">
        <v>45457.310381944444</v>
      </c>
      <c r="C11024" s="3" t="s">
        <v>3</v>
      </c>
    </row>
    <row r="11025">
      <c r="A11025" s="3">
        <v>3857.0</v>
      </c>
      <c r="B11025" s="4">
        <v>45457.32423611111</v>
      </c>
      <c r="C11025" s="3" t="s">
        <v>7</v>
      </c>
    </row>
    <row r="11026">
      <c r="A11026" s="3">
        <v>1273.0</v>
      </c>
      <c r="B11026" s="4">
        <v>45457.35055555555</v>
      </c>
      <c r="C11026" s="3" t="s">
        <v>3</v>
      </c>
    </row>
    <row r="11027">
      <c r="A11027" s="3">
        <v>6885.0</v>
      </c>
      <c r="B11027" s="4">
        <v>45457.36243055556</v>
      </c>
      <c r="C11027" s="3" t="s">
        <v>3</v>
      </c>
    </row>
    <row r="11028">
      <c r="A11028" s="3">
        <v>1963.0</v>
      </c>
      <c r="B11028" s="4">
        <v>45457.37349537037</v>
      </c>
      <c r="C11028" s="3" t="s">
        <v>3</v>
      </c>
    </row>
    <row r="11029">
      <c r="A11029" s="3">
        <v>3295.0</v>
      </c>
      <c r="B11029" s="4">
        <v>45457.373564814814</v>
      </c>
      <c r="C11029" s="3" t="s">
        <v>3</v>
      </c>
    </row>
    <row r="11030">
      <c r="A11030" s="3">
        <v>2541.0</v>
      </c>
      <c r="B11030" s="4">
        <v>45457.40143518519</v>
      </c>
      <c r="C11030" s="3" t="s">
        <v>6</v>
      </c>
    </row>
    <row r="11031">
      <c r="A11031" s="3">
        <v>4696.0</v>
      </c>
      <c r="B11031" s="4">
        <v>45457.41233796296</v>
      </c>
      <c r="C11031" s="3" t="s">
        <v>5</v>
      </c>
    </row>
    <row r="11032">
      <c r="A11032" s="3">
        <v>5536.0</v>
      </c>
      <c r="B11032" s="4">
        <v>45457.42167824074</v>
      </c>
      <c r="C11032" s="3" t="s">
        <v>3</v>
      </c>
    </row>
    <row r="11033">
      <c r="A11033" s="3">
        <v>7175.0</v>
      </c>
      <c r="B11033" s="4">
        <v>45457.43582175926</v>
      </c>
      <c r="C11033" s="3" t="s">
        <v>7</v>
      </c>
    </row>
    <row r="11034">
      <c r="A11034" s="3">
        <v>4734.0</v>
      </c>
      <c r="B11034" s="4">
        <v>45457.43664351852</v>
      </c>
      <c r="C11034" s="3" t="s">
        <v>3</v>
      </c>
    </row>
    <row r="11035">
      <c r="A11035" s="3">
        <v>2526.0</v>
      </c>
      <c r="B11035" s="4">
        <v>45457.45810185185</v>
      </c>
      <c r="C11035" s="3" t="s">
        <v>3</v>
      </c>
    </row>
    <row r="11036">
      <c r="A11036" s="3">
        <v>6051.0</v>
      </c>
      <c r="B11036" s="4">
        <v>45457.461018518516</v>
      </c>
      <c r="C11036" s="3" t="s">
        <v>6</v>
      </c>
    </row>
    <row r="11037">
      <c r="A11037" s="3">
        <v>5537.0</v>
      </c>
      <c r="B11037" s="4">
        <v>45457.48039351852</v>
      </c>
      <c r="C11037" s="3" t="s">
        <v>3</v>
      </c>
    </row>
    <row r="11038">
      <c r="A11038" s="3">
        <v>1104.0</v>
      </c>
      <c r="B11038" s="4">
        <v>45457.485868055555</v>
      </c>
      <c r="C11038" s="3" t="s">
        <v>6</v>
      </c>
    </row>
    <row r="11039">
      <c r="A11039" s="3">
        <v>168.0</v>
      </c>
      <c r="B11039" s="4">
        <v>45457.50303240741</v>
      </c>
      <c r="C11039" s="3" t="s">
        <v>6</v>
      </c>
    </row>
    <row r="11040">
      <c r="A11040" s="3">
        <v>7568.0</v>
      </c>
      <c r="B11040" s="4">
        <v>45457.515706018516</v>
      </c>
      <c r="C11040" s="3" t="s">
        <v>6</v>
      </c>
    </row>
    <row r="11041">
      <c r="A11041" s="3">
        <v>4302.0</v>
      </c>
      <c r="B11041" s="4">
        <v>45457.526875</v>
      </c>
      <c r="C11041" s="3" t="s">
        <v>5</v>
      </c>
    </row>
    <row r="11042">
      <c r="A11042" s="3">
        <v>7493.0</v>
      </c>
      <c r="B11042" s="4">
        <v>45457.607037037036</v>
      </c>
      <c r="C11042" s="3" t="s">
        <v>3</v>
      </c>
    </row>
    <row r="11043">
      <c r="A11043" s="3">
        <v>5571.0</v>
      </c>
      <c r="B11043" s="4">
        <v>45457.64876157408</v>
      </c>
      <c r="C11043" s="3" t="s">
        <v>4</v>
      </c>
    </row>
    <row r="11044">
      <c r="A11044" s="3">
        <v>233.0</v>
      </c>
      <c r="B11044" s="4">
        <v>45457.665868055556</v>
      </c>
      <c r="C11044" s="3" t="s">
        <v>3</v>
      </c>
    </row>
    <row r="11045">
      <c r="A11045" s="3">
        <v>4656.0</v>
      </c>
      <c r="B11045" s="4">
        <v>45457.67099537037</v>
      </c>
      <c r="C11045" s="3" t="s">
        <v>4</v>
      </c>
    </row>
    <row r="11046">
      <c r="A11046" s="3">
        <v>835.0</v>
      </c>
      <c r="B11046" s="4">
        <v>45457.681979166664</v>
      </c>
      <c r="C11046" s="3" t="s">
        <v>3</v>
      </c>
    </row>
    <row r="11047">
      <c r="A11047" s="3">
        <v>4770.0</v>
      </c>
      <c r="B11047" s="4">
        <v>45457.70203703704</v>
      </c>
      <c r="C11047" s="3" t="s">
        <v>6</v>
      </c>
    </row>
    <row r="11048">
      <c r="A11048" s="3">
        <v>1273.0</v>
      </c>
      <c r="B11048" s="4">
        <v>45457.7100462963</v>
      </c>
      <c r="C11048" s="3" t="s">
        <v>4</v>
      </c>
    </row>
    <row r="11049">
      <c r="A11049" s="3">
        <v>7883.0</v>
      </c>
      <c r="B11049" s="4">
        <v>45457.71650462963</v>
      </c>
      <c r="C11049" s="3" t="s">
        <v>5</v>
      </c>
    </row>
    <row r="11050">
      <c r="A11050" s="3">
        <v>642.0</v>
      </c>
      <c r="B11050" s="4">
        <v>45457.78923611111</v>
      </c>
      <c r="C11050" s="3" t="s">
        <v>3</v>
      </c>
    </row>
    <row r="11051">
      <c r="A11051" s="3">
        <v>4669.0</v>
      </c>
      <c r="B11051" s="4">
        <v>45457.8227662037</v>
      </c>
      <c r="C11051" s="3" t="s">
        <v>3</v>
      </c>
    </row>
    <row r="11052">
      <c r="A11052" s="3">
        <v>2145.0</v>
      </c>
      <c r="B11052" s="4">
        <v>45457.84341435185</v>
      </c>
      <c r="C11052" s="3" t="s">
        <v>3</v>
      </c>
    </row>
    <row r="11053">
      <c r="A11053" s="3">
        <v>4696.0</v>
      </c>
      <c r="B11053" s="4">
        <v>45457.87119212963</v>
      </c>
      <c r="C11053" s="3" t="s">
        <v>7</v>
      </c>
    </row>
    <row r="11054">
      <c r="A11054" s="3">
        <v>5039.0</v>
      </c>
      <c r="B11054" s="4">
        <v>45457.87184027778</v>
      </c>
      <c r="C11054" s="3" t="s">
        <v>4</v>
      </c>
    </row>
    <row r="11055">
      <c r="A11055" s="3">
        <v>2654.0</v>
      </c>
      <c r="B11055" s="4">
        <v>45457.904490740744</v>
      </c>
      <c r="C11055" s="3" t="s">
        <v>3</v>
      </c>
    </row>
    <row r="11056">
      <c r="A11056" s="3">
        <v>6966.0</v>
      </c>
      <c r="B11056" s="4">
        <v>45457.91502314815</v>
      </c>
      <c r="C11056" s="3" t="s">
        <v>7</v>
      </c>
    </row>
    <row r="11057">
      <c r="A11057" s="3">
        <v>1045.0</v>
      </c>
      <c r="B11057" s="4">
        <v>45457.98884259259</v>
      </c>
      <c r="C11057" s="3" t="s">
        <v>5</v>
      </c>
    </row>
    <row r="11058">
      <c r="A11058" s="3">
        <v>6437.0</v>
      </c>
      <c r="B11058" s="4">
        <v>45457.99081018518</v>
      </c>
      <c r="C11058" s="3" t="s">
        <v>6</v>
      </c>
    </row>
    <row r="11059">
      <c r="A11059" s="3">
        <v>1302.0</v>
      </c>
      <c r="B11059" s="4">
        <v>45458.020104166666</v>
      </c>
      <c r="C11059" s="3" t="s">
        <v>3</v>
      </c>
    </row>
    <row r="11060">
      <c r="A11060" s="3">
        <v>3304.0</v>
      </c>
      <c r="B11060" s="4">
        <v>45458.03346064815</v>
      </c>
      <c r="C11060" s="3" t="s">
        <v>5</v>
      </c>
    </row>
    <row r="11061">
      <c r="A11061" s="3">
        <v>1582.0</v>
      </c>
      <c r="B11061" s="4">
        <v>45458.05190972222</v>
      </c>
      <c r="C11061" s="3" t="s">
        <v>4</v>
      </c>
    </row>
    <row r="11062">
      <c r="A11062" s="3">
        <v>171.0</v>
      </c>
      <c r="B11062" s="4">
        <v>45458.080555555556</v>
      </c>
      <c r="C11062" s="3" t="s">
        <v>3</v>
      </c>
    </row>
    <row r="11063">
      <c r="A11063" s="3">
        <v>7125.0</v>
      </c>
      <c r="B11063" s="4">
        <v>45458.093310185184</v>
      </c>
      <c r="C11063" s="3" t="s">
        <v>3</v>
      </c>
    </row>
    <row r="11064">
      <c r="A11064" s="3">
        <v>2497.0</v>
      </c>
      <c r="B11064" s="4">
        <v>45458.12461805555</v>
      </c>
      <c r="C11064" s="3" t="s">
        <v>3</v>
      </c>
    </row>
    <row r="11065">
      <c r="A11065" s="3">
        <v>6885.0</v>
      </c>
      <c r="B11065" s="4">
        <v>45458.146145833336</v>
      </c>
      <c r="C11065" s="3" t="s">
        <v>4</v>
      </c>
    </row>
    <row r="11066">
      <c r="A11066" s="3">
        <v>6587.0</v>
      </c>
      <c r="B11066" s="4">
        <v>45458.14864583333</v>
      </c>
      <c r="C11066" s="3" t="s">
        <v>4</v>
      </c>
    </row>
    <row r="11067">
      <c r="A11067" s="3">
        <v>5537.0</v>
      </c>
      <c r="B11067" s="4">
        <v>45458.15458333334</v>
      </c>
      <c r="C11067" s="3" t="s">
        <v>4</v>
      </c>
    </row>
    <row r="11068">
      <c r="A11068" s="3">
        <v>6523.0</v>
      </c>
      <c r="B11068" s="4">
        <v>45458.16300925926</v>
      </c>
      <c r="C11068" s="3" t="s">
        <v>3</v>
      </c>
    </row>
    <row r="11069">
      <c r="A11069" s="3">
        <v>1607.0</v>
      </c>
      <c r="B11069" s="4">
        <v>45458.1640625</v>
      </c>
      <c r="C11069" s="3" t="s">
        <v>5</v>
      </c>
    </row>
    <row r="11070">
      <c r="A11070" s="3">
        <v>5237.0</v>
      </c>
      <c r="B11070" s="4">
        <v>45458.17459490741</v>
      </c>
      <c r="C11070" s="3" t="s">
        <v>3</v>
      </c>
    </row>
    <row r="11071">
      <c r="A11071" s="3">
        <v>3815.0</v>
      </c>
      <c r="B11071" s="4">
        <v>45458.22273148148</v>
      </c>
      <c r="C11071" s="3" t="s">
        <v>3</v>
      </c>
    </row>
    <row r="11072">
      <c r="A11072" s="3">
        <v>5211.0</v>
      </c>
      <c r="B11072" s="4">
        <v>45458.232569444444</v>
      </c>
      <c r="C11072" s="3" t="s">
        <v>6</v>
      </c>
    </row>
    <row r="11073">
      <c r="A11073" s="3">
        <v>7733.0</v>
      </c>
      <c r="B11073" s="4">
        <v>45458.24116898148</v>
      </c>
      <c r="C11073" s="3" t="s">
        <v>6</v>
      </c>
    </row>
    <row r="11074">
      <c r="A11074" s="3">
        <v>7493.0</v>
      </c>
      <c r="B11074" s="4">
        <v>45458.24694444444</v>
      </c>
      <c r="C11074" s="3" t="s">
        <v>4</v>
      </c>
    </row>
    <row r="11075">
      <c r="A11075" s="3">
        <v>819.0</v>
      </c>
      <c r="B11075" s="4">
        <v>45458.25834490741</v>
      </c>
      <c r="C11075" s="3" t="s">
        <v>3</v>
      </c>
    </row>
    <row r="11076">
      <c r="A11076" s="3">
        <v>2541.0</v>
      </c>
      <c r="B11076" s="4">
        <v>45458.26568287037</v>
      </c>
      <c r="C11076" s="3" t="s">
        <v>5</v>
      </c>
    </row>
    <row r="11077">
      <c r="A11077" s="3">
        <v>5037.0</v>
      </c>
      <c r="B11077" s="4">
        <v>45458.270625</v>
      </c>
      <c r="C11077" s="3" t="s">
        <v>5</v>
      </c>
    </row>
    <row r="11078">
      <c r="A11078" s="3">
        <v>7930.0</v>
      </c>
      <c r="B11078" s="4">
        <v>45458.31078703704</v>
      </c>
      <c r="C11078" s="3" t="s">
        <v>3</v>
      </c>
    </row>
    <row r="11079">
      <c r="A11079" s="3">
        <v>5934.0</v>
      </c>
      <c r="B11079" s="4">
        <v>45458.329664351855</v>
      </c>
      <c r="C11079" s="3" t="s">
        <v>5</v>
      </c>
    </row>
    <row r="11080">
      <c r="A11080" s="3">
        <v>3164.0</v>
      </c>
      <c r="B11080" s="4">
        <v>45458.33850694444</v>
      </c>
      <c r="C11080" s="3" t="s">
        <v>5</v>
      </c>
    </row>
    <row r="11081">
      <c r="A11081" s="3">
        <v>5834.0</v>
      </c>
      <c r="B11081" s="4">
        <v>45458.346921296295</v>
      </c>
      <c r="C11081" s="3" t="s">
        <v>6</v>
      </c>
    </row>
    <row r="11082">
      <c r="A11082" s="3">
        <v>5870.0</v>
      </c>
      <c r="B11082" s="4">
        <v>45458.359814814816</v>
      </c>
      <c r="C11082" s="3" t="s">
        <v>3</v>
      </c>
    </row>
    <row r="11083">
      <c r="A11083" s="3">
        <v>3170.0</v>
      </c>
      <c r="B11083" s="4">
        <v>45458.367800925924</v>
      </c>
      <c r="C11083" s="3" t="s">
        <v>3</v>
      </c>
    </row>
    <row r="11084">
      <c r="A11084" s="3">
        <v>6214.0</v>
      </c>
      <c r="B11084" s="4">
        <v>45458.376435185186</v>
      </c>
      <c r="C11084" s="3" t="s">
        <v>6</v>
      </c>
    </row>
    <row r="11085">
      <c r="A11085" s="3">
        <v>2654.0</v>
      </c>
      <c r="B11085" s="4">
        <v>45458.378113425926</v>
      </c>
      <c r="C11085" s="3" t="s">
        <v>4</v>
      </c>
    </row>
    <row r="11086">
      <c r="A11086" s="3">
        <v>466.0</v>
      </c>
      <c r="B11086" s="4">
        <v>45458.38318287037</v>
      </c>
      <c r="C11086" s="3" t="s">
        <v>6</v>
      </c>
    </row>
    <row r="11087">
      <c r="A11087" s="3">
        <v>1154.0</v>
      </c>
      <c r="B11087" s="4">
        <v>45458.403182870374</v>
      </c>
      <c r="C11087" s="3" t="s">
        <v>4</v>
      </c>
    </row>
    <row r="11088">
      <c r="A11088" s="3">
        <v>4235.0</v>
      </c>
      <c r="B11088" s="4">
        <v>45458.47864583333</v>
      </c>
      <c r="C11088" s="3" t="s">
        <v>3</v>
      </c>
    </row>
    <row r="11089">
      <c r="A11089" s="3">
        <v>2496.0</v>
      </c>
      <c r="B11089" s="4">
        <v>45458.483668981484</v>
      </c>
      <c r="C11089" s="3" t="s">
        <v>6</v>
      </c>
    </row>
    <row r="11090">
      <c r="A11090" s="3">
        <v>6762.0</v>
      </c>
      <c r="B11090" s="4">
        <v>45458.48708333333</v>
      </c>
      <c r="C11090" s="3" t="s">
        <v>4</v>
      </c>
    </row>
    <row r="11091">
      <c r="A11091" s="3">
        <v>5573.0</v>
      </c>
      <c r="B11091" s="4">
        <v>45458.49012731481</v>
      </c>
      <c r="C11091" s="3" t="s">
        <v>3</v>
      </c>
    </row>
    <row r="11092">
      <c r="A11092" s="3">
        <v>642.0</v>
      </c>
      <c r="B11092" s="4">
        <v>45458.518958333334</v>
      </c>
      <c r="C11092" s="3" t="s">
        <v>7</v>
      </c>
    </row>
    <row r="11093">
      <c r="A11093" s="3">
        <v>3050.0</v>
      </c>
      <c r="B11093" s="4">
        <v>45458.52815972222</v>
      </c>
      <c r="C11093" s="3" t="s">
        <v>3</v>
      </c>
    </row>
    <row r="11094">
      <c r="A11094" s="3">
        <v>5934.0</v>
      </c>
      <c r="B11094" s="4">
        <v>45458.59523148148</v>
      </c>
      <c r="C11094" s="3" t="s">
        <v>3</v>
      </c>
    </row>
    <row r="11095">
      <c r="A11095" s="3">
        <v>2831.0</v>
      </c>
      <c r="B11095" s="4">
        <v>45458.612280092595</v>
      </c>
      <c r="C11095" s="3" t="s">
        <v>3</v>
      </c>
    </row>
    <row r="11096">
      <c r="A11096" s="3">
        <v>532.0</v>
      </c>
      <c r="B11096" s="4">
        <v>45458.64065972222</v>
      </c>
      <c r="C11096" s="3" t="s">
        <v>3</v>
      </c>
    </row>
    <row r="11097">
      <c r="A11097" s="3">
        <v>1643.0</v>
      </c>
      <c r="B11097" s="4">
        <v>45458.643275462964</v>
      </c>
      <c r="C11097" s="3" t="s">
        <v>3</v>
      </c>
    </row>
    <row r="11098">
      <c r="A11098" s="3">
        <v>6513.0</v>
      </c>
      <c r="B11098" s="4">
        <v>45458.669895833336</v>
      </c>
      <c r="C11098" s="3" t="s">
        <v>4</v>
      </c>
    </row>
    <row r="11099">
      <c r="A11099" s="3">
        <v>4636.0</v>
      </c>
      <c r="B11099" s="4">
        <v>45458.68104166666</v>
      </c>
      <c r="C11099" s="3" t="s">
        <v>3</v>
      </c>
    </row>
    <row r="11100">
      <c r="A11100" s="3">
        <v>1507.0</v>
      </c>
      <c r="B11100" s="4">
        <v>45458.68928240741</v>
      </c>
      <c r="C11100" s="3" t="s">
        <v>3</v>
      </c>
    </row>
    <row r="11101">
      <c r="A11101" s="3">
        <v>4668.0</v>
      </c>
      <c r="B11101" s="4">
        <v>45458.749548611115</v>
      </c>
      <c r="C11101" s="3" t="s">
        <v>3</v>
      </c>
    </row>
    <row r="11102">
      <c r="A11102" s="3">
        <v>6054.0</v>
      </c>
      <c r="B11102" s="4">
        <v>45458.759363425925</v>
      </c>
      <c r="C11102" s="3" t="s">
        <v>3</v>
      </c>
    </row>
    <row r="11103">
      <c r="A11103" s="3">
        <v>6523.0</v>
      </c>
      <c r="B11103" s="4">
        <v>45458.76447916667</v>
      </c>
      <c r="C11103" s="3" t="s">
        <v>4</v>
      </c>
    </row>
    <row r="11104">
      <c r="A11104" s="3">
        <v>2508.0</v>
      </c>
      <c r="B11104" s="4">
        <v>45458.79381944444</v>
      </c>
      <c r="C11104" s="3" t="s">
        <v>4</v>
      </c>
    </row>
    <row r="11105">
      <c r="A11105" s="3">
        <v>6414.0</v>
      </c>
      <c r="B11105" s="4">
        <v>45458.823912037034</v>
      </c>
      <c r="C11105" s="3" t="s">
        <v>3</v>
      </c>
    </row>
    <row r="11106">
      <c r="A11106" s="3">
        <v>4257.0</v>
      </c>
      <c r="B11106" s="4">
        <v>45458.842199074075</v>
      </c>
      <c r="C11106" s="3" t="s">
        <v>3</v>
      </c>
    </row>
    <row r="11107">
      <c r="A11107" s="3">
        <v>7883.0</v>
      </c>
      <c r="B11107" s="4">
        <v>45458.84783564815</v>
      </c>
      <c r="C11107" s="3" t="s">
        <v>4</v>
      </c>
    </row>
    <row r="11108">
      <c r="A11108" s="3">
        <v>3304.0</v>
      </c>
      <c r="B11108" s="4">
        <v>45458.86320601852</v>
      </c>
      <c r="C11108" s="3" t="s">
        <v>3</v>
      </c>
    </row>
    <row r="11109">
      <c r="A11109" s="3">
        <v>466.0</v>
      </c>
      <c r="B11109" s="4">
        <v>45458.8800462963</v>
      </c>
      <c r="C11109" s="3" t="s">
        <v>4</v>
      </c>
    </row>
    <row r="11110">
      <c r="A11110" s="3">
        <v>7118.0</v>
      </c>
      <c r="B11110" s="4">
        <v>45458.89570601852</v>
      </c>
      <c r="C11110" s="3" t="s">
        <v>3</v>
      </c>
    </row>
    <row r="11111">
      <c r="A11111" s="3">
        <v>4669.0</v>
      </c>
      <c r="B11111" s="4">
        <v>45458.89728009259</v>
      </c>
      <c r="C11111" s="3" t="s">
        <v>6</v>
      </c>
    </row>
    <row r="11112">
      <c r="A11112" s="3">
        <v>6271.0</v>
      </c>
      <c r="B11112" s="4">
        <v>45458.914814814816</v>
      </c>
      <c r="C11112" s="3" t="s">
        <v>6</v>
      </c>
    </row>
    <row r="11113">
      <c r="A11113" s="3">
        <v>4669.0</v>
      </c>
      <c r="B11113" s="4">
        <v>45458.915601851855</v>
      </c>
      <c r="C11113" s="3" t="s">
        <v>4</v>
      </c>
    </row>
    <row r="11114">
      <c r="A11114" s="3">
        <v>7531.0</v>
      </c>
      <c r="B11114" s="4">
        <v>45458.92667824074</v>
      </c>
      <c r="C11114" s="3" t="s">
        <v>6</v>
      </c>
    </row>
    <row r="11115">
      <c r="A11115" s="3">
        <v>6172.0</v>
      </c>
      <c r="B11115" s="4">
        <v>45458.94645833333</v>
      </c>
      <c r="C11115" s="3" t="s">
        <v>3</v>
      </c>
    </row>
    <row r="11116">
      <c r="A11116" s="3">
        <v>3807.0</v>
      </c>
      <c r="B11116" s="4">
        <v>45458.96912037037</v>
      </c>
      <c r="C11116" s="3" t="s">
        <v>3</v>
      </c>
    </row>
    <row r="11117">
      <c r="A11117" s="3">
        <v>7493.0</v>
      </c>
      <c r="B11117" s="4">
        <v>45458.97597222222</v>
      </c>
      <c r="C11117" s="3" t="s">
        <v>7</v>
      </c>
    </row>
    <row r="11118">
      <c r="A11118" s="3">
        <v>4235.0</v>
      </c>
      <c r="B11118" s="4">
        <v>45458.98626157407</v>
      </c>
      <c r="C11118" s="3" t="s">
        <v>4</v>
      </c>
    </row>
    <row r="11119">
      <c r="A11119" s="3">
        <v>7238.0</v>
      </c>
      <c r="B11119" s="4">
        <v>45459.00125</v>
      </c>
      <c r="C11119" s="3" t="s">
        <v>3</v>
      </c>
    </row>
    <row r="11120">
      <c r="A11120" s="3">
        <v>1507.0</v>
      </c>
      <c r="B11120" s="4">
        <v>45459.03655092593</v>
      </c>
      <c r="C11120" s="3" t="s">
        <v>4</v>
      </c>
    </row>
    <row r="11121">
      <c r="A11121" s="3">
        <v>3492.0</v>
      </c>
      <c r="B11121" s="4">
        <v>45459.07318287037</v>
      </c>
      <c r="C11121" s="3" t="s">
        <v>6</v>
      </c>
    </row>
    <row r="11122">
      <c r="A11122" s="3">
        <v>4039.0</v>
      </c>
      <c r="B11122" s="4">
        <v>45459.07994212963</v>
      </c>
      <c r="C11122" s="3" t="s">
        <v>6</v>
      </c>
    </row>
    <row r="11123">
      <c r="A11123" s="3">
        <v>3453.0</v>
      </c>
      <c r="B11123" s="4">
        <v>45459.09173611111</v>
      </c>
      <c r="C11123" s="3" t="s">
        <v>4</v>
      </c>
    </row>
    <row r="11124">
      <c r="A11124" s="3">
        <v>6688.0</v>
      </c>
      <c r="B11124" s="4">
        <v>45459.10324074074</v>
      </c>
      <c r="C11124" s="3" t="s">
        <v>6</v>
      </c>
    </row>
    <row r="11125">
      <c r="A11125" s="3">
        <v>3899.0</v>
      </c>
      <c r="B11125" s="4">
        <v>45459.11204861111</v>
      </c>
      <c r="C11125" s="3" t="s">
        <v>6</v>
      </c>
    </row>
    <row r="11126">
      <c r="A11126" s="3">
        <v>5739.0</v>
      </c>
      <c r="B11126" s="4">
        <v>45459.129965277774</v>
      </c>
      <c r="C11126" s="3" t="s">
        <v>6</v>
      </c>
    </row>
    <row r="11127">
      <c r="A11127" s="3">
        <v>2277.0</v>
      </c>
      <c r="B11127" s="4">
        <v>45459.1406712963</v>
      </c>
      <c r="C11127" s="3" t="s">
        <v>3</v>
      </c>
    </row>
    <row r="11128">
      <c r="A11128" s="3">
        <v>5734.0</v>
      </c>
      <c r="B11128" s="4">
        <v>45459.15976851852</v>
      </c>
      <c r="C11128" s="3" t="s">
        <v>3</v>
      </c>
    </row>
    <row r="11129">
      <c r="A11129" s="3">
        <v>1373.0</v>
      </c>
      <c r="B11129" s="4">
        <v>45459.17930555555</v>
      </c>
      <c r="C11129" s="3" t="s">
        <v>6</v>
      </c>
    </row>
    <row r="11130">
      <c r="A11130" s="3">
        <v>2651.0</v>
      </c>
      <c r="B11130" s="4">
        <v>45459.197650462964</v>
      </c>
      <c r="C11130" s="3" t="s">
        <v>3</v>
      </c>
    </row>
    <row r="11131">
      <c r="A11131" s="3">
        <v>1380.0</v>
      </c>
      <c r="B11131" s="4">
        <v>45459.20689814815</v>
      </c>
      <c r="C11131" s="3" t="s">
        <v>3</v>
      </c>
    </row>
    <row r="11132">
      <c r="A11132" s="3">
        <v>6437.0</v>
      </c>
      <c r="B11132" s="4">
        <v>45459.222037037034</v>
      </c>
      <c r="C11132" s="3" t="s">
        <v>7</v>
      </c>
    </row>
    <row r="11133">
      <c r="A11133" s="3">
        <v>1876.0</v>
      </c>
      <c r="B11133" s="4">
        <v>45459.230729166666</v>
      </c>
      <c r="C11133" s="3" t="s">
        <v>3</v>
      </c>
    </row>
    <row r="11134">
      <c r="A11134" s="3">
        <v>6358.0</v>
      </c>
      <c r="B11134" s="4">
        <v>45459.26936342593</v>
      </c>
      <c r="C11134" s="3" t="s">
        <v>5</v>
      </c>
    </row>
    <row r="11135">
      <c r="A11135" s="3">
        <v>7118.0</v>
      </c>
      <c r="B11135" s="4">
        <v>45459.28138888889</v>
      </c>
      <c r="C11135" s="3" t="s">
        <v>5</v>
      </c>
    </row>
    <row r="11136">
      <c r="A11136" s="3">
        <v>642.0</v>
      </c>
      <c r="B11136" s="4">
        <v>45459.29020833333</v>
      </c>
      <c r="C11136" s="3" t="s">
        <v>4</v>
      </c>
    </row>
    <row r="11137">
      <c r="A11137" s="3">
        <v>859.0</v>
      </c>
      <c r="B11137" s="4">
        <v>45459.30311342593</v>
      </c>
      <c r="C11137" s="3" t="s">
        <v>3</v>
      </c>
    </row>
    <row r="11138">
      <c r="A11138" s="3">
        <v>3202.0</v>
      </c>
      <c r="B11138" s="4">
        <v>45459.333333333336</v>
      </c>
      <c r="C11138" s="3" t="s">
        <v>3</v>
      </c>
    </row>
    <row r="11139">
      <c r="A11139" s="3">
        <v>744.0</v>
      </c>
      <c r="B11139" s="4">
        <v>45459.334652777776</v>
      </c>
      <c r="C11139" s="3" t="s">
        <v>5</v>
      </c>
    </row>
    <row r="11140">
      <c r="A11140" s="3">
        <v>1143.0</v>
      </c>
      <c r="B11140" s="4">
        <v>45459.33521990741</v>
      </c>
      <c r="C11140" s="3" t="s">
        <v>5</v>
      </c>
    </row>
    <row r="11141">
      <c r="A11141" s="3">
        <v>5743.0</v>
      </c>
      <c r="B11141" s="4">
        <v>45459.33650462963</v>
      </c>
      <c r="C11141" s="3" t="s">
        <v>3</v>
      </c>
    </row>
    <row r="11142">
      <c r="A11142" s="3">
        <v>3050.0</v>
      </c>
      <c r="B11142" s="4">
        <v>45459.35487268519</v>
      </c>
      <c r="C11142" s="3" t="s">
        <v>7</v>
      </c>
    </row>
    <row r="11143">
      <c r="A11143" s="3">
        <v>1217.0</v>
      </c>
      <c r="B11143" s="4">
        <v>45459.358194444445</v>
      </c>
      <c r="C11143" s="3" t="s">
        <v>3</v>
      </c>
    </row>
    <row r="11144">
      <c r="A11144" s="3">
        <v>1331.0</v>
      </c>
      <c r="B11144" s="4">
        <v>45459.365752314814</v>
      </c>
      <c r="C11144" s="3" t="s">
        <v>3</v>
      </c>
    </row>
    <row r="11145">
      <c r="A11145" s="3">
        <v>6422.0</v>
      </c>
      <c r="B11145" s="4">
        <v>45459.37600694445</v>
      </c>
      <c r="C11145" s="3" t="s">
        <v>6</v>
      </c>
    </row>
    <row r="11146">
      <c r="A11146" s="3">
        <v>5573.0</v>
      </c>
      <c r="B11146" s="4">
        <v>45459.41134259259</v>
      </c>
      <c r="C11146" s="3" t="s">
        <v>4</v>
      </c>
    </row>
    <row r="11147">
      <c r="A11147" s="3">
        <v>1499.0</v>
      </c>
      <c r="B11147" s="4">
        <v>45459.4228125</v>
      </c>
      <c r="C11147" s="3" t="s">
        <v>6</v>
      </c>
    </row>
    <row r="11148">
      <c r="A11148" s="3">
        <v>1491.0</v>
      </c>
      <c r="B11148" s="4">
        <v>45459.44420138889</v>
      </c>
      <c r="C11148" s="3" t="s">
        <v>3</v>
      </c>
    </row>
    <row r="11149">
      <c r="A11149" s="3">
        <v>4696.0</v>
      </c>
      <c r="B11149" s="4">
        <v>45459.45527777778</v>
      </c>
      <c r="C11149" s="3" t="s">
        <v>6</v>
      </c>
    </row>
    <row r="11150">
      <c r="A11150" s="3">
        <v>5037.0</v>
      </c>
      <c r="B11150" s="4">
        <v>45459.46173611111</v>
      </c>
      <c r="C11150" s="3" t="s">
        <v>6</v>
      </c>
    </row>
    <row r="11151">
      <c r="A11151" s="3">
        <v>6111.0</v>
      </c>
      <c r="B11151" s="4">
        <v>45459.484664351854</v>
      </c>
      <c r="C11151" s="3" t="s">
        <v>3</v>
      </c>
    </row>
    <row r="11152">
      <c r="A11152" s="3">
        <v>539.0</v>
      </c>
      <c r="B11152" s="4">
        <v>45459.49542824074</v>
      </c>
      <c r="C11152" s="3" t="s">
        <v>4</v>
      </c>
    </row>
    <row r="11153">
      <c r="A11153" s="3">
        <v>6140.0</v>
      </c>
      <c r="B11153" s="4">
        <v>45459.49699074074</v>
      </c>
      <c r="C11153" s="3" t="s">
        <v>6</v>
      </c>
    </row>
    <row r="11154">
      <c r="A11154" s="3">
        <v>15.0</v>
      </c>
      <c r="B11154" s="4">
        <v>45459.5284375</v>
      </c>
      <c r="C11154" s="3" t="s">
        <v>5</v>
      </c>
    </row>
    <row r="11155">
      <c r="A11155" s="3">
        <v>1008.0</v>
      </c>
      <c r="B11155" s="4">
        <v>45459.56631944444</v>
      </c>
      <c r="C11155" s="3" t="s">
        <v>3</v>
      </c>
    </row>
    <row r="11156">
      <c r="A11156" s="3">
        <v>4801.0</v>
      </c>
      <c r="B11156" s="4">
        <v>45459.5959375</v>
      </c>
      <c r="C11156" s="3" t="s">
        <v>3</v>
      </c>
    </row>
    <row r="11157">
      <c r="A11157" s="3">
        <v>6587.0</v>
      </c>
      <c r="B11157" s="4">
        <v>45459.60118055555</v>
      </c>
      <c r="C11157" s="3" t="s">
        <v>5</v>
      </c>
    </row>
    <row r="11158">
      <c r="A11158" s="3">
        <v>892.0</v>
      </c>
      <c r="B11158" s="4">
        <v>45459.61671296296</v>
      </c>
      <c r="C11158" s="3" t="s">
        <v>3</v>
      </c>
    </row>
    <row r="11159">
      <c r="A11159" s="3">
        <v>642.0</v>
      </c>
      <c r="B11159" s="4">
        <v>45459.62831018519</v>
      </c>
      <c r="C11159" s="3" t="s">
        <v>5</v>
      </c>
    </row>
    <row r="11160">
      <c r="A11160" s="3">
        <v>5203.0</v>
      </c>
      <c r="B11160" s="4">
        <v>45459.63017361111</v>
      </c>
      <c r="C11160" s="3" t="s">
        <v>6</v>
      </c>
    </row>
    <row r="11161">
      <c r="A11161" s="3">
        <v>653.0</v>
      </c>
      <c r="B11161" s="4">
        <v>45459.649618055555</v>
      </c>
      <c r="C11161" s="3" t="s">
        <v>3</v>
      </c>
    </row>
    <row r="11162">
      <c r="A11162" s="3">
        <v>6288.0</v>
      </c>
      <c r="B11162" s="4">
        <v>45459.66216435185</v>
      </c>
      <c r="C11162" s="3" t="s">
        <v>3</v>
      </c>
    </row>
    <row r="11163">
      <c r="A11163" s="3">
        <v>2318.0</v>
      </c>
      <c r="B11163" s="4">
        <v>45459.66452546296</v>
      </c>
      <c r="C11163" s="3" t="s">
        <v>3</v>
      </c>
    </row>
    <row r="11164">
      <c r="A11164" s="3">
        <v>6198.0</v>
      </c>
      <c r="B11164" s="4">
        <v>45459.71722222222</v>
      </c>
      <c r="C11164" s="3" t="s">
        <v>3</v>
      </c>
    </row>
    <row r="11165">
      <c r="A11165" s="3">
        <v>4619.0</v>
      </c>
      <c r="B11165" s="4">
        <v>45459.74898148148</v>
      </c>
      <c r="C11165" s="3" t="s">
        <v>7</v>
      </c>
    </row>
    <row r="11166">
      <c r="A11166" s="3">
        <v>59.0</v>
      </c>
      <c r="B11166" s="4">
        <v>45459.78028935185</v>
      </c>
      <c r="C11166" s="3" t="s">
        <v>3</v>
      </c>
    </row>
    <row r="11167">
      <c r="A11167" s="3">
        <v>1499.0</v>
      </c>
      <c r="B11167" s="4">
        <v>45459.81590277778</v>
      </c>
      <c r="C11167" s="3" t="s">
        <v>7</v>
      </c>
    </row>
    <row r="11168">
      <c r="A11168" s="3">
        <v>1143.0</v>
      </c>
      <c r="B11168" s="4">
        <v>45459.8530787037</v>
      </c>
      <c r="C11168" s="3" t="s">
        <v>3</v>
      </c>
    </row>
    <row r="11169">
      <c r="A11169" s="3">
        <v>539.0</v>
      </c>
      <c r="B11169" s="4">
        <v>45459.87559027778</v>
      </c>
      <c r="C11169" s="3" t="s">
        <v>3</v>
      </c>
    </row>
    <row r="11170">
      <c r="A11170" s="3">
        <v>1124.0</v>
      </c>
      <c r="B11170" s="4">
        <v>45459.87644675926</v>
      </c>
      <c r="C11170" s="3" t="s">
        <v>6</v>
      </c>
    </row>
    <row r="11171">
      <c r="A11171" s="3">
        <v>282.0</v>
      </c>
      <c r="B11171" s="4">
        <v>45459.889560185184</v>
      </c>
      <c r="C11171" s="3" t="s">
        <v>3</v>
      </c>
    </row>
    <row r="11172">
      <c r="A11172" s="3">
        <v>7925.0</v>
      </c>
      <c r="B11172" s="4">
        <v>45459.89892361111</v>
      </c>
      <c r="C11172" s="3" t="s">
        <v>7</v>
      </c>
    </row>
    <row r="11173">
      <c r="A11173" s="3">
        <v>3440.0</v>
      </c>
      <c r="B11173" s="4">
        <v>45459.90605324074</v>
      </c>
      <c r="C11173" s="3" t="s">
        <v>3</v>
      </c>
    </row>
    <row r="11174">
      <c r="A11174" s="3">
        <v>2654.0</v>
      </c>
      <c r="B11174" s="4">
        <v>45459.907175925924</v>
      </c>
      <c r="C11174" s="3" t="s">
        <v>7</v>
      </c>
    </row>
    <row r="11175">
      <c r="A11175" s="3">
        <v>6358.0</v>
      </c>
      <c r="B11175" s="4">
        <v>45459.90803240741</v>
      </c>
      <c r="C11175" s="3" t="s">
        <v>6</v>
      </c>
    </row>
    <row r="11176">
      <c r="A11176" s="3">
        <v>1154.0</v>
      </c>
      <c r="B11176" s="4">
        <v>45459.910787037035</v>
      </c>
      <c r="C11176" s="3" t="s">
        <v>5</v>
      </c>
    </row>
    <row r="11177">
      <c r="A11177" s="3">
        <v>15.0</v>
      </c>
      <c r="B11177" s="4">
        <v>45459.94561342592</v>
      </c>
      <c r="C11177" s="3" t="s">
        <v>3</v>
      </c>
    </row>
    <row r="11178">
      <c r="A11178" s="3">
        <v>6172.0</v>
      </c>
      <c r="B11178" s="4">
        <v>45459.95171296296</v>
      </c>
      <c r="C11178" s="3" t="s">
        <v>4</v>
      </c>
    </row>
    <row r="11179">
      <c r="A11179" s="3">
        <v>59.0</v>
      </c>
      <c r="B11179" s="4">
        <v>45459.96293981482</v>
      </c>
      <c r="C11179" s="3" t="s">
        <v>4</v>
      </c>
    </row>
    <row r="11180">
      <c r="A11180" s="3">
        <v>3050.0</v>
      </c>
      <c r="B11180" s="4">
        <v>45459.97047453704</v>
      </c>
      <c r="C11180" s="3" t="s">
        <v>4</v>
      </c>
    </row>
    <row r="11181">
      <c r="A11181" s="3">
        <v>6886.0</v>
      </c>
      <c r="B11181" s="4">
        <v>45459.98388888889</v>
      </c>
      <c r="C11181" s="3" t="s">
        <v>6</v>
      </c>
    </row>
    <row r="11182">
      <c r="A11182" s="3">
        <v>5037.0</v>
      </c>
      <c r="B11182" s="4">
        <v>45459.99418981482</v>
      </c>
      <c r="C11182" s="3" t="s">
        <v>7</v>
      </c>
    </row>
    <row r="11183">
      <c r="A11183" s="3">
        <v>5934.0</v>
      </c>
      <c r="B11183" s="4">
        <v>45460.01128472222</v>
      </c>
      <c r="C11183" s="3" t="s">
        <v>6</v>
      </c>
    </row>
    <row r="11184">
      <c r="A11184" s="3">
        <v>7118.0</v>
      </c>
      <c r="B11184" s="4">
        <v>45460.024618055555</v>
      </c>
      <c r="C11184" s="3" t="s">
        <v>7</v>
      </c>
    </row>
    <row r="11185">
      <c r="A11185" s="3">
        <v>3522.0</v>
      </c>
      <c r="B11185" s="4">
        <v>45460.08375</v>
      </c>
      <c r="C11185" s="3" t="s">
        <v>3</v>
      </c>
    </row>
    <row r="11186">
      <c r="A11186" s="3">
        <v>3911.0</v>
      </c>
      <c r="B11186" s="4">
        <v>45460.08430555555</v>
      </c>
      <c r="C11186" s="3" t="s">
        <v>6</v>
      </c>
    </row>
    <row r="11187">
      <c r="A11187" s="3">
        <v>5030.0</v>
      </c>
      <c r="B11187" s="4">
        <v>45460.089155092595</v>
      </c>
      <c r="C11187" s="3" t="s">
        <v>3</v>
      </c>
    </row>
    <row r="11188">
      <c r="A11188" s="3">
        <v>2968.0</v>
      </c>
      <c r="B11188" s="4">
        <v>45460.114849537036</v>
      </c>
      <c r="C11188" s="3" t="s">
        <v>3</v>
      </c>
    </row>
    <row r="11189">
      <c r="A11189" s="3">
        <v>1143.0</v>
      </c>
      <c r="B11189" s="4">
        <v>45460.1412037037</v>
      </c>
      <c r="C11189" s="3" t="s">
        <v>4</v>
      </c>
    </row>
    <row r="11190">
      <c r="A11190" s="3">
        <v>4418.0</v>
      </c>
      <c r="B11190" s="4">
        <v>45460.146006944444</v>
      </c>
      <c r="C11190" s="3" t="s">
        <v>6</v>
      </c>
    </row>
    <row r="11191">
      <c r="A11191" s="3">
        <v>6054.0</v>
      </c>
      <c r="B11191" s="4">
        <v>45460.15960648148</v>
      </c>
      <c r="C11191" s="3" t="s">
        <v>5</v>
      </c>
    </row>
    <row r="11192">
      <c r="A11192" s="3">
        <v>5734.0</v>
      </c>
      <c r="B11192" s="4">
        <v>45460.16006944444</v>
      </c>
      <c r="C11192" s="3" t="s">
        <v>5</v>
      </c>
    </row>
    <row r="11193">
      <c r="A11193" s="3">
        <v>4398.0</v>
      </c>
      <c r="B11193" s="4">
        <v>45460.17909722222</v>
      </c>
      <c r="C11193" s="3" t="s">
        <v>3</v>
      </c>
    </row>
    <row r="11194">
      <c r="A11194" s="3">
        <v>890.0</v>
      </c>
      <c r="B11194" s="4">
        <v>45460.22450231481</v>
      </c>
      <c r="C11194" s="3" t="s">
        <v>4</v>
      </c>
    </row>
    <row r="11195">
      <c r="A11195" s="3">
        <v>6587.0</v>
      </c>
      <c r="B11195" s="4">
        <v>45460.22840277778</v>
      </c>
      <c r="C11195" s="3" t="s">
        <v>7</v>
      </c>
    </row>
    <row r="11196">
      <c r="A11196" s="3">
        <v>7883.0</v>
      </c>
      <c r="B11196" s="4">
        <v>45460.24287037037</v>
      </c>
      <c r="C11196" s="3" t="s">
        <v>6</v>
      </c>
    </row>
    <row r="11197">
      <c r="A11197" s="3">
        <v>6441.0</v>
      </c>
      <c r="B11197" s="4">
        <v>45460.26466435185</v>
      </c>
      <c r="C11197" s="3" t="s">
        <v>3</v>
      </c>
    </row>
    <row r="11198">
      <c r="A11198" s="3">
        <v>6885.0</v>
      </c>
      <c r="B11198" s="4">
        <v>45460.26579861111</v>
      </c>
      <c r="C11198" s="3" t="s">
        <v>5</v>
      </c>
    </row>
    <row r="11199">
      <c r="A11199" s="3">
        <v>5133.0</v>
      </c>
      <c r="B11199" s="4">
        <v>45460.2740162037</v>
      </c>
      <c r="C11199" s="3" t="s">
        <v>4</v>
      </c>
    </row>
    <row r="11200">
      <c r="A11200" s="3">
        <v>1104.0</v>
      </c>
      <c r="B11200" s="4">
        <v>45460.2962962963</v>
      </c>
      <c r="C11200" s="3" t="s">
        <v>7</v>
      </c>
    </row>
    <row r="11201">
      <c r="A11201" s="3">
        <v>4217.0</v>
      </c>
      <c r="B11201" s="4">
        <v>45460.30710648148</v>
      </c>
      <c r="C11201" s="3" t="s">
        <v>4</v>
      </c>
    </row>
    <row r="11202">
      <c r="A11202" s="3">
        <v>7118.0</v>
      </c>
      <c r="B11202" s="4">
        <v>45460.31416666666</v>
      </c>
      <c r="C11202" s="3" t="s">
        <v>4</v>
      </c>
    </row>
    <row r="11203">
      <c r="A11203" s="3">
        <v>7118.0</v>
      </c>
      <c r="B11203" s="4">
        <v>45460.3203125</v>
      </c>
      <c r="C11203" s="3" t="s">
        <v>6</v>
      </c>
    </row>
    <row r="11204">
      <c r="A11204" s="3">
        <v>6535.0</v>
      </c>
      <c r="B11204" s="4">
        <v>45460.327372685184</v>
      </c>
      <c r="C11204" s="3" t="s">
        <v>3</v>
      </c>
    </row>
    <row r="11205">
      <c r="A11205" s="3">
        <v>1045.0</v>
      </c>
      <c r="B11205" s="4">
        <v>45460.33806712963</v>
      </c>
      <c r="C11205" s="3" t="s">
        <v>6</v>
      </c>
    </row>
    <row r="11206">
      <c r="A11206" s="3">
        <v>5934.0</v>
      </c>
      <c r="B11206" s="4">
        <v>45460.37730324074</v>
      </c>
      <c r="C11206" s="3" t="s">
        <v>4</v>
      </c>
    </row>
    <row r="11207">
      <c r="A11207" s="3">
        <v>4112.0</v>
      </c>
      <c r="B11207" s="4">
        <v>45460.38799768518</v>
      </c>
      <c r="C11207" s="3" t="s">
        <v>3</v>
      </c>
    </row>
    <row r="11208">
      <c r="A11208" s="3">
        <v>1045.0</v>
      </c>
      <c r="B11208" s="4">
        <v>45460.409224537034</v>
      </c>
      <c r="C11208" s="3" t="s">
        <v>7</v>
      </c>
    </row>
    <row r="11209">
      <c r="A11209" s="3">
        <v>6288.0</v>
      </c>
      <c r="B11209" s="4">
        <v>45460.41355324074</v>
      </c>
      <c r="C11209" s="3" t="s">
        <v>4</v>
      </c>
    </row>
    <row r="11210">
      <c r="A11210" s="3">
        <v>4664.0</v>
      </c>
      <c r="B11210" s="4">
        <v>45460.417708333334</v>
      </c>
      <c r="C11210" s="3" t="s">
        <v>3</v>
      </c>
    </row>
    <row r="11211">
      <c r="A11211" s="3">
        <v>6754.0</v>
      </c>
      <c r="B11211" s="4">
        <v>45460.41881944444</v>
      </c>
      <c r="C11211" s="3" t="s">
        <v>3</v>
      </c>
    </row>
    <row r="11212">
      <c r="A11212" s="3">
        <v>1331.0</v>
      </c>
      <c r="B11212" s="4">
        <v>45460.422476851854</v>
      </c>
      <c r="C11212" s="3" t="s">
        <v>6</v>
      </c>
    </row>
    <row r="11213">
      <c r="A11213" s="3">
        <v>3304.0</v>
      </c>
      <c r="B11213" s="4">
        <v>45460.43898148148</v>
      </c>
      <c r="C11213" s="3" t="s">
        <v>4</v>
      </c>
    </row>
    <row r="11214">
      <c r="A11214" s="3">
        <v>7732.0</v>
      </c>
      <c r="B11214" s="4">
        <v>45460.44938657407</v>
      </c>
      <c r="C11214" s="3" t="s">
        <v>7</v>
      </c>
    </row>
    <row r="11215">
      <c r="A11215" s="3">
        <v>2252.0</v>
      </c>
      <c r="B11215" s="4">
        <v>45460.46055555555</v>
      </c>
      <c r="C11215" s="3" t="s">
        <v>3</v>
      </c>
    </row>
    <row r="11216">
      <c r="A11216" s="3">
        <v>4362.0</v>
      </c>
      <c r="B11216" s="4">
        <v>45460.496886574074</v>
      </c>
      <c r="C11216" s="3" t="s">
        <v>3</v>
      </c>
    </row>
    <row r="11217">
      <c r="A11217" s="3">
        <v>5814.0</v>
      </c>
      <c r="B11217" s="4">
        <v>45460.496979166666</v>
      </c>
      <c r="C11217" s="3" t="s">
        <v>6</v>
      </c>
    </row>
    <row r="11218">
      <c r="A11218" s="3">
        <v>2541.0</v>
      </c>
      <c r="B11218" s="4">
        <v>45460.50241898148</v>
      </c>
      <c r="C11218" s="3" t="s">
        <v>7</v>
      </c>
    </row>
    <row r="11219">
      <c r="A11219" s="3">
        <v>5932.0</v>
      </c>
      <c r="B11219" s="4">
        <v>45460.51587962963</v>
      </c>
      <c r="C11219" s="3" t="s">
        <v>3</v>
      </c>
    </row>
    <row r="11220">
      <c r="A11220" s="3">
        <v>124.0</v>
      </c>
      <c r="B11220" s="4">
        <v>45460.52831018518</v>
      </c>
      <c r="C11220" s="3" t="s">
        <v>3</v>
      </c>
    </row>
    <row r="11221">
      <c r="A11221" s="3">
        <v>4619.0</v>
      </c>
      <c r="B11221" s="4">
        <v>45460.533425925925</v>
      </c>
      <c r="C11221" s="3" t="s">
        <v>6</v>
      </c>
    </row>
    <row r="11222">
      <c r="A11222" s="3">
        <v>4636.0</v>
      </c>
      <c r="B11222" s="4">
        <v>45460.54729166667</v>
      </c>
      <c r="C11222" s="3" t="s">
        <v>7</v>
      </c>
    </row>
    <row r="11223">
      <c r="A11223" s="3">
        <v>15.0</v>
      </c>
      <c r="B11223" s="4">
        <v>45460.554398148146</v>
      </c>
      <c r="C11223" s="3" t="s">
        <v>4</v>
      </c>
    </row>
    <row r="11224">
      <c r="A11224" s="3">
        <v>5938.0</v>
      </c>
      <c r="B11224" s="4">
        <v>45460.55719907407</v>
      </c>
      <c r="C11224" s="3" t="s">
        <v>3</v>
      </c>
    </row>
    <row r="11225">
      <c r="A11225" s="3">
        <v>1607.0</v>
      </c>
      <c r="B11225" s="4">
        <v>45460.59916666667</v>
      </c>
      <c r="C11225" s="3" t="s">
        <v>6</v>
      </c>
    </row>
    <row r="11226">
      <c r="A11226" s="3">
        <v>5133.0</v>
      </c>
      <c r="B11226" s="4">
        <v>45460.62793981482</v>
      </c>
      <c r="C11226" s="3" t="s">
        <v>3</v>
      </c>
    </row>
    <row r="11227">
      <c r="A11227" s="3">
        <v>1656.0</v>
      </c>
      <c r="B11227" s="4">
        <v>45460.62835648148</v>
      </c>
      <c r="C11227" s="3" t="s">
        <v>3</v>
      </c>
    </row>
    <row r="11228">
      <c r="A11228" s="3">
        <v>6449.0</v>
      </c>
      <c r="B11228" s="4">
        <v>45460.63019675926</v>
      </c>
      <c r="C11228" s="3" t="s">
        <v>3</v>
      </c>
    </row>
    <row r="11229">
      <c r="A11229" s="3">
        <v>6054.0</v>
      </c>
      <c r="B11229" s="4">
        <v>45460.63784722222</v>
      </c>
      <c r="C11229" s="3" t="s">
        <v>4</v>
      </c>
    </row>
    <row r="11230">
      <c r="A11230" s="3">
        <v>6111.0</v>
      </c>
      <c r="B11230" s="4">
        <v>45460.645625</v>
      </c>
      <c r="C11230" s="3" t="s">
        <v>7</v>
      </c>
    </row>
    <row r="11231">
      <c r="A11231" s="3">
        <v>3733.0</v>
      </c>
      <c r="B11231" s="4">
        <v>45460.66769675926</v>
      </c>
      <c r="C11231" s="3" t="s">
        <v>3</v>
      </c>
    </row>
    <row r="11232">
      <c r="A11232" s="3">
        <v>4217.0</v>
      </c>
      <c r="B11232" s="4">
        <v>45460.67833333334</v>
      </c>
      <c r="C11232" s="3" t="s">
        <v>3</v>
      </c>
    </row>
    <row r="11233">
      <c r="A11233" s="3">
        <v>7973.0</v>
      </c>
      <c r="B11233" s="4">
        <v>45460.69100694444</v>
      </c>
      <c r="C11233" s="3" t="s">
        <v>3</v>
      </c>
    </row>
    <row r="11234">
      <c r="A11234" s="3">
        <v>1901.0</v>
      </c>
      <c r="B11234" s="4">
        <v>45460.69652777778</v>
      </c>
      <c r="C11234" s="3" t="s">
        <v>3</v>
      </c>
    </row>
    <row r="11235">
      <c r="A11235" s="3">
        <v>3397.0</v>
      </c>
      <c r="B11235" s="4">
        <v>45460.69847222222</v>
      </c>
      <c r="C11235" s="3" t="s">
        <v>3</v>
      </c>
    </row>
    <row r="11236">
      <c r="A11236" s="3">
        <v>1095.0</v>
      </c>
      <c r="B11236" s="4">
        <v>45460.701898148145</v>
      </c>
      <c r="C11236" s="3" t="s">
        <v>3</v>
      </c>
    </row>
    <row r="11237">
      <c r="A11237" s="3">
        <v>7493.0</v>
      </c>
      <c r="B11237" s="4">
        <v>45460.722349537034</v>
      </c>
      <c r="C11237" s="3" t="s">
        <v>5</v>
      </c>
    </row>
    <row r="11238">
      <c r="A11238" s="3">
        <v>5734.0</v>
      </c>
      <c r="B11238" s="4">
        <v>45460.73768518519</v>
      </c>
      <c r="C11238" s="3" t="s">
        <v>4</v>
      </c>
    </row>
    <row r="11239">
      <c r="A11239" s="3">
        <v>6587.0</v>
      </c>
      <c r="B11239" s="4">
        <v>45460.7631712963</v>
      </c>
      <c r="C11239" s="3" t="s">
        <v>6</v>
      </c>
    </row>
    <row r="11240">
      <c r="A11240" s="3">
        <v>6661.0</v>
      </c>
      <c r="B11240" s="4">
        <v>45460.7828125</v>
      </c>
      <c r="C11240" s="3" t="s">
        <v>4</v>
      </c>
    </row>
    <row r="11241">
      <c r="A11241" s="3">
        <v>3857.0</v>
      </c>
      <c r="B11241" s="4">
        <v>45460.80189814815</v>
      </c>
      <c r="C11241" s="3" t="s">
        <v>5</v>
      </c>
    </row>
    <row r="11242">
      <c r="A11242" s="3">
        <v>818.0</v>
      </c>
      <c r="B11242" s="4">
        <v>45460.82020833333</v>
      </c>
      <c r="C11242" s="3" t="s">
        <v>3</v>
      </c>
    </row>
    <row r="11243">
      <c r="A11243" s="3">
        <v>6661.0</v>
      </c>
      <c r="B11243" s="4">
        <v>45460.83552083333</v>
      </c>
      <c r="C11243" s="3" t="s">
        <v>3</v>
      </c>
    </row>
    <row r="11244">
      <c r="A11244" s="3">
        <v>1378.0</v>
      </c>
      <c r="B11244" s="4">
        <v>45460.8608912037</v>
      </c>
      <c r="C11244" s="3" t="s">
        <v>4</v>
      </c>
    </row>
    <row r="11245">
      <c r="A11245" s="3">
        <v>4016.0</v>
      </c>
      <c r="B11245" s="4">
        <v>45460.86880787037</v>
      </c>
      <c r="C11245" s="3" t="s">
        <v>6</v>
      </c>
    </row>
    <row r="11246">
      <c r="A11246" s="3">
        <v>539.0</v>
      </c>
      <c r="B11246" s="4">
        <v>45460.8750462963</v>
      </c>
      <c r="C11246" s="3" t="s">
        <v>7</v>
      </c>
    </row>
    <row r="11247">
      <c r="A11247" s="3">
        <v>890.0</v>
      </c>
      <c r="B11247" s="4">
        <v>45460.89372685185</v>
      </c>
      <c r="C11247" s="3" t="s">
        <v>3</v>
      </c>
    </row>
    <row r="11248">
      <c r="A11248" s="3">
        <v>6966.0</v>
      </c>
      <c r="B11248" s="4">
        <v>45460.94293981481</v>
      </c>
      <c r="C11248" s="3" t="s">
        <v>6</v>
      </c>
    </row>
    <row r="11249">
      <c r="A11249" s="3">
        <v>2318.0</v>
      </c>
      <c r="B11249" s="4">
        <v>45460.95133101852</v>
      </c>
      <c r="C11249" s="3" t="s">
        <v>4</v>
      </c>
    </row>
    <row r="11250">
      <c r="A11250" s="3">
        <v>4669.0</v>
      </c>
      <c r="B11250" s="4">
        <v>45460.96503472222</v>
      </c>
      <c r="C11250" s="3" t="s">
        <v>7</v>
      </c>
    </row>
    <row r="11251">
      <c r="A11251" s="3">
        <v>6187.0</v>
      </c>
      <c r="B11251" s="4">
        <v>45460.97622685185</v>
      </c>
      <c r="C11251" s="3" t="s">
        <v>5</v>
      </c>
    </row>
    <row r="11252">
      <c r="A11252" s="3">
        <v>1656.0</v>
      </c>
      <c r="B11252" s="4">
        <v>45460.983402777776</v>
      </c>
      <c r="C11252" s="3" t="s">
        <v>4</v>
      </c>
    </row>
    <row r="11253">
      <c r="A11253" s="3">
        <v>859.0</v>
      </c>
      <c r="B11253" s="4">
        <v>45460.991527777776</v>
      </c>
      <c r="C11253" s="3" t="s">
        <v>5</v>
      </c>
    </row>
    <row r="11254">
      <c r="A11254" s="3">
        <v>2889.0</v>
      </c>
      <c r="B11254" s="4">
        <v>45461.01640046296</v>
      </c>
      <c r="C11254" s="3" t="s">
        <v>3</v>
      </c>
    </row>
    <row r="11255">
      <c r="A11255" s="3">
        <v>4885.0</v>
      </c>
      <c r="B11255" s="4">
        <v>45461.092152777775</v>
      </c>
      <c r="C11255" s="3" t="s">
        <v>4</v>
      </c>
    </row>
    <row r="11256">
      <c r="A11256" s="3">
        <v>1559.0</v>
      </c>
      <c r="B11256" s="4">
        <v>45461.09222222222</v>
      </c>
      <c r="C11256" s="3" t="s">
        <v>3</v>
      </c>
    </row>
    <row r="11257">
      <c r="A11257" s="3">
        <v>6523.0</v>
      </c>
      <c r="B11257" s="4">
        <v>45461.117164351854</v>
      </c>
      <c r="C11257" s="3" t="s">
        <v>5</v>
      </c>
    </row>
    <row r="11258">
      <c r="A11258" s="3">
        <v>3115.0</v>
      </c>
      <c r="B11258" s="4">
        <v>45461.12116898148</v>
      </c>
      <c r="C11258" s="3" t="s">
        <v>3</v>
      </c>
    </row>
    <row r="11259">
      <c r="A11259" s="3">
        <v>3440.0</v>
      </c>
      <c r="B11259" s="4">
        <v>45461.147361111114</v>
      </c>
      <c r="C11259" s="3" t="s">
        <v>4</v>
      </c>
    </row>
    <row r="11260">
      <c r="A11260" s="3">
        <v>539.0</v>
      </c>
      <c r="B11260" s="4">
        <v>45461.15387731481</v>
      </c>
      <c r="C11260" s="3" t="s">
        <v>5</v>
      </c>
    </row>
    <row r="11261">
      <c r="A11261" s="3">
        <v>1154.0</v>
      </c>
      <c r="B11261" s="4">
        <v>45461.16809027778</v>
      </c>
      <c r="C11261" s="3" t="s">
        <v>7</v>
      </c>
    </row>
    <row r="11262">
      <c r="A11262" s="3">
        <v>6111.0</v>
      </c>
      <c r="B11262" s="4">
        <v>45461.195972222224</v>
      </c>
      <c r="C11262" s="3" t="s">
        <v>4</v>
      </c>
    </row>
    <row r="11263">
      <c r="A11263" s="3">
        <v>6754.0</v>
      </c>
      <c r="B11263" s="4">
        <v>45461.202627314815</v>
      </c>
      <c r="C11263" s="3" t="s">
        <v>7</v>
      </c>
    </row>
    <row r="11264">
      <c r="A11264" s="3">
        <v>4667.0</v>
      </c>
      <c r="B11264" s="4">
        <v>45461.211643518516</v>
      </c>
      <c r="C11264" s="3" t="s">
        <v>3</v>
      </c>
    </row>
    <row r="11265">
      <c r="A11265" s="3">
        <v>7925.0</v>
      </c>
      <c r="B11265" s="4">
        <v>45461.2140162037</v>
      </c>
      <c r="C11265" s="3" t="s">
        <v>6</v>
      </c>
    </row>
    <row r="11266">
      <c r="A11266" s="3">
        <v>233.0</v>
      </c>
      <c r="B11266" s="4">
        <v>45461.249444444446</v>
      </c>
      <c r="C11266" s="3" t="s">
        <v>4</v>
      </c>
    </row>
    <row r="11267">
      <c r="A11267" s="3">
        <v>1265.0</v>
      </c>
      <c r="B11267" s="4">
        <v>45461.25101851852</v>
      </c>
      <c r="C11267" s="3" t="s">
        <v>3</v>
      </c>
    </row>
    <row r="11268">
      <c r="A11268" s="3">
        <v>7493.0</v>
      </c>
      <c r="B11268" s="4">
        <v>45461.319918981484</v>
      </c>
      <c r="C11268" s="3" t="s">
        <v>6</v>
      </c>
    </row>
    <row r="11269">
      <c r="A11269" s="3">
        <v>2252.0</v>
      </c>
      <c r="B11269" s="4">
        <v>45461.34898148148</v>
      </c>
      <c r="C11269" s="3" t="s">
        <v>4</v>
      </c>
    </row>
    <row r="11270">
      <c r="A11270" s="3">
        <v>4099.0</v>
      </c>
      <c r="B11270" s="4">
        <v>45461.36079861111</v>
      </c>
      <c r="C11270" s="3" t="s">
        <v>5</v>
      </c>
    </row>
    <row r="11271">
      <c r="A11271" s="3">
        <v>4630.0</v>
      </c>
      <c r="B11271" s="4">
        <v>45461.36194444444</v>
      </c>
      <c r="C11271" s="3" t="s">
        <v>3</v>
      </c>
    </row>
    <row r="11272">
      <c r="A11272" s="3">
        <v>7867.0</v>
      </c>
      <c r="B11272" s="4">
        <v>45461.38790509259</v>
      </c>
      <c r="C11272" s="3" t="s">
        <v>6</v>
      </c>
    </row>
    <row r="11273">
      <c r="A11273" s="3">
        <v>468.0</v>
      </c>
      <c r="B11273" s="4">
        <v>45461.41662037037</v>
      </c>
      <c r="C11273" s="3" t="s">
        <v>3</v>
      </c>
    </row>
    <row r="11274">
      <c r="A11274" s="3">
        <v>7732.0</v>
      </c>
      <c r="B11274" s="4">
        <v>45461.440833333334</v>
      </c>
      <c r="C11274" s="3" t="s">
        <v>6</v>
      </c>
    </row>
    <row r="11275">
      <c r="A11275" s="3">
        <v>4801.0</v>
      </c>
      <c r="B11275" s="4">
        <v>45461.46892361111</v>
      </c>
      <c r="C11275" s="3" t="s">
        <v>4</v>
      </c>
    </row>
    <row r="11276">
      <c r="A11276" s="3">
        <v>2466.0</v>
      </c>
      <c r="B11276" s="4">
        <v>45461.48342592592</v>
      </c>
      <c r="C11276" s="3" t="s">
        <v>3</v>
      </c>
    </row>
    <row r="11277">
      <c r="A11277" s="3">
        <v>3473.0</v>
      </c>
      <c r="B11277" s="4">
        <v>45461.51667824074</v>
      </c>
      <c r="C11277" s="3" t="s">
        <v>3</v>
      </c>
    </row>
    <row r="11278">
      <c r="A11278" s="3">
        <v>1331.0</v>
      </c>
      <c r="B11278" s="4">
        <v>45461.52916666667</v>
      </c>
      <c r="C11278" s="3" t="s">
        <v>5</v>
      </c>
    </row>
    <row r="11279">
      <c r="A11279" s="3">
        <v>4443.0</v>
      </c>
      <c r="B11279" s="4">
        <v>45461.58623842592</v>
      </c>
      <c r="C11279" s="3" t="s">
        <v>7</v>
      </c>
    </row>
    <row r="11280">
      <c r="A11280" s="3">
        <v>4099.0</v>
      </c>
      <c r="B11280" s="4">
        <v>45461.606458333335</v>
      </c>
      <c r="C11280" s="3" t="s">
        <v>3</v>
      </c>
    </row>
    <row r="11281">
      <c r="A11281" s="3">
        <v>653.0</v>
      </c>
      <c r="B11281" s="4">
        <v>45461.61332175926</v>
      </c>
      <c r="C11281" s="3" t="s">
        <v>5</v>
      </c>
    </row>
    <row r="11282">
      <c r="A11282" s="3">
        <v>6054.0</v>
      </c>
      <c r="B11282" s="4">
        <v>45461.6428125</v>
      </c>
      <c r="C11282" s="3" t="s">
        <v>6</v>
      </c>
    </row>
    <row r="11283">
      <c r="A11283" s="3">
        <v>4179.0</v>
      </c>
      <c r="B11283" s="4">
        <v>45461.6496875</v>
      </c>
      <c r="C11283" s="3" t="s">
        <v>3</v>
      </c>
    </row>
    <row r="11284">
      <c r="A11284" s="3">
        <v>7088.0</v>
      </c>
      <c r="B11284" s="4">
        <v>45461.667662037034</v>
      </c>
      <c r="C11284" s="3" t="s">
        <v>3</v>
      </c>
    </row>
    <row r="11285">
      <c r="A11285" s="3">
        <v>6754.0</v>
      </c>
      <c r="B11285" s="4">
        <v>45461.68020833333</v>
      </c>
      <c r="C11285" s="3" t="s">
        <v>4</v>
      </c>
    </row>
    <row r="11286">
      <c r="A11286" s="3">
        <v>4620.0</v>
      </c>
      <c r="B11286" s="4">
        <v>45461.69396990741</v>
      </c>
      <c r="C11286" s="3" t="s">
        <v>3</v>
      </c>
    </row>
    <row r="11287">
      <c r="A11287" s="3">
        <v>3793.0</v>
      </c>
      <c r="B11287" s="4">
        <v>45461.70060185185</v>
      </c>
      <c r="C11287" s="3" t="s">
        <v>3</v>
      </c>
    </row>
    <row r="11288">
      <c r="A11288" s="3">
        <v>3170.0</v>
      </c>
      <c r="B11288" s="4">
        <v>45461.72793981482</v>
      </c>
      <c r="C11288" s="3" t="s">
        <v>4</v>
      </c>
    </row>
    <row r="11289">
      <c r="A11289" s="3">
        <v>3397.0</v>
      </c>
      <c r="B11289" s="4">
        <v>45461.72993055556</v>
      </c>
      <c r="C11289" s="3" t="s">
        <v>6</v>
      </c>
    </row>
    <row r="11290">
      <c r="A11290" s="3">
        <v>1331.0</v>
      </c>
      <c r="B11290" s="4">
        <v>45461.741064814814</v>
      </c>
      <c r="C11290" s="3" t="s">
        <v>7</v>
      </c>
    </row>
    <row r="11291">
      <c r="A11291" s="3">
        <v>4668.0</v>
      </c>
      <c r="B11291" s="4">
        <v>45461.767430555556</v>
      </c>
      <c r="C11291" s="3" t="s">
        <v>5</v>
      </c>
    </row>
    <row r="11292">
      <c r="A11292" s="3">
        <v>2526.0</v>
      </c>
      <c r="B11292" s="4">
        <v>45461.772256944445</v>
      </c>
      <c r="C11292" s="3" t="s">
        <v>4</v>
      </c>
    </row>
    <row r="11293">
      <c r="A11293" s="3">
        <v>3440.0</v>
      </c>
      <c r="B11293" s="4">
        <v>45461.77929398148</v>
      </c>
      <c r="C11293" s="3" t="s">
        <v>5</v>
      </c>
    </row>
    <row r="11294">
      <c r="A11294" s="3">
        <v>2651.0</v>
      </c>
      <c r="B11294" s="4">
        <v>45461.77983796296</v>
      </c>
      <c r="C11294" s="3" t="s">
        <v>4</v>
      </c>
    </row>
    <row r="11295">
      <c r="A11295" s="3">
        <v>2801.0</v>
      </c>
      <c r="B11295" s="4">
        <v>45461.81199074074</v>
      </c>
      <c r="C11295" s="3" t="s">
        <v>3</v>
      </c>
    </row>
    <row r="11296">
      <c r="A11296" s="3">
        <v>4885.0</v>
      </c>
      <c r="B11296" s="4">
        <v>45461.818125</v>
      </c>
      <c r="C11296" s="3" t="s">
        <v>3</v>
      </c>
    </row>
    <row r="11297">
      <c r="A11297" s="3">
        <v>3115.0</v>
      </c>
      <c r="B11297" s="4">
        <v>45461.84158564815</v>
      </c>
      <c r="C11297" s="3" t="s">
        <v>4</v>
      </c>
    </row>
    <row r="11298">
      <c r="A11298" s="3">
        <v>7490.0</v>
      </c>
      <c r="B11298" s="4">
        <v>45461.85039351852</v>
      </c>
      <c r="C11298" s="3" t="s">
        <v>3</v>
      </c>
    </row>
    <row r="11299">
      <c r="A11299" s="3">
        <v>3824.0</v>
      </c>
      <c r="B11299" s="4">
        <v>45461.856354166666</v>
      </c>
      <c r="C11299" s="3" t="s">
        <v>3</v>
      </c>
    </row>
    <row r="11300">
      <c r="A11300" s="3">
        <v>7295.0</v>
      </c>
      <c r="B11300" s="4">
        <v>45461.858310185184</v>
      </c>
      <c r="C11300" s="3" t="s">
        <v>3</v>
      </c>
    </row>
    <row r="11301">
      <c r="A11301" s="3">
        <v>6661.0</v>
      </c>
      <c r="B11301" s="4">
        <v>45461.86866898148</v>
      </c>
      <c r="C11301" s="3" t="s">
        <v>5</v>
      </c>
    </row>
    <row r="11302">
      <c r="A11302" s="3">
        <v>481.0</v>
      </c>
      <c r="B11302" s="4">
        <v>45461.870405092595</v>
      </c>
      <c r="C11302" s="3" t="s">
        <v>3</v>
      </c>
    </row>
    <row r="11303">
      <c r="A11303" s="3">
        <v>3303.0</v>
      </c>
      <c r="B11303" s="4">
        <v>45461.87899305556</v>
      </c>
      <c r="C11303" s="3" t="s">
        <v>3</v>
      </c>
    </row>
    <row r="11304">
      <c r="A11304" s="3">
        <v>2654.0</v>
      </c>
      <c r="B11304" s="4">
        <v>45461.91898148148</v>
      </c>
      <c r="C11304" s="3" t="s">
        <v>6</v>
      </c>
    </row>
    <row r="11305">
      <c r="A11305" s="3">
        <v>450.0</v>
      </c>
      <c r="B11305" s="4">
        <v>45461.925405092596</v>
      </c>
      <c r="C11305" s="3" t="s">
        <v>4</v>
      </c>
    </row>
    <row r="11306">
      <c r="A11306" s="3">
        <v>4664.0</v>
      </c>
      <c r="B11306" s="4">
        <v>45461.9484375</v>
      </c>
      <c r="C11306" s="3" t="s">
        <v>4</v>
      </c>
    </row>
    <row r="11307">
      <c r="A11307" s="3">
        <v>2748.0</v>
      </c>
      <c r="B11307" s="4">
        <v>45461.99444444444</v>
      </c>
      <c r="C11307" s="3" t="s">
        <v>3</v>
      </c>
    </row>
    <row r="11308">
      <c r="A11308" s="3">
        <v>1643.0</v>
      </c>
      <c r="B11308" s="4">
        <v>45462.004641203705</v>
      </c>
      <c r="C11308" s="3" t="s">
        <v>4</v>
      </c>
    </row>
    <row r="11309">
      <c r="A11309" s="3">
        <v>1949.0</v>
      </c>
      <c r="B11309" s="4">
        <v>45462.016377314816</v>
      </c>
      <c r="C11309" s="3" t="s">
        <v>3</v>
      </c>
    </row>
    <row r="11310">
      <c r="A11310" s="3">
        <v>6758.0</v>
      </c>
      <c r="B11310" s="4">
        <v>45462.02746527778</v>
      </c>
      <c r="C11310" s="3" t="s">
        <v>3</v>
      </c>
    </row>
    <row r="11311">
      <c r="A11311" s="3">
        <v>653.0</v>
      </c>
      <c r="B11311" s="4">
        <v>45462.03193287037</v>
      </c>
      <c r="C11311" s="3" t="s">
        <v>7</v>
      </c>
    </row>
    <row r="11312">
      <c r="A11312" s="3">
        <v>6441.0</v>
      </c>
      <c r="B11312" s="4">
        <v>45462.061840277776</v>
      </c>
      <c r="C11312" s="3" t="s">
        <v>4</v>
      </c>
    </row>
    <row r="11313">
      <c r="A11313" s="3">
        <v>270.0</v>
      </c>
      <c r="B11313" s="4">
        <v>45462.09028935185</v>
      </c>
      <c r="C11313" s="3" t="s">
        <v>3</v>
      </c>
    </row>
    <row r="11314">
      <c r="A11314" s="3">
        <v>3440.0</v>
      </c>
      <c r="B11314" s="4">
        <v>45462.09684027778</v>
      </c>
      <c r="C11314" s="3" t="s">
        <v>6</v>
      </c>
    </row>
    <row r="11315">
      <c r="A11315" s="3">
        <v>4801.0</v>
      </c>
      <c r="B11315" s="4">
        <v>45462.123703703706</v>
      </c>
      <c r="C11315" s="3" t="s">
        <v>5</v>
      </c>
    </row>
    <row r="11316">
      <c r="A11316" s="3">
        <v>7726.0</v>
      </c>
      <c r="B11316" s="4">
        <v>45462.137141203704</v>
      </c>
      <c r="C11316" s="3" t="s">
        <v>3</v>
      </c>
    </row>
    <row r="11317">
      <c r="A11317" s="3">
        <v>5938.0</v>
      </c>
      <c r="B11317" s="4">
        <v>45462.14244212963</v>
      </c>
      <c r="C11317" s="3" t="s">
        <v>4</v>
      </c>
    </row>
    <row r="11318">
      <c r="A11318" s="3">
        <v>5338.0</v>
      </c>
      <c r="B11318" s="4">
        <v>45462.167546296296</v>
      </c>
      <c r="C11318" s="3" t="s">
        <v>3</v>
      </c>
    </row>
    <row r="11319">
      <c r="A11319" s="3">
        <v>5722.0</v>
      </c>
      <c r="B11319" s="4">
        <v>45462.18649305555</v>
      </c>
      <c r="C11319" s="3" t="s">
        <v>4</v>
      </c>
    </row>
    <row r="11320">
      <c r="A11320" s="3">
        <v>42.0</v>
      </c>
      <c r="B11320" s="4">
        <v>45462.186747685184</v>
      </c>
      <c r="C11320" s="3" t="s">
        <v>3</v>
      </c>
    </row>
    <row r="11321">
      <c r="A11321" s="3">
        <v>6981.0</v>
      </c>
      <c r="B11321" s="4">
        <v>45462.187476851854</v>
      </c>
      <c r="C11321" s="3" t="s">
        <v>3</v>
      </c>
    </row>
    <row r="11322">
      <c r="A11322" s="3">
        <v>7693.0</v>
      </c>
      <c r="B11322" s="4">
        <v>45462.21991898148</v>
      </c>
      <c r="C11322" s="3" t="s">
        <v>3</v>
      </c>
    </row>
    <row r="11323">
      <c r="A11323" s="3">
        <v>4983.0</v>
      </c>
      <c r="B11323" s="4">
        <v>45462.25607638889</v>
      </c>
      <c r="C11323" s="3" t="s">
        <v>3</v>
      </c>
    </row>
    <row r="11324">
      <c r="A11324" s="3">
        <v>3150.0</v>
      </c>
      <c r="B11324" s="4">
        <v>45462.256261574075</v>
      </c>
      <c r="C11324" s="3" t="s">
        <v>3</v>
      </c>
    </row>
    <row r="11325">
      <c r="A11325" s="3">
        <v>5870.0</v>
      </c>
      <c r="B11325" s="4">
        <v>45462.257893518516</v>
      </c>
      <c r="C11325" s="3" t="s">
        <v>4</v>
      </c>
    </row>
    <row r="11326">
      <c r="A11326" s="3">
        <v>431.0</v>
      </c>
      <c r="B11326" s="4">
        <v>45462.30846064815</v>
      </c>
      <c r="C11326" s="3" t="s">
        <v>3</v>
      </c>
    </row>
    <row r="11327">
      <c r="A11327" s="3">
        <v>6312.0</v>
      </c>
      <c r="B11327" s="4">
        <v>45462.31224537037</v>
      </c>
      <c r="C11327" s="3" t="s">
        <v>3</v>
      </c>
    </row>
    <row r="11328">
      <c r="A11328" s="3">
        <v>5338.0</v>
      </c>
      <c r="B11328" s="4">
        <v>45462.341782407406</v>
      </c>
      <c r="C11328" s="3" t="s">
        <v>4</v>
      </c>
    </row>
    <row r="11329">
      <c r="A11329" s="3">
        <v>7593.0</v>
      </c>
      <c r="B11329" s="4">
        <v>45462.34302083333</v>
      </c>
      <c r="C11329" s="3" t="s">
        <v>4</v>
      </c>
    </row>
    <row r="11330">
      <c r="A11330" s="3">
        <v>6981.0</v>
      </c>
      <c r="B11330" s="4">
        <v>45462.35165509259</v>
      </c>
      <c r="C11330" s="3" t="s">
        <v>4</v>
      </c>
    </row>
    <row r="11331">
      <c r="A11331" s="3">
        <v>59.0</v>
      </c>
      <c r="B11331" s="4">
        <v>45462.36570601852</v>
      </c>
      <c r="C11331" s="3" t="s">
        <v>7</v>
      </c>
    </row>
    <row r="11332">
      <c r="A11332" s="3">
        <v>4957.0</v>
      </c>
      <c r="B11332" s="4">
        <v>45462.408587962964</v>
      </c>
      <c r="C11332" s="3" t="s">
        <v>3</v>
      </c>
    </row>
    <row r="11333">
      <c r="A11333" s="3">
        <v>948.0</v>
      </c>
      <c r="B11333" s="4">
        <v>45462.41431712963</v>
      </c>
      <c r="C11333" s="3" t="s">
        <v>3</v>
      </c>
    </row>
    <row r="11334">
      <c r="A11334" s="3">
        <v>1610.0</v>
      </c>
      <c r="B11334" s="4">
        <v>45462.430925925924</v>
      </c>
      <c r="C11334" s="3" t="s">
        <v>3</v>
      </c>
    </row>
    <row r="11335">
      <c r="A11335" s="3">
        <v>5237.0</v>
      </c>
      <c r="B11335" s="4">
        <v>45462.439351851855</v>
      </c>
      <c r="C11335" s="3" t="s">
        <v>4</v>
      </c>
    </row>
    <row r="11336">
      <c r="A11336" s="3">
        <v>2111.0</v>
      </c>
      <c r="B11336" s="4">
        <v>45462.45365740741</v>
      </c>
      <c r="C11336" s="3" t="s">
        <v>3</v>
      </c>
    </row>
    <row r="11337">
      <c r="A11337" s="3">
        <v>7812.0</v>
      </c>
      <c r="B11337" s="4">
        <v>45462.482037037036</v>
      </c>
      <c r="C11337" s="3" t="s">
        <v>6</v>
      </c>
    </row>
    <row r="11338">
      <c r="A11338" s="3">
        <v>1979.0</v>
      </c>
      <c r="B11338" s="4">
        <v>45462.494722222225</v>
      </c>
      <c r="C11338" s="3" t="s">
        <v>3</v>
      </c>
    </row>
    <row r="11339">
      <c r="A11339" s="3">
        <v>4099.0</v>
      </c>
      <c r="B11339" s="4">
        <v>45462.49851851852</v>
      </c>
      <c r="C11339" s="3" t="s">
        <v>4</v>
      </c>
    </row>
    <row r="11340">
      <c r="A11340" s="3">
        <v>3050.0</v>
      </c>
      <c r="B11340" s="4">
        <v>45462.51159722222</v>
      </c>
      <c r="C11340" s="3" t="s">
        <v>6</v>
      </c>
    </row>
    <row r="11341">
      <c r="A11341" s="3">
        <v>2466.0</v>
      </c>
      <c r="B11341" s="4">
        <v>45462.53773148148</v>
      </c>
      <c r="C11341" s="3" t="s">
        <v>4</v>
      </c>
    </row>
    <row r="11342">
      <c r="A11342" s="3">
        <v>5723.0</v>
      </c>
      <c r="B11342" s="4">
        <v>45462.54357638889</v>
      </c>
      <c r="C11342" s="3" t="s">
        <v>3</v>
      </c>
    </row>
    <row r="11343">
      <c r="A11343" s="3">
        <v>744.0</v>
      </c>
      <c r="B11343" s="4">
        <v>45462.54923611111</v>
      </c>
      <c r="C11343" s="3" t="s">
        <v>7</v>
      </c>
    </row>
    <row r="11344">
      <c r="A11344" s="3">
        <v>1559.0</v>
      </c>
      <c r="B11344" s="4">
        <v>45462.558125</v>
      </c>
      <c r="C11344" s="3" t="s">
        <v>5</v>
      </c>
    </row>
    <row r="11345">
      <c r="A11345" s="3">
        <v>1559.0</v>
      </c>
      <c r="B11345" s="4">
        <v>45462.584085648145</v>
      </c>
      <c r="C11345" s="3" t="s">
        <v>6</v>
      </c>
    </row>
    <row r="11346">
      <c r="A11346" s="3">
        <v>4292.0</v>
      </c>
      <c r="B11346" s="4">
        <v>45462.61004629629</v>
      </c>
      <c r="C11346" s="3" t="s">
        <v>6</v>
      </c>
    </row>
    <row r="11347">
      <c r="A11347" s="3">
        <v>2633.0</v>
      </c>
      <c r="B11347" s="4">
        <v>45462.6250462963</v>
      </c>
      <c r="C11347" s="3" t="s">
        <v>3</v>
      </c>
    </row>
    <row r="11348">
      <c r="A11348" s="3">
        <v>5723.0</v>
      </c>
      <c r="B11348" s="4">
        <v>45462.62703703704</v>
      </c>
      <c r="C11348" s="3" t="s">
        <v>4</v>
      </c>
    </row>
    <row r="11349">
      <c r="A11349" s="3">
        <v>7394.0</v>
      </c>
      <c r="B11349" s="4">
        <v>45462.63574074074</v>
      </c>
      <c r="C11349" s="3" t="s">
        <v>4</v>
      </c>
    </row>
    <row r="11350">
      <c r="A11350" s="3">
        <v>7973.0</v>
      </c>
      <c r="B11350" s="4">
        <v>45462.63613425926</v>
      </c>
      <c r="C11350" s="3" t="s">
        <v>4</v>
      </c>
    </row>
    <row r="11351">
      <c r="A11351" s="3">
        <v>3150.0</v>
      </c>
      <c r="B11351" s="4">
        <v>45462.64056712963</v>
      </c>
      <c r="C11351" s="3" t="s">
        <v>4</v>
      </c>
    </row>
    <row r="11352">
      <c r="A11352" s="3">
        <v>3397.0</v>
      </c>
      <c r="B11352" s="4">
        <v>45462.64333333333</v>
      </c>
      <c r="C11352" s="3" t="s">
        <v>4</v>
      </c>
    </row>
    <row r="11353">
      <c r="A11353" s="3">
        <v>2651.0</v>
      </c>
      <c r="B11353" s="4">
        <v>45462.66746527778</v>
      </c>
      <c r="C11353" s="3" t="s">
        <v>5</v>
      </c>
    </row>
    <row r="11354">
      <c r="A11354" s="3">
        <v>5501.0</v>
      </c>
      <c r="B11354" s="4">
        <v>45462.68346064815</v>
      </c>
      <c r="C11354" s="3" t="s">
        <v>3</v>
      </c>
    </row>
    <row r="11355">
      <c r="A11355" s="3">
        <v>2318.0</v>
      </c>
      <c r="B11355" s="4">
        <v>45462.69726851852</v>
      </c>
      <c r="C11355" s="3" t="s">
        <v>5</v>
      </c>
    </row>
    <row r="11356">
      <c r="A11356" s="3">
        <v>4584.0</v>
      </c>
      <c r="B11356" s="4">
        <v>45462.711701388886</v>
      </c>
      <c r="C11356" s="3" t="s">
        <v>3</v>
      </c>
    </row>
    <row r="11357">
      <c r="A11357" s="3">
        <v>6885.0</v>
      </c>
      <c r="B11357" s="4">
        <v>45462.71805555555</v>
      </c>
      <c r="C11357" s="3" t="s">
        <v>7</v>
      </c>
    </row>
    <row r="11358">
      <c r="A11358" s="3">
        <v>4983.0</v>
      </c>
      <c r="B11358" s="4">
        <v>45462.77069444444</v>
      </c>
      <c r="C11358" s="3" t="s">
        <v>5</v>
      </c>
    </row>
    <row r="11359">
      <c r="A11359" s="3">
        <v>7593.0</v>
      </c>
      <c r="B11359" s="4">
        <v>45462.779178240744</v>
      </c>
      <c r="C11359" s="3" t="s">
        <v>3</v>
      </c>
    </row>
    <row r="11360">
      <c r="A11360" s="3">
        <v>5039.0</v>
      </c>
      <c r="B11360" s="4">
        <v>45462.79951388889</v>
      </c>
      <c r="C11360" s="3" t="s">
        <v>6</v>
      </c>
    </row>
    <row r="11361">
      <c r="A11361" s="3">
        <v>1193.0</v>
      </c>
      <c r="B11361" s="4">
        <v>45462.81520833333</v>
      </c>
      <c r="C11361" s="3" t="s">
        <v>3</v>
      </c>
    </row>
    <row r="11362">
      <c r="A11362" s="3">
        <v>3733.0</v>
      </c>
      <c r="B11362" s="4">
        <v>45462.82996527778</v>
      </c>
      <c r="C11362" s="3" t="s">
        <v>4</v>
      </c>
    </row>
    <row r="11363">
      <c r="A11363" s="3">
        <v>2318.0</v>
      </c>
      <c r="B11363" s="4">
        <v>45462.84412037037</v>
      </c>
      <c r="C11363" s="3" t="s">
        <v>6</v>
      </c>
    </row>
    <row r="11364">
      <c r="A11364" s="3">
        <v>3536.0</v>
      </c>
      <c r="B11364" s="4">
        <v>45462.86460648148</v>
      </c>
      <c r="C11364" s="3" t="s">
        <v>6</v>
      </c>
    </row>
    <row r="11365">
      <c r="A11365" s="3">
        <v>6441.0</v>
      </c>
      <c r="B11365" s="4">
        <v>45462.87416666667</v>
      </c>
      <c r="C11365" s="3" t="s">
        <v>7</v>
      </c>
    </row>
    <row r="11366">
      <c r="A11366" s="3">
        <v>7394.0</v>
      </c>
      <c r="B11366" s="4">
        <v>45462.89402777778</v>
      </c>
      <c r="C11366" s="3" t="s">
        <v>3</v>
      </c>
    </row>
    <row r="11367">
      <c r="A11367" s="3">
        <v>4630.0</v>
      </c>
      <c r="B11367" s="4">
        <v>45462.91446759259</v>
      </c>
      <c r="C11367" s="3" t="s">
        <v>7</v>
      </c>
    </row>
    <row r="11368">
      <c r="A11368" s="3">
        <v>5722.0</v>
      </c>
      <c r="B11368" s="4">
        <v>45462.93960648148</v>
      </c>
      <c r="C11368" s="3" t="s">
        <v>3</v>
      </c>
    </row>
    <row r="11369">
      <c r="A11369" s="3">
        <v>2263.0</v>
      </c>
      <c r="B11369" s="4">
        <v>45462.9746875</v>
      </c>
      <c r="C11369" s="3" t="s">
        <v>3</v>
      </c>
    </row>
    <row r="11370">
      <c r="A11370" s="3">
        <v>4182.0</v>
      </c>
      <c r="B11370" s="4">
        <v>45463.00996527778</v>
      </c>
      <c r="C11370" s="3" t="s">
        <v>3</v>
      </c>
    </row>
    <row r="11371">
      <c r="A11371" s="3">
        <v>419.0</v>
      </c>
      <c r="B11371" s="4">
        <v>45463.02113425926</v>
      </c>
      <c r="C11371" s="3" t="s">
        <v>3</v>
      </c>
    </row>
    <row r="11372">
      <c r="A11372" s="3">
        <v>3150.0</v>
      </c>
      <c r="B11372" s="4">
        <v>45463.02162037037</v>
      </c>
      <c r="C11372" s="3" t="s">
        <v>7</v>
      </c>
    </row>
    <row r="11373">
      <c r="A11373" s="3">
        <v>2252.0</v>
      </c>
      <c r="B11373" s="4">
        <v>45463.03728009259</v>
      </c>
      <c r="C11373" s="3" t="s">
        <v>5</v>
      </c>
    </row>
    <row r="11374">
      <c r="A11374" s="3">
        <v>7593.0</v>
      </c>
      <c r="B11374" s="4">
        <v>45463.03857638889</v>
      </c>
      <c r="C11374" s="3" t="s">
        <v>5</v>
      </c>
    </row>
    <row r="11375">
      <c r="A11375" s="3">
        <v>5352.0</v>
      </c>
      <c r="B11375" s="4">
        <v>45463.046064814815</v>
      </c>
      <c r="C11375" s="3" t="s">
        <v>3</v>
      </c>
    </row>
    <row r="11376">
      <c r="A11376" s="3">
        <v>890.0</v>
      </c>
      <c r="B11376" s="4">
        <v>45463.04709490741</v>
      </c>
      <c r="C11376" s="3" t="s">
        <v>7</v>
      </c>
    </row>
    <row r="11377">
      <c r="A11377" s="3">
        <v>6395.0</v>
      </c>
      <c r="B11377" s="4">
        <v>45463.06244212963</v>
      </c>
      <c r="C11377" s="3" t="s">
        <v>3</v>
      </c>
    </row>
    <row r="11378">
      <c r="A11378" s="3">
        <v>6106.0</v>
      </c>
      <c r="B11378" s="4">
        <v>45463.076053240744</v>
      </c>
      <c r="C11378" s="3" t="s">
        <v>3</v>
      </c>
    </row>
    <row r="11379">
      <c r="A11379" s="3">
        <v>5133.0</v>
      </c>
      <c r="B11379" s="4">
        <v>45463.080509259256</v>
      </c>
      <c r="C11379" s="3" t="s">
        <v>5</v>
      </c>
    </row>
    <row r="11380">
      <c r="A11380" s="3">
        <v>6187.0</v>
      </c>
      <c r="B11380" s="4">
        <v>45463.084085648145</v>
      </c>
      <c r="C11380" s="3" t="s">
        <v>6</v>
      </c>
    </row>
    <row r="11381">
      <c r="A11381" s="3">
        <v>5723.0</v>
      </c>
      <c r="B11381" s="4">
        <v>45463.109826388885</v>
      </c>
      <c r="C11381" s="3" t="s">
        <v>5</v>
      </c>
    </row>
    <row r="11382">
      <c r="A11382" s="3">
        <v>3202.0</v>
      </c>
      <c r="B11382" s="4">
        <v>45463.13539351852</v>
      </c>
      <c r="C11382" s="3" t="s">
        <v>4</v>
      </c>
    </row>
    <row r="11383">
      <c r="A11383" s="3">
        <v>5288.0</v>
      </c>
      <c r="B11383" s="4">
        <v>45463.15898148148</v>
      </c>
      <c r="C11383" s="3" t="s">
        <v>3</v>
      </c>
    </row>
    <row r="11384">
      <c r="A11384" s="3">
        <v>2104.0</v>
      </c>
      <c r="B11384" s="4">
        <v>45463.162777777776</v>
      </c>
      <c r="C11384" s="3" t="s">
        <v>3</v>
      </c>
    </row>
    <row r="11385">
      <c r="A11385" s="3">
        <v>6523.0</v>
      </c>
      <c r="B11385" s="4">
        <v>45463.16489583333</v>
      </c>
      <c r="C11385" s="3" t="s">
        <v>7</v>
      </c>
    </row>
    <row r="11386">
      <c r="A11386" s="3">
        <v>1160.0</v>
      </c>
      <c r="B11386" s="4">
        <v>45463.16815972222</v>
      </c>
      <c r="C11386" s="3" t="s">
        <v>3</v>
      </c>
    </row>
    <row r="11387">
      <c r="A11387" s="3">
        <v>4476.0</v>
      </c>
      <c r="B11387" s="4">
        <v>45463.16881944444</v>
      </c>
      <c r="C11387" s="3" t="s">
        <v>3</v>
      </c>
    </row>
    <row r="11388">
      <c r="A11388" s="3">
        <v>2111.0</v>
      </c>
      <c r="B11388" s="4">
        <v>45463.18040509259</v>
      </c>
      <c r="C11388" s="3" t="s">
        <v>4</v>
      </c>
    </row>
    <row r="11389">
      <c r="A11389" s="3">
        <v>7295.0</v>
      </c>
      <c r="B11389" s="4">
        <v>45463.211018518516</v>
      </c>
      <c r="C11389" s="3" t="s">
        <v>4</v>
      </c>
    </row>
    <row r="11390">
      <c r="A11390" s="3">
        <v>1445.0</v>
      </c>
      <c r="B11390" s="4">
        <v>45463.216631944444</v>
      </c>
      <c r="C11390" s="3" t="s">
        <v>3</v>
      </c>
    </row>
    <row r="11391">
      <c r="A11391" s="3">
        <v>3164.0</v>
      </c>
      <c r="B11391" s="4">
        <v>45463.21760416667</v>
      </c>
      <c r="C11391" s="3" t="s">
        <v>7</v>
      </c>
    </row>
    <row r="11392">
      <c r="A11392" s="3">
        <v>3164.0</v>
      </c>
      <c r="B11392" s="4">
        <v>45463.22613425926</v>
      </c>
      <c r="C11392" s="3" t="s">
        <v>6</v>
      </c>
    </row>
    <row r="11393">
      <c r="A11393" s="3">
        <v>5454.0</v>
      </c>
      <c r="B11393" s="4">
        <v>45463.22920138889</v>
      </c>
      <c r="C11393" s="3" t="s">
        <v>3</v>
      </c>
    </row>
    <row r="11394">
      <c r="A11394" s="3">
        <v>6111.0</v>
      </c>
      <c r="B11394" s="4">
        <v>45463.229525462964</v>
      </c>
      <c r="C11394" s="3" t="s">
        <v>5</v>
      </c>
    </row>
    <row r="11395">
      <c r="A11395" s="3">
        <v>1911.0</v>
      </c>
      <c r="B11395" s="4">
        <v>45463.248252314814</v>
      </c>
      <c r="C11395" s="3" t="s">
        <v>4</v>
      </c>
    </row>
    <row r="11396">
      <c r="A11396" s="3">
        <v>4664.0</v>
      </c>
      <c r="B11396" s="4">
        <v>45463.25133101852</v>
      </c>
      <c r="C11396" s="3" t="s">
        <v>7</v>
      </c>
    </row>
    <row r="11397">
      <c r="A11397" s="3">
        <v>5338.0</v>
      </c>
      <c r="B11397" s="4">
        <v>45463.26599537037</v>
      </c>
      <c r="C11397" s="3" t="s">
        <v>6</v>
      </c>
    </row>
    <row r="11398">
      <c r="A11398" s="3">
        <v>6661.0</v>
      </c>
      <c r="B11398" s="4">
        <v>45463.3290162037</v>
      </c>
      <c r="C11398" s="3" t="s">
        <v>7</v>
      </c>
    </row>
    <row r="11399">
      <c r="A11399" s="3">
        <v>801.0</v>
      </c>
      <c r="B11399" s="4">
        <v>45463.33372685185</v>
      </c>
      <c r="C11399" s="3" t="s">
        <v>3</v>
      </c>
    </row>
    <row r="11400">
      <c r="A11400" s="3">
        <v>7871.0</v>
      </c>
      <c r="B11400" s="4">
        <v>45463.34341435185</v>
      </c>
      <c r="C11400" s="3" t="s">
        <v>6</v>
      </c>
    </row>
    <row r="11401">
      <c r="A11401" s="3">
        <v>3440.0</v>
      </c>
      <c r="B11401" s="4">
        <v>45463.35047453704</v>
      </c>
      <c r="C11401" s="3" t="s">
        <v>7</v>
      </c>
    </row>
    <row r="11402">
      <c r="A11402" s="3">
        <v>1559.0</v>
      </c>
      <c r="B11402" s="4">
        <v>45463.36417824074</v>
      </c>
      <c r="C11402" s="3" t="s">
        <v>7</v>
      </c>
    </row>
    <row r="11403">
      <c r="A11403" s="3">
        <v>2747.0</v>
      </c>
      <c r="B11403" s="4">
        <v>45463.37396990741</v>
      </c>
      <c r="C11403" s="3" t="s">
        <v>3</v>
      </c>
    </row>
    <row r="11404">
      <c r="A11404" s="3">
        <v>4362.0</v>
      </c>
      <c r="B11404" s="4">
        <v>45463.41496527778</v>
      </c>
      <c r="C11404" s="3" t="s">
        <v>4</v>
      </c>
    </row>
    <row r="11405">
      <c r="A11405" s="3">
        <v>5571.0</v>
      </c>
      <c r="B11405" s="4">
        <v>45463.44965277778</v>
      </c>
      <c r="C11405" s="3" t="s">
        <v>6</v>
      </c>
    </row>
    <row r="11406">
      <c r="A11406" s="3">
        <v>5827.0</v>
      </c>
      <c r="B11406" s="4">
        <v>45463.45116898148</v>
      </c>
      <c r="C11406" s="3" t="s">
        <v>5</v>
      </c>
    </row>
    <row r="11407">
      <c r="A11407" s="3">
        <v>5405.0</v>
      </c>
      <c r="B11407" s="4">
        <v>45463.46173611111</v>
      </c>
      <c r="C11407" s="3" t="s">
        <v>3</v>
      </c>
    </row>
    <row r="11408">
      <c r="A11408" s="3">
        <v>5938.0</v>
      </c>
      <c r="B11408" s="4">
        <v>45463.473599537036</v>
      </c>
      <c r="C11408" s="3" t="s">
        <v>6</v>
      </c>
    </row>
    <row r="11409">
      <c r="A11409" s="3">
        <v>1668.0</v>
      </c>
      <c r="B11409" s="4">
        <v>45463.47642361111</v>
      </c>
      <c r="C11409" s="3" t="s">
        <v>3</v>
      </c>
    </row>
    <row r="11410">
      <c r="A11410" s="3">
        <v>3397.0</v>
      </c>
      <c r="B11410" s="4">
        <v>45463.48210648148</v>
      </c>
      <c r="C11410" s="3" t="s">
        <v>7</v>
      </c>
    </row>
    <row r="11411">
      <c r="A11411" s="3">
        <v>107.0</v>
      </c>
      <c r="B11411" s="4">
        <v>45463.49998842592</v>
      </c>
      <c r="C11411" s="3" t="s">
        <v>3</v>
      </c>
    </row>
    <row r="11412">
      <c r="A11412" s="3">
        <v>1911.0</v>
      </c>
      <c r="B11412" s="4">
        <v>45463.50471064815</v>
      </c>
      <c r="C11412" s="3" t="s">
        <v>3</v>
      </c>
    </row>
    <row r="11413">
      <c r="A11413" s="3">
        <v>5827.0</v>
      </c>
      <c r="B11413" s="4">
        <v>45463.516284722224</v>
      </c>
      <c r="C11413" s="3" t="s">
        <v>3</v>
      </c>
    </row>
    <row r="11414">
      <c r="A11414" s="3">
        <v>4754.0</v>
      </c>
      <c r="B11414" s="4">
        <v>45463.53087962963</v>
      </c>
      <c r="C11414" s="3" t="s">
        <v>3</v>
      </c>
    </row>
    <row r="11415">
      <c r="A11415" s="3">
        <v>1979.0</v>
      </c>
      <c r="B11415" s="4">
        <v>45463.5502662037</v>
      </c>
      <c r="C11415" s="3" t="s">
        <v>5</v>
      </c>
    </row>
    <row r="11416">
      <c r="A11416" s="3">
        <v>2111.0</v>
      </c>
      <c r="B11416" s="4">
        <v>45463.57456018519</v>
      </c>
      <c r="C11416" s="3" t="s">
        <v>5</v>
      </c>
    </row>
    <row r="11417">
      <c r="A11417" s="3">
        <v>2747.0</v>
      </c>
      <c r="B11417" s="4">
        <v>45463.62513888889</v>
      </c>
      <c r="C11417" s="3" t="s">
        <v>4</v>
      </c>
    </row>
    <row r="11418">
      <c r="A11418" s="3">
        <v>5934.0</v>
      </c>
      <c r="B11418" s="4">
        <v>45463.64298611111</v>
      </c>
      <c r="C11418" s="3" t="s">
        <v>7</v>
      </c>
    </row>
    <row r="11419">
      <c r="A11419" s="3">
        <v>2651.0</v>
      </c>
      <c r="B11419" s="4">
        <v>45463.70196759259</v>
      </c>
      <c r="C11419" s="3" t="s">
        <v>6</v>
      </c>
    </row>
    <row r="11420">
      <c r="A11420" s="3">
        <v>2318.0</v>
      </c>
      <c r="B11420" s="4">
        <v>45463.72210648148</v>
      </c>
      <c r="C11420" s="3" t="s">
        <v>7</v>
      </c>
    </row>
    <row r="11421">
      <c r="A11421" s="3">
        <v>1559.0</v>
      </c>
      <c r="B11421" s="4">
        <v>45463.73059027778</v>
      </c>
      <c r="C11421" s="3" t="s">
        <v>4</v>
      </c>
    </row>
    <row r="11422">
      <c r="A11422" s="3">
        <v>2748.0</v>
      </c>
      <c r="B11422" s="4">
        <v>45463.74773148148</v>
      </c>
      <c r="C11422" s="3" t="s">
        <v>4</v>
      </c>
    </row>
    <row r="11423">
      <c r="A11423" s="3">
        <v>1505.0</v>
      </c>
      <c r="B11423" s="4">
        <v>45463.74925925926</v>
      </c>
      <c r="C11423" s="3" t="s">
        <v>3</v>
      </c>
    </row>
    <row r="11424">
      <c r="A11424" s="3">
        <v>3115.0</v>
      </c>
      <c r="B11424" s="4">
        <v>45463.75880787037</v>
      </c>
      <c r="C11424" s="3" t="s">
        <v>5</v>
      </c>
    </row>
    <row r="11425">
      <c r="A11425" s="3">
        <v>3053.0</v>
      </c>
      <c r="B11425" s="4">
        <v>45463.80738425926</v>
      </c>
      <c r="C11425" s="3" t="s">
        <v>3</v>
      </c>
    </row>
    <row r="11426">
      <c r="A11426" s="3">
        <v>5183.0</v>
      </c>
      <c r="B11426" s="4">
        <v>45463.81849537037</v>
      </c>
      <c r="C11426" s="3" t="s">
        <v>3</v>
      </c>
    </row>
    <row r="11427">
      <c r="A11427" s="3">
        <v>6523.0</v>
      </c>
      <c r="B11427" s="4">
        <v>45463.82699074074</v>
      </c>
      <c r="C11427" s="3" t="s">
        <v>6</v>
      </c>
    </row>
    <row r="11428">
      <c r="A11428" s="3">
        <v>4983.0</v>
      </c>
      <c r="B11428" s="4">
        <v>45463.83045138889</v>
      </c>
      <c r="C11428" s="3" t="s">
        <v>4</v>
      </c>
    </row>
    <row r="11429">
      <c r="A11429" s="3">
        <v>3229.0</v>
      </c>
      <c r="B11429" s="4">
        <v>45463.84119212963</v>
      </c>
      <c r="C11429" s="3" t="s">
        <v>3</v>
      </c>
    </row>
    <row r="11430">
      <c r="A11430" s="3">
        <v>6198.0</v>
      </c>
      <c r="B11430" s="4">
        <v>45463.858090277776</v>
      </c>
      <c r="C11430" s="3" t="s">
        <v>4</v>
      </c>
    </row>
    <row r="11431">
      <c r="A11431" s="3">
        <v>4630.0</v>
      </c>
      <c r="B11431" s="4">
        <v>45463.86070601852</v>
      </c>
      <c r="C11431" s="3" t="s">
        <v>4</v>
      </c>
    </row>
    <row r="11432">
      <c r="A11432" s="3">
        <v>1356.0</v>
      </c>
      <c r="B11432" s="4">
        <v>45463.87153935185</v>
      </c>
      <c r="C11432" s="3" t="s">
        <v>3</v>
      </c>
    </row>
    <row r="11433">
      <c r="A11433" s="3">
        <v>801.0</v>
      </c>
      <c r="B11433" s="4">
        <v>45463.92061342593</v>
      </c>
      <c r="C11433" s="3" t="s">
        <v>4</v>
      </c>
    </row>
    <row r="11434">
      <c r="A11434" s="3">
        <v>7558.0</v>
      </c>
      <c r="B11434" s="4">
        <v>45463.923530092594</v>
      </c>
      <c r="C11434" s="3" t="s">
        <v>3</v>
      </c>
    </row>
    <row r="11435">
      <c r="A11435" s="3">
        <v>890.0</v>
      </c>
      <c r="B11435" s="4">
        <v>45463.935</v>
      </c>
      <c r="C11435" s="3" t="s">
        <v>6</v>
      </c>
    </row>
    <row r="11436">
      <c r="A11436" s="3">
        <v>3304.0</v>
      </c>
      <c r="B11436" s="4">
        <v>45463.965416666666</v>
      </c>
      <c r="C11436" s="3" t="s">
        <v>7</v>
      </c>
    </row>
    <row r="11437">
      <c r="A11437" s="3">
        <v>3520.0</v>
      </c>
      <c r="B11437" s="4">
        <v>45463.98738425926</v>
      </c>
      <c r="C11437" s="3" t="s">
        <v>3</v>
      </c>
    </row>
    <row r="11438">
      <c r="A11438" s="3">
        <v>3804.0</v>
      </c>
      <c r="B11438" s="4">
        <v>45464.02648148148</v>
      </c>
      <c r="C11438" s="3" t="s">
        <v>3</v>
      </c>
    </row>
    <row r="11439">
      <c r="A11439" s="3">
        <v>7230.0</v>
      </c>
      <c r="B11439" s="4">
        <v>45464.03403935185</v>
      </c>
      <c r="C11439" s="3" t="s">
        <v>3</v>
      </c>
    </row>
    <row r="11440">
      <c r="A11440" s="3">
        <v>340.0</v>
      </c>
      <c r="B11440" s="4">
        <v>45464.04961805556</v>
      </c>
      <c r="C11440" s="3" t="s">
        <v>4</v>
      </c>
    </row>
    <row r="11441">
      <c r="A11441" s="3">
        <v>5617.0</v>
      </c>
      <c r="B11441" s="4">
        <v>45464.0547337963</v>
      </c>
      <c r="C11441" s="3" t="s">
        <v>3</v>
      </c>
    </row>
    <row r="11442">
      <c r="A11442" s="3">
        <v>6449.0</v>
      </c>
      <c r="B11442" s="4">
        <v>45464.055601851855</v>
      </c>
      <c r="C11442" s="3" t="s">
        <v>4</v>
      </c>
    </row>
    <row r="11443">
      <c r="A11443" s="3">
        <v>666.0</v>
      </c>
      <c r="B11443" s="4">
        <v>45464.05631944445</v>
      </c>
      <c r="C11443" s="3" t="s">
        <v>3</v>
      </c>
    </row>
    <row r="11444">
      <c r="A11444" s="3">
        <v>1979.0</v>
      </c>
      <c r="B11444" s="4">
        <v>45464.06418981482</v>
      </c>
      <c r="C11444" s="3" t="s">
        <v>4</v>
      </c>
    </row>
    <row r="11445">
      <c r="A11445" s="3">
        <v>5338.0</v>
      </c>
      <c r="B11445" s="4">
        <v>45464.07063657408</v>
      </c>
      <c r="C11445" s="3" t="s">
        <v>5</v>
      </c>
    </row>
    <row r="11446">
      <c r="A11446" s="3">
        <v>5827.0</v>
      </c>
      <c r="B11446" s="4">
        <v>45464.0746875</v>
      </c>
      <c r="C11446" s="3" t="s">
        <v>4</v>
      </c>
    </row>
    <row r="11447">
      <c r="A11447" s="3">
        <v>3557.0</v>
      </c>
      <c r="B11447" s="4">
        <v>45464.097905092596</v>
      </c>
      <c r="C11447" s="3" t="s">
        <v>3</v>
      </c>
    </row>
    <row r="11448">
      <c r="A11448" s="3">
        <v>3107.0</v>
      </c>
      <c r="B11448" s="4">
        <v>45464.115578703706</v>
      </c>
      <c r="C11448" s="3" t="s">
        <v>6</v>
      </c>
    </row>
    <row r="11449">
      <c r="A11449" s="3">
        <v>5734.0</v>
      </c>
      <c r="B11449" s="4">
        <v>45464.1358912037</v>
      </c>
      <c r="C11449" s="3" t="s">
        <v>7</v>
      </c>
    </row>
    <row r="11450">
      <c r="A11450" s="3">
        <v>5938.0</v>
      </c>
      <c r="B11450" s="4">
        <v>45464.15392361111</v>
      </c>
      <c r="C11450" s="3" t="s">
        <v>5</v>
      </c>
    </row>
    <row r="11451">
      <c r="A11451" s="3">
        <v>5649.0</v>
      </c>
      <c r="B11451" s="4">
        <v>45464.171689814815</v>
      </c>
      <c r="C11451" s="3" t="s">
        <v>3</v>
      </c>
    </row>
    <row r="11452">
      <c r="A11452" s="3">
        <v>432.0</v>
      </c>
      <c r="B11452" s="4">
        <v>45464.18886574074</v>
      </c>
      <c r="C11452" s="3" t="s">
        <v>3</v>
      </c>
    </row>
    <row r="11453">
      <c r="A11453" s="3">
        <v>7175.0</v>
      </c>
      <c r="B11453" s="4">
        <v>45464.19194444444</v>
      </c>
      <c r="C11453" s="3" t="s">
        <v>6</v>
      </c>
    </row>
    <row r="11454">
      <c r="A11454" s="3">
        <v>4664.0</v>
      </c>
      <c r="B11454" s="4">
        <v>45464.19472222222</v>
      </c>
      <c r="C11454" s="3" t="s">
        <v>5</v>
      </c>
    </row>
    <row r="11455">
      <c r="A11455" s="3">
        <v>7918.0</v>
      </c>
      <c r="B11455" s="4">
        <v>45464.21056712963</v>
      </c>
      <c r="C11455" s="3" t="s">
        <v>3</v>
      </c>
    </row>
    <row r="11456">
      <c r="A11456" s="3">
        <v>3303.0</v>
      </c>
      <c r="B11456" s="4">
        <v>45464.214212962965</v>
      </c>
      <c r="C11456" s="3" t="s">
        <v>4</v>
      </c>
    </row>
    <row r="11457">
      <c r="A11457" s="3">
        <v>409.0</v>
      </c>
      <c r="B11457" s="4">
        <v>45464.24513888889</v>
      </c>
      <c r="C11457" s="3" t="s">
        <v>3</v>
      </c>
    </row>
    <row r="11458">
      <c r="A11458" s="3">
        <v>5649.0</v>
      </c>
      <c r="B11458" s="4">
        <v>45464.24710648148</v>
      </c>
      <c r="C11458" s="3" t="s">
        <v>4</v>
      </c>
    </row>
    <row r="11459">
      <c r="A11459" s="3">
        <v>114.0</v>
      </c>
      <c r="B11459" s="4">
        <v>45464.30795138889</v>
      </c>
      <c r="C11459" s="3" t="s">
        <v>3</v>
      </c>
    </row>
    <row r="11460">
      <c r="A11460" s="3">
        <v>6441.0</v>
      </c>
      <c r="B11460" s="4">
        <v>45464.33824074074</v>
      </c>
      <c r="C11460" s="3" t="s">
        <v>5</v>
      </c>
    </row>
    <row r="11461">
      <c r="A11461" s="3">
        <v>6776.0</v>
      </c>
      <c r="B11461" s="4">
        <v>45464.35277777778</v>
      </c>
      <c r="C11461" s="3" t="s">
        <v>4</v>
      </c>
    </row>
    <row r="11462">
      <c r="A11462" s="3">
        <v>2104.0</v>
      </c>
      <c r="B11462" s="4">
        <v>45464.38167824074</v>
      </c>
      <c r="C11462" s="3" t="s">
        <v>4</v>
      </c>
    </row>
    <row r="11463">
      <c r="A11463" s="3">
        <v>759.0</v>
      </c>
      <c r="B11463" s="4">
        <v>45464.39834490741</v>
      </c>
      <c r="C11463" s="3" t="s">
        <v>3</v>
      </c>
    </row>
    <row r="11464">
      <c r="A11464" s="3">
        <v>6054.0</v>
      </c>
      <c r="B11464" s="4">
        <v>45464.41222222222</v>
      </c>
      <c r="C11464" s="3" t="s">
        <v>7</v>
      </c>
    </row>
    <row r="11465">
      <c r="A11465" s="3">
        <v>5525.0</v>
      </c>
      <c r="B11465" s="4">
        <v>45464.41224537037</v>
      </c>
      <c r="C11465" s="3" t="s">
        <v>3</v>
      </c>
    </row>
    <row r="11466">
      <c r="A11466" s="3">
        <v>7295.0</v>
      </c>
      <c r="B11466" s="4">
        <v>45464.420625</v>
      </c>
      <c r="C11466" s="3" t="s">
        <v>6</v>
      </c>
    </row>
    <row r="11467">
      <c r="A11467" s="3">
        <v>3520.0</v>
      </c>
      <c r="B11467" s="4">
        <v>45464.45166666667</v>
      </c>
      <c r="C11467" s="3" t="s">
        <v>4</v>
      </c>
    </row>
    <row r="11468">
      <c r="A11468" s="3">
        <v>340.0</v>
      </c>
      <c r="B11468" s="4">
        <v>45464.45322916667</v>
      </c>
      <c r="C11468" s="3" t="s">
        <v>3</v>
      </c>
    </row>
    <row r="11469">
      <c r="A11469" s="3">
        <v>6776.0</v>
      </c>
      <c r="B11469" s="4">
        <v>45464.4608912037</v>
      </c>
      <c r="C11469" s="3" t="s">
        <v>3</v>
      </c>
    </row>
    <row r="11470">
      <c r="A11470" s="3">
        <v>642.0</v>
      </c>
      <c r="B11470" s="4">
        <v>45464.49837962963</v>
      </c>
      <c r="C11470" s="3" t="s">
        <v>6</v>
      </c>
    </row>
    <row r="11471">
      <c r="A11471" s="3">
        <v>4801.0</v>
      </c>
      <c r="B11471" s="4">
        <v>45464.51231481481</v>
      </c>
      <c r="C11471" s="3" t="s">
        <v>7</v>
      </c>
    </row>
    <row r="11472">
      <c r="A11472" s="3">
        <v>3807.0</v>
      </c>
      <c r="B11472" s="4">
        <v>45464.520844907405</v>
      </c>
      <c r="C11472" s="3" t="s">
        <v>7</v>
      </c>
    </row>
    <row r="11473">
      <c r="A11473" s="3">
        <v>444.0</v>
      </c>
      <c r="B11473" s="4">
        <v>45464.53916666667</v>
      </c>
      <c r="C11473" s="3" t="s">
        <v>3</v>
      </c>
    </row>
    <row r="11474">
      <c r="A11474" s="3">
        <v>6747.0</v>
      </c>
      <c r="B11474" s="4">
        <v>45464.54188657407</v>
      </c>
      <c r="C11474" s="3" t="s">
        <v>3</v>
      </c>
    </row>
    <row r="11475">
      <c r="A11475" s="3">
        <v>846.0</v>
      </c>
      <c r="B11475" s="4">
        <v>45464.59978009259</v>
      </c>
      <c r="C11475" s="3" t="s">
        <v>3</v>
      </c>
    </row>
    <row r="11476">
      <c r="A11476" s="3">
        <v>419.0</v>
      </c>
      <c r="B11476" s="4">
        <v>45464.60054398148</v>
      </c>
      <c r="C11476" s="3" t="s">
        <v>4</v>
      </c>
    </row>
    <row r="11477">
      <c r="A11477" s="3">
        <v>2466.0</v>
      </c>
      <c r="B11477" s="4">
        <v>45464.60979166667</v>
      </c>
      <c r="C11477" s="3" t="s">
        <v>6</v>
      </c>
    </row>
    <row r="11478">
      <c r="A11478" s="3">
        <v>3520.0</v>
      </c>
      <c r="B11478" s="4">
        <v>45464.623935185184</v>
      </c>
      <c r="C11478" s="3" t="s">
        <v>5</v>
      </c>
    </row>
    <row r="11479">
      <c r="A11479" s="3">
        <v>2083.0</v>
      </c>
      <c r="B11479" s="4">
        <v>45464.64131944445</v>
      </c>
      <c r="C11479" s="3" t="s">
        <v>3</v>
      </c>
    </row>
    <row r="11480">
      <c r="A11480" s="3">
        <v>481.0</v>
      </c>
      <c r="B11480" s="4">
        <v>45464.64224537037</v>
      </c>
      <c r="C11480" s="3" t="s">
        <v>4</v>
      </c>
    </row>
    <row r="11481">
      <c r="A11481" s="3">
        <v>1193.0</v>
      </c>
      <c r="B11481" s="4">
        <v>45464.65353009259</v>
      </c>
      <c r="C11481" s="3" t="s">
        <v>7</v>
      </c>
    </row>
    <row r="11482">
      <c r="A11482" s="3">
        <v>163.0</v>
      </c>
      <c r="B11482" s="4">
        <v>45464.66704861111</v>
      </c>
      <c r="C11482" s="3" t="s">
        <v>3</v>
      </c>
    </row>
    <row r="11483">
      <c r="A11483" s="3">
        <v>3115.0</v>
      </c>
      <c r="B11483" s="4">
        <v>45464.67328703704</v>
      </c>
      <c r="C11483" s="3" t="s">
        <v>6</v>
      </c>
    </row>
    <row r="11484">
      <c r="A11484" s="3">
        <v>7328.0</v>
      </c>
      <c r="B11484" s="4">
        <v>45464.679502314815</v>
      </c>
      <c r="C11484" s="3" t="s">
        <v>3</v>
      </c>
    </row>
    <row r="11485">
      <c r="A11485" s="3">
        <v>1445.0</v>
      </c>
      <c r="B11485" s="4">
        <v>45464.69372685185</v>
      </c>
      <c r="C11485" s="3" t="s">
        <v>4</v>
      </c>
    </row>
    <row r="11486">
      <c r="A11486" s="3">
        <v>903.0</v>
      </c>
      <c r="B11486" s="4">
        <v>45464.703043981484</v>
      </c>
      <c r="C11486" s="3" t="s">
        <v>3</v>
      </c>
    </row>
    <row r="11487">
      <c r="A11487" s="3">
        <v>4115.0</v>
      </c>
      <c r="B11487" s="4">
        <v>45464.75377314815</v>
      </c>
      <c r="C11487" s="3" t="s">
        <v>3</v>
      </c>
    </row>
    <row r="11488">
      <c r="A11488" s="3">
        <v>2277.0</v>
      </c>
      <c r="B11488" s="4">
        <v>45464.75703703704</v>
      </c>
      <c r="C11488" s="3" t="s">
        <v>6</v>
      </c>
    </row>
    <row r="11489">
      <c r="A11489" s="3">
        <v>7505.0</v>
      </c>
      <c r="B11489" s="4">
        <v>45464.82917824074</v>
      </c>
      <c r="C11489" s="3" t="s">
        <v>3</v>
      </c>
    </row>
    <row r="11490">
      <c r="A11490" s="3">
        <v>7604.0</v>
      </c>
      <c r="B11490" s="4">
        <v>45464.84813657407</v>
      </c>
      <c r="C11490" s="3" t="s">
        <v>3</v>
      </c>
    </row>
    <row r="11491">
      <c r="A11491" s="3">
        <v>5501.0</v>
      </c>
      <c r="B11491" s="4">
        <v>45464.86759259259</v>
      </c>
      <c r="C11491" s="3" t="s">
        <v>4</v>
      </c>
    </row>
    <row r="11492">
      <c r="A11492" s="3">
        <v>3304.0</v>
      </c>
      <c r="B11492" s="4">
        <v>45464.87869212963</v>
      </c>
      <c r="C11492" s="3" t="s">
        <v>6</v>
      </c>
    </row>
    <row r="11493">
      <c r="A11493" s="3">
        <v>452.0</v>
      </c>
      <c r="B11493" s="4">
        <v>45464.88791666667</v>
      </c>
      <c r="C11493" s="3" t="s">
        <v>3</v>
      </c>
    </row>
    <row r="11494">
      <c r="A11494" s="3">
        <v>6981.0</v>
      </c>
      <c r="B11494" s="4">
        <v>45464.90085648148</v>
      </c>
      <c r="C11494" s="3" t="s">
        <v>5</v>
      </c>
    </row>
    <row r="11495">
      <c r="A11495" s="3">
        <v>419.0</v>
      </c>
      <c r="B11495" s="4">
        <v>45464.92431712963</v>
      </c>
      <c r="C11495" s="3" t="s">
        <v>7</v>
      </c>
    </row>
    <row r="11496">
      <c r="A11496" s="3">
        <v>666.0</v>
      </c>
      <c r="B11496" s="4">
        <v>45464.928622685184</v>
      </c>
      <c r="C11496" s="3" t="s">
        <v>4</v>
      </c>
    </row>
    <row r="11497">
      <c r="A11497" s="3">
        <v>3176.0</v>
      </c>
      <c r="B11497" s="4">
        <v>45464.93380787037</v>
      </c>
      <c r="C11497" s="3" t="s">
        <v>3</v>
      </c>
    </row>
    <row r="11498">
      <c r="A11498" s="3">
        <v>1193.0</v>
      </c>
      <c r="B11498" s="4">
        <v>45464.97719907408</v>
      </c>
      <c r="C11498" s="3" t="s">
        <v>4</v>
      </c>
    </row>
    <row r="11499">
      <c r="A11499" s="3">
        <v>4373.0</v>
      </c>
      <c r="B11499" s="4">
        <v>45464.98979166667</v>
      </c>
      <c r="C11499" s="3" t="s">
        <v>3</v>
      </c>
    </row>
    <row r="11500">
      <c r="A11500" s="3">
        <v>6382.0</v>
      </c>
      <c r="B11500" s="4">
        <v>45464.99643518519</v>
      </c>
      <c r="C11500" s="3" t="s">
        <v>3</v>
      </c>
    </row>
    <row r="11501">
      <c r="A11501" s="3">
        <v>801.0</v>
      </c>
      <c r="B11501" s="4">
        <v>45465.01082175926</v>
      </c>
      <c r="C11501" s="3" t="s">
        <v>5</v>
      </c>
    </row>
    <row r="11502">
      <c r="A11502" s="3">
        <v>2889.0</v>
      </c>
      <c r="B11502" s="4">
        <v>45465.012777777774</v>
      </c>
      <c r="C11502" s="3" t="s">
        <v>4</v>
      </c>
    </row>
    <row r="11503">
      <c r="A11503" s="3">
        <v>1120.0</v>
      </c>
      <c r="B11503" s="4">
        <v>45465.13814814815</v>
      </c>
      <c r="C11503" s="3" t="s">
        <v>3</v>
      </c>
    </row>
    <row r="11504">
      <c r="A11504" s="3">
        <v>7351.0</v>
      </c>
      <c r="B11504" s="4">
        <v>45465.144375</v>
      </c>
      <c r="C11504" s="3" t="s">
        <v>3</v>
      </c>
    </row>
    <row r="11505">
      <c r="A11505" s="3">
        <v>1265.0</v>
      </c>
      <c r="B11505" s="4">
        <v>45465.15076388889</v>
      </c>
      <c r="C11505" s="3" t="s">
        <v>4</v>
      </c>
    </row>
    <row r="11506">
      <c r="A11506" s="3">
        <v>1635.0</v>
      </c>
      <c r="B11506" s="4">
        <v>45465.15912037037</v>
      </c>
      <c r="C11506" s="3" t="s">
        <v>3</v>
      </c>
    </row>
    <row r="11507">
      <c r="A11507" s="3">
        <v>4732.0</v>
      </c>
      <c r="B11507" s="4">
        <v>45465.18664351852</v>
      </c>
      <c r="C11507" s="3" t="s">
        <v>3</v>
      </c>
    </row>
    <row r="11508">
      <c r="A11508" s="3">
        <v>15.0</v>
      </c>
      <c r="B11508" s="4">
        <v>45465.19287037037</v>
      </c>
      <c r="C11508" s="3" t="s">
        <v>7</v>
      </c>
    </row>
    <row r="11509">
      <c r="A11509" s="3">
        <v>4732.0</v>
      </c>
      <c r="B11509" s="4">
        <v>45465.19466435185</v>
      </c>
      <c r="C11509" s="3" t="s">
        <v>5</v>
      </c>
    </row>
    <row r="11510">
      <c r="A11510" s="3">
        <v>327.0</v>
      </c>
      <c r="B11510" s="4">
        <v>45465.235185185185</v>
      </c>
      <c r="C11510" s="3" t="s">
        <v>3</v>
      </c>
    </row>
    <row r="11511">
      <c r="A11511" s="3">
        <v>3520.0</v>
      </c>
      <c r="B11511" s="4">
        <v>45465.23939814815</v>
      </c>
      <c r="C11511" s="3" t="s">
        <v>7</v>
      </c>
    </row>
    <row r="11512">
      <c r="A11512" s="3">
        <v>6638.0</v>
      </c>
      <c r="B11512" s="4">
        <v>45465.24471064815</v>
      </c>
      <c r="C11512" s="3" t="s">
        <v>3</v>
      </c>
    </row>
    <row r="11513">
      <c r="A11513" s="3">
        <v>899.0</v>
      </c>
      <c r="B11513" s="4">
        <v>45465.256377314814</v>
      </c>
      <c r="C11513" s="3" t="s">
        <v>3</v>
      </c>
    </row>
    <row r="11514">
      <c r="A11514" s="3">
        <v>6172.0</v>
      </c>
      <c r="B11514" s="4">
        <v>45465.27462962963</v>
      </c>
      <c r="C11514" s="3" t="s">
        <v>6</v>
      </c>
    </row>
    <row r="11515">
      <c r="A11515" s="3">
        <v>2197.0</v>
      </c>
      <c r="B11515" s="4">
        <v>45465.27842592593</v>
      </c>
      <c r="C11515" s="3" t="s">
        <v>3</v>
      </c>
    </row>
    <row r="11516">
      <c r="A11516" s="3">
        <v>7558.0</v>
      </c>
      <c r="B11516" s="4">
        <v>45465.29004629629</v>
      </c>
      <c r="C11516" s="3" t="s">
        <v>4</v>
      </c>
    </row>
    <row r="11517">
      <c r="A11517" s="3">
        <v>1635.0</v>
      </c>
      <c r="B11517" s="4">
        <v>45465.31496527778</v>
      </c>
      <c r="C11517" s="3" t="s">
        <v>5</v>
      </c>
    </row>
    <row r="11518">
      <c r="A11518" s="3">
        <v>6816.0</v>
      </c>
      <c r="B11518" s="4">
        <v>45465.331712962965</v>
      </c>
      <c r="C11518" s="3" t="s">
        <v>3</v>
      </c>
    </row>
    <row r="11519">
      <c r="A11519" s="3">
        <v>6776.0</v>
      </c>
      <c r="B11519" s="4">
        <v>45465.356828703705</v>
      </c>
      <c r="C11519" s="3" t="s">
        <v>7</v>
      </c>
    </row>
    <row r="11520">
      <c r="A11520" s="3">
        <v>3854.0</v>
      </c>
      <c r="B11520" s="4">
        <v>45465.46402777778</v>
      </c>
      <c r="C11520" s="3" t="s">
        <v>3</v>
      </c>
    </row>
    <row r="11521">
      <c r="A11521" s="3">
        <v>5235.0</v>
      </c>
      <c r="B11521" s="4">
        <v>45465.48673611111</v>
      </c>
      <c r="C11521" s="3" t="s">
        <v>3</v>
      </c>
    </row>
    <row r="11522">
      <c r="A11522" s="3">
        <v>7505.0</v>
      </c>
      <c r="B11522" s="4">
        <v>45465.49762731481</v>
      </c>
      <c r="C11522" s="3" t="s">
        <v>4</v>
      </c>
    </row>
    <row r="11523">
      <c r="A11523" s="3">
        <v>2042.0</v>
      </c>
      <c r="B11523" s="4">
        <v>45465.523368055554</v>
      </c>
      <c r="C11523" s="3" t="s">
        <v>3</v>
      </c>
    </row>
    <row r="11524">
      <c r="A11524" s="3">
        <v>7654.0</v>
      </c>
      <c r="B11524" s="4">
        <v>45465.54145833333</v>
      </c>
      <c r="C11524" s="3" t="s">
        <v>3</v>
      </c>
    </row>
    <row r="11525">
      <c r="A11525" s="3">
        <v>5359.0</v>
      </c>
      <c r="B11525" s="4">
        <v>45465.58474537037</v>
      </c>
      <c r="C11525" s="3" t="s">
        <v>3</v>
      </c>
    </row>
    <row r="11526">
      <c r="A11526" s="3">
        <v>4754.0</v>
      </c>
      <c r="B11526" s="4">
        <v>45465.587164351855</v>
      </c>
      <c r="C11526" s="3" t="s">
        <v>4</v>
      </c>
    </row>
    <row r="11527">
      <c r="A11527" s="3">
        <v>5183.0</v>
      </c>
      <c r="B11527" s="4">
        <v>45465.58950231481</v>
      </c>
      <c r="C11527" s="3" t="s">
        <v>4</v>
      </c>
    </row>
    <row r="11528">
      <c r="A11528" s="3">
        <v>3063.0</v>
      </c>
      <c r="B11528" s="4">
        <v>45465.593252314815</v>
      </c>
      <c r="C11528" s="3" t="s">
        <v>4</v>
      </c>
    </row>
    <row r="11529">
      <c r="A11529" s="3">
        <v>419.0</v>
      </c>
      <c r="B11529" s="4">
        <v>45465.617476851854</v>
      </c>
      <c r="C11529" s="3" t="s">
        <v>5</v>
      </c>
    </row>
    <row r="11530">
      <c r="A11530" s="3">
        <v>3807.0</v>
      </c>
      <c r="B11530" s="4">
        <v>45465.62233796297</v>
      </c>
      <c r="C11530" s="3" t="s">
        <v>6</v>
      </c>
    </row>
    <row r="11531">
      <c r="A11531" s="3">
        <v>1143.0</v>
      </c>
      <c r="B11531" s="4">
        <v>45465.63186342592</v>
      </c>
      <c r="C11531" s="3" t="s">
        <v>7</v>
      </c>
    </row>
    <row r="11532">
      <c r="A11532" s="3">
        <v>4732.0</v>
      </c>
      <c r="B11532" s="4">
        <v>45465.63582175926</v>
      </c>
      <c r="C11532" s="3" t="s">
        <v>4</v>
      </c>
    </row>
    <row r="11533">
      <c r="A11533" s="3">
        <v>7529.0</v>
      </c>
      <c r="B11533" s="4">
        <v>45465.64849537037</v>
      </c>
      <c r="C11533" s="3" t="s">
        <v>3</v>
      </c>
    </row>
    <row r="11534">
      <c r="A11534" s="3">
        <v>737.0</v>
      </c>
      <c r="B11534" s="4">
        <v>45465.65255787037</v>
      </c>
      <c r="C11534" s="3" t="s">
        <v>4</v>
      </c>
    </row>
    <row r="11535">
      <c r="A11535" s="3">
        <v>2466.0</v>
      </c>
      <c r="B11535" s="4">
        <v>45465.66506944445</v>
      </c>
      <c r="C11535" s="3" t="s">
        <v>5</v>
      </c>
    </row>
    <row r="11536">
      <c r="A11536" s="3">
        <v>1445.0</v>
      </c>
      <c r="B11536" s="4">
        <v>45465.66645833333</v>
      </c>
      <c r="C11536" s="3" t="s">
        <v>7</v>
      </c>
    </row>
    <row r="11537">
      <c r="A11537" s="3">
        <v>1979.0</v>
      </c>
      <c r="B11537" s="4">
        <v>45465.69600694445</v>
      </c>
      <c r="C11537" s="3" t="s">
        <v>7</v>
      </c>
    </row>
    <row r="11538">
      <c r="A11538" s="3">
        <v>7657.0</v>
      </c>
      <c r="B11538" s="4">
        <v>45465.69662037037</v>
      </c>
      <c r="C11538" s="3" t="s">
        <v>3</v>
      </c>
    </row>
    <row r="11539">
      <c r="A11539" s="3">
        <v>1143.0</v>
      </c>
      <c r="B11539" s="4">
        <v>45465.70346064815</v>
      </c>
      <c r="C11539" s="3" t="s">
        <v>6</v>
      </c>
    </row>
    <row r="11540">
      <c r="A11540" s="3">
        <v>4636.0</v>
      </c>
      <c r="B11540" s="4">
        <v>45465.718831018516</v>
      </c>
      <c r="C11540" s="3" t="s">
        <v>6</v>
      </c>
    </row>
    <row r="11541">
      <c r="A11541" s="3">
        <v>737.0</v>
      </c>
      <c r="B11541" s="4">
        <v>45465.7325</v>
      </c>
      <c r="C11541" s="3" t="s">
        <v>5</v>
      </c>
    </row>
    <row r="11542">
      <c r="A11542" s="3">
        <v>801.0</v>
      </c>
      <c r="B11542" s="4">
        <v>45465.73711805556</v>
      </c>
      <c r="C11542" s="3" t="s">
        <v>6</v>
      </c>
    </row>
    <row r="11543">
      <c r="A11543" s="3">
        <v>7295.0</v>
      </c>
      <c r="B11543" s="4">
        <v>45465.745787037034</v>
      </c>
      <c r="C11543" s="3" t="s">
        <v>5</v>
      </c>
    </row>
    <row r="11544">
      <c r="A11544" s="3">
        <v>6853.0</v>
      </c>
      <c r="B11544" s="4">
        <v>45465.749756944446</v>
      </c>
      <c r="C11544" s="3" t="s">
        <v>3</v>
      </c>
    </row>
    <row r="11545">
      <c r="A11545" s="3">
        <v>5649.0</v>
      </c>
      <c r="B11545" s="4">
        <v>45465.805763888886</v>
      </c>
      <c r="C11545" s="3" t="s">
        <v>6</v>
      </c>
    </row>
    <row r="11546">
      <c r="A11546" s="3">
        <v>3063.0</v>
      </c>
      <c r="B11546" s="4">
        <v>45465.84494212963</v>
      </c>
      <c r="C11546" s="3" t="s">
        <v>3</v>
      </c>
    </row>
    <row r="11547">
      <c r="A11547" s="3">
        <v>737.0</v>
      </c>
      <c r="B11547" s="4">
        <v>45465.848969907405</v>
      </c>
      <c r="C11547" s="3" t="s">
        <v>3</v>
      </c>
    </row>
    <row r="11548">
      <c r="A11548" s="3">
        <v>6762.0</v>
      </c>
      <c r="B11548" s="4">
        <v>45465.87136574074</v>
      </c>
      <c r="C11548" s="3" t="s">
        <v>6</v>
      </c>
    </row>
    <row r="11549">
      <c r="A11549" s="3">
        <v>267.0</v>
      </c>
      <c r="B11549" s="4">
        <v>45465.87844907407</v>
      </c>
      <c r="C11549" s="3" t="s">
        <v>3</v>
      </c>
    </row>
    <row r="11550">
      <c r="A11550" s="3">
        <v>1867.0</v>
      </c>
      <c r="B11550" s="4">
        <v>45465.89333333333</v>
      </c>
      <c r="C11550" s="3" t="s">
        <v>3</v>
      </c>
    </row>
    <row r="11551">
      <c r="A11551" s="3">
        <v>6117.0</v>
      </c>
      <c r="B11551" s="4">
        <v>45465.90924768519</v>
      </c>
      <c r="C11551" s="3" t="s">
        <v>3</v>
      </c>
    </row>
    <row r="11552">
      <c r="A11552" s="3">
        <v>6418.0</v>
      </c>
      <c r="B11552" s="4">
        <v>45465.917280092595</v>
      </c>
      <c r="C11552" s="3" t="s">
        <v>3</v>
      </c>
    </row>
    <row r="11553">
      <c r="A11553" s="3">
        <v>4620.0</v>
      </c>
      <c r="B11553" s="4">
        <v>45465.964837962965</v>
      </c>
      <c r="C11553" s="3" t="s">
        <v>4</v>
      </c>
    </row>
    <row r="11554">
      <c r="A11554" s="3">
        <v>6316.0</v>
      </c>
      <c r="B11554" s="4">
        <v>45465.96729166667</v>
      </c>
      <c r="C11554" s="3" t="s">
        <v>3</v>
      </c>
    </row>
    <row r="11555">
      <c r="A11555" s="3">
        <v>2252.0</v>
      </c>
      <c r="B11555" s="4">
        <v>45465.96844907408</v>
      </c>
      <c r="C11555" s="3" t="s">
        <v>7</v>
      </c>
    </row>
    <row r="11556">
      <c r="A11556" s="3">
        <v>4630.0</v>
      </c>
      <c r="B11556" s="4">
        <v>45465.977685185186</v>
      </c>
      <c r="C11556" s="3" t="s">
        <v>6</v>
      </c>
    </row>
    <row r="11557">
      <c r="A11557" s="3">
        <v>4664.0</v>
      </c>
      <c r="B11557" s="4">
        <v>45465.981400462966</v>
      </c>
      <c r="C11557" s="3" t="s">
        <v>6</v>
      </c>
    </row>
    <row r="11558">
      <c r="A11558" s="3">
        <v>3929.0</v>
      </c>
      <c r="B11558" s="4">
        <v>45466.06313657408</v>
      </c>
      <c r="C11558" s="3" t="s">
        <v>4</v>
      </c>
    </row>
    <row r="11559">
      <c r="A11559" s="3">
        <v>3916.0</v>
      </c>
      <c r="B11559" s="4">
        <v>45466.06638888889</v>
      </c>
      <c r="C11559" s="3" t="s">
        <v>3</v>
      </c>
    </row>
    <row r="11560">
      <c r="A11560" s="3">
        <v>1439.0</v>
      </c>
      <c r="B11560" s="4">
        <v>45466.08217592593</v>
      </c>
      <c r="C11560" s="3" t="s">
        <v>3</v>
      </c>
    </row>
    <row r="11561">
      <c r="A11561" s="3">
        <v>3115.0</v>
      </c>
      <c r="B11561" s="4">
        <v>45466.08825231482</v>
      </c>
      <c r="C11561" s="3" t="s">
        <v>7</v>
      </c>
    </row>
    <row r="11562">
      <c r="A11562" s="3">
        <v>1075.0</v>
      </c>
      <c r="B11562" s="4">
        <v>45466.10297453704</v>
      </c>
      <c r="C11562" s="3" t="s">
        <v>5</v>
      </c>
    </row>
    <row r="11563">
      <c r="A11563" s="3">
        <v>7928.0</v>
      </c>
      <c r="B11563" s="4">
        <v>45466.104108796295</v>
      </c>
      <c r="C11563" s="3" t="s">
        <v>3</v>
      </c>
    </row>
    <row r="11564">
      <c r="A11564" s="3">
        <v>5352.0</v>
      </c>
      <c r="B11564" s="4">
        <v>45466.107453703706</v>
      </c>
      <c r="C11564" s="3" t="s">
        <v>4</v>
      </c>
    </row>
    <row r="11565">
      <c r="A11565" s="3">
        <v>6885.0</v>
      </c>
      <c r="B11565" s="4">
        <v>45466.12238425926</v>
      </c>
      <c r="C11565" s="3" t="s">
        <v>6</v>
      </c>
    </row>
    <row r="11566">
      <c r="A11566" s="3">
        <v>4409.0</v>
      </c>
      <c r="B11566" s="4">
        <v>45466.122708333336</v>
      </c>
      <c r="C11566" s="3" t="s">
        <v>3</v>
      </c>
    </row>
    <row r="11567">
      <c r="A11567" s="3">
        <v>666.0</v>
      </c>
      <c r="B11567" s="4">
        <v>45466.13484953704</v>
      </c>
      <c r="C11567" s="3" t="s">
        <v>6</v>
      </c>
    </row>
    <row r="11568">
      <c r="A11568" s="3">
        <v>7593.0</v>
      </c>
      <c r="B11568" s="4">
        <v>45466.14795138889</v>
      </c>
      <c r="C11568" s="3" t="s">
        <v>7</v>
      </c>
    </row>
    <row r="11569">
      <c r="A11569" s="3">
        <v>4527.0</v>
      </c>
      <c r="B11569" s="4">
        <v>45466.15951388889</v>
      </c>
      <c r="C11569" s="3" t="s">
        <v>3</v>
      </c>
    </row>
    <row r="11570">
      <c r="A11570" s="3">
        <v>1608.0</v>
      </c>
      <c r="B11570" s="4">
        <v>45466.16232638889</v>
      </c>
      <c r="C11570" s="3" t="s">
        <v>3</v>
      </c>
    </row>
    <row r="11571">
      <c r="A11571" s="3">
        <v>42.0</v>
      </c>
      <c r="B11571" s="4">
        <v>45466.20690972222</v>
      </c>
      <c r="C11571" s="3" t="s">
        <v>5</v>
      </c>
    </row>
    <row r="11572">
      <c r="A11572" s="3">
        <v>1777.0</v>
      </c>
      <c r="B11572" s="4">
        <v>45466.21909722222</v>
      </c>
      <c r="C11572" s="3" t="s">
        <v>3</v>
      </c>
    </row>
    <row r="11573">
      <c r="A11573" s="3">
        <v>6111.0</v>
      </c>
      <c r="B11573" s="4">
        <v>45466.22966435185</v>
      </c>
      <c r="C11573" s="3" t="s">
        <v>6</v>
      </c>
    </row>
    <row r="11574">
      <c r="A11574" s="3">
        <v>5406.0</v>
      </c>
      <c r="B11574" s="4">
        <v>45466.248773148145</v>
      </c>
      <c r="C11574" s="3" t="s">
        <v>3</v>
      </c>
    </row>
    <row r="11575">
      <c r="A11575" s="3">
        <v>4839.0</v>
      </c>
      <c r="B11575" s="4">
        <v>45466.26851851852</v>
      </c>
      <c r="C11575" s="3" t="s">
        <v>3</v>
      </c>
    </row>
    <row r="11576">
      <c r="A11576" s="3">
        <v>46.0</v>
      </c>
      <c r="B11576" s="4">
        <v>45466.27972222222</v>
      </c>
      <c r="C11576" s="3" t="s">
        <v>3</v>
      </c>
    </row>
    <row r="11577">
      <c r="A11577" s="3">
        <v>4373.0</v>
      </c>
      <c r="B11577" s="4">
        <v>45466.293217592596</v>
      </c>
      <c r="C11577" s="3" t="s">
        <v>4</v>
      </c>
    </row>
    <row r="11578">
      <c r="A11578" s="3">
        <v>431.0</v>
      </c>
      <c r="B11578" s="4">
        <v>45466.3221412037</v>
      </c>
      <c r="C11578" s="3" t="s">
        <v>4</v>
      </c>
    </row>
    <row r="11579">
      <c r="A11579" s="3">
        <v>1743.0</v>
      </c>
      <c r="B11579" s="4">
        <v>45466.33709490741</v>
      </c>
      <c r="C11579" s="3" t="s">
        <v>3</v>
      </c>
    </row>
    <row r="11580">
      <c r="A11580" s="3">
        <v>5600.0</v>
      </c>
      <c r="B11580" s="4">
        <v>45466.351168981484</v>
      </c>
      <c r="C11580" s="3" t="s">
        <v>3</v>
      </c>
    </row>
    <row r="11581">
      <c r="A11581" s="3">
        <v>5754.0</v>
      </c>
      <c r="B11581" s="4">
        <v>45466.375752314816</v>
      </c>
      <c r="C11581" s="3" t="s">
        <v>3</v>
      </c>
    </row>
    <row r="11582">
      <c r="A11582" s="3">
        <v>1075.0</v>
      </c>
      <c r="B11582" s="4">
        <v>45466.42612268519</v>
      </c>
      <c r="C11582" s="3" t="s">
        <v>3</v>
      </c>
    </row>
    <row r="11583">
      <c r="A11583" s="3">
        <v>4668.0</v>
      </c>
      <c r="B11583" s="4">
        <v>45466.427303240744</v>
      </c>
      <c r="C11583" s="3" t="s">
        <v>6</v>
      </c>
    </row>
    <row r="11584">
      <c r="A11584" s="3">
        <v>2466.0</v>
      </c>
      <c r="B11584" s="4">
        <v>45466.433912037035</v>
      </c>
      <c r="C11584" s="3" t="s">
        <v>7</v>
      </c>
    </row>
    <row r="11585">
      <c r="A11585" s="3">
        <v>6807.0</v>
      </c>
      <c r="B11585" s="4">
        <v>45466.43861111111</v>
      </c>
      <c r="C11585" s="3" t="s">
        <v>3</v>
      </c>
    </row>
    <row r="11586">
      <c r="A11586" s="3">
        <v>340.0</v>
      </c>
      <c r="B11586" s="4">
        <v>45466.47513888889</v>
      </c>
      <c r="C11586" s="3" t="s">
        <v>5</v>
      </c>
    </row>
    <row r="11587">
      <c r="A11587" s="3">
        <v>1562.0</v>
      </c>
      <c r="B11587" s="4">
        <v>45466.50797453704</v>
      </c>
      <c r="C11587" s="3" t="s">
        <v>3</v>
      </c>
    </row>
    <row r="11588">
      <c r="A11588" s="3">
        <v>4437.0</v>
      </c>
      <c r="B11588" s="4">
        <v>45466.51578703704</v>
      </c>
      <c r="C11588" s="3" t="s">
        <v>3</v>
      </c>
    </row>
    <row r="11589">
      <c r="A11589" s="3">
        <v>2133.0</v>
      </c>
      <c r="B11589" s="4">
        <v>45466.54185185185</v>
      </c>
      <c r="C11589" s="3" t="s">
        <v>3</v>
      </c>
    </row>
    <row r="11590">
      <c r="A11590" s="3">
        <v>7657.0</v>
      </c>
      <c r="B11590" s="4">
        <v>45466.61701388889</v>
      </c>
      <c r="C11590" s="3" t="s">
        <v>5</v>
      </c>
    </row>
    <row r="11591">
      <c r="A11591" s="3">
        <v>59.0</v>
      </c>
      <c r="B11591" s="4">
        <v>45466.620844907404</v>
      </c>
      <c r="C11591" s="3" t="s">
        <v>6</v>
      </c>
    </row>
    <row r="11592">
      <c r="A11592" s="3">
        <v>1075.0</v>
      </c>
      <c r="B11592" s="4">
        <v>45466.648622685185</v>
      </c>
      <c r="C11592" s="3" t="s">
        <v>4</v>
      </c>
    </row>
    <row r="11593">
      <c r="A11593" s="3">
        <v>3938.0</v>
      </c>
      <c r="B11593" s="4">
        <v>45466.66079861111</v>
      </c>
      <c r="C11593" s="3" t="s">
        <v>3</v>
      </c>
    </row>
    <row r="11594">
      <c r="A11594" s="3">
        <v>4597.0</v>
      </c>
      <c r="B11594" s="4">
        <v>45466.680497685185</v>
      </c>
      <c r="C11594" s="3" t="s">
        <v>3</v>
      </c>
    </row>
    <row r="11595">
      <c r="A11595" s="3">
        <v>409.0</v>
      </c>
      <c r="B11595" s="4">
        <v>45466.68715277778</v>
      </c>
      <c r="C11595" s="3" t="s">
        <v>4</v>
      </c>
    </row>
    <row r="11596">
      <c r="A11596" s="3">
        <v>5133.0</v>
      </c>
      <c r="B11596" s="4">
        <v>45466.68785879629</v>
      </c>
      <c r="C11596" s="3" t="s">
        <v>7</v>
      </c>
    </row>
    <row r="11597">
      <c r="A11597" s="3">
        <v>4754.0</v>
      </c>
      <c r="B11597" s="4">
        <v>45466.69299768518</v>
      </c>
      <c r="C11597" s="3" t="s">
        <v>6</v>
      </c>
    </row>
    <row r="11598">
      <c r="A11598" s="3">
        <v>7558.0</v>
      </c>
      <c r="B11598" s="4">
        <v>45466.737662037034</v>
      </c>
      <c r="C11598" s="3" t="s">
        <v>7</v>
      </c>
    </row>
    <row r="11599">
      <c r="A11599" s="3">
        <v>1979.0</v>
      </c>
      <c r="B11599" s="4">
        <v>45466.74420138889</v>
      </c>
      <c r="C11599" s="3" t="s">
        <v>6</v>
      </c>
    </row>
    <row r="11600">
      <c r="A11600" s="3">
        <v>4434.0</v>
      </c>
      <c r="B11600" s="4">
        <v>45466.78024305555</v>
      </c>
      <c r="C11600" s="3" t="s">
        <v>3</v>
      </c>
    </row>
    <row r="11601">
      <c r="A11601" s="3">
        <v>7604.0</v>
      </c>
      <c r="B11601" s="4">
        <v>45466.81958333333</v>
      </c>
      <c r="C11601" s="3" t="s">
        <v>4</v>
      </c>
    </row>
    <row r="11602">
      <c r="A11602" s="3">
        <v>3267.0</v>
      </c>
      <c r="B11602" s="4">
        <v>45466.830034722225</v>
      </c>
      <c r="C11602" s="3" t="s">
        <v>3</v>
      </c>
    </row>
    <row r="11603">
      <c r="A11603" s="3">
        <v>4754.0</v>
      </c>
      <c r="B11603" s="4">
        <v>45466.8312037037</v>
      </c>
      <c r="C11603" s="3" t="s">
        <v>5</v>
      </c>
    </row>
    <row r="11604">
      <c r="A11604" s="3">
        <v>3929.0</v>
      </c>
      <c r="B11604" s="4">
        <v>45466.86224537037</v>
      </c>
      <c r="C11604" s="3" t="s">
        <v>3</v>
      </c>
    </row>
    <row r="11605">
      <c r="A11605" s="3">
        <v>2133.0</v>
      </c>
      <c r="B11605" s="4">
        <v>45466.87064814815</v>
      </c>
      <c r="C11605" s="3" t="s">
        <v>4</v>
      </c>
    </row>
    <row r="11606">
      <c r="A11606" s="3">
        <v>5736.0</v>
      </c>
      <c r="B11606" s="4">
        <v>45466.875127314815</v>
      </c>
      <c r="C11606" s="3" t="s">
        <v>3</v>
      </c>
    </row>
    <row r="11607">
      <c r="A11607" s="3">
        <v>2747.0</v>
      </c>
      <c r="B11607" s="4">
        <v>45466.93796296296</v>
      </c>
      <c r="C11607" s="3" t="s">
        <v>5</v>
      </c>
    </row>
    <row r="11608">
      <c r="A11608" s="3">
        <v>1154.0</v>
      </c>
      <c r="B11608" s="4">
        <v>45466.95506944445</v>
      </c>
      <c r="C11608" s="3" t="s">
        <v>6</v>
      </c>
    </row>
    <row r="11609">
      <c r="A11609" s="3">
        <v>584.0</v>
      </c>
      <c r="B11609" s="4">
        <v>45466.97584490741</v>
      </c>
      <c r="C11609" s="3" t="s">
        <v>3</v>
      </c>
    </row>
    <row r="11610">
      <c r="A11610" s="3">
        <v>1193.0</v>
      </c>
      <c r="B11610" s="4">
        <v>45466.99434027778</v>
      </c>
      <c r="C11610" s="3" t="s">
        <v>6</v>
      </c>
    </row>
    <row r="11611">
      <c r="A11611" s="3">
        <v>2070.0</v>
      </c>
      <c r="B11611" s="4">
        <v>45467.00554398148</v>
      </c>
      <c r="C11611" s="3" t="s">
        <v>3</v>
      </c>
    </row>
    <row r="11612">
      <c r="A11612" s="3">
        <v>4682.0</v>
      </c>
      <c r="B11612" s="4">
        <v>45467.01662037037</v>
      </c>
      <c r="C11612" s="3" t="s">
        <v>3</v>
      </c>
    </row>
    <row r="11613">
      <c r="A11613" s="3">
        <v>2994.0</v>
      </c>
      <c r="B11613" s="4">
        <v>45467.05163194444</v>
      </c>
      <c r="C11613" s="3" t="s">
        <v>3</v>
      </c>
    </row>
    <row r="11614">
      <c r="A11614" s="3">
        <v>4732.0</v>
      </c>
      <c r="B11614" s="4">
        <v>45467.052407407406</v>
      </c>
      <c r="C11614" s="3" t="s">
        <v>6</v>
      </c>
    </row>
    <row r="11615">
      <c r="A11615" s="3">
        <v>666.0</v>
      </c>
      <c r="B11615" s="4">
        <v>45467.05721064815</v>
      </c>
      <c r="C11615" s="3" t="s">
        <v>7</v>
      </c>
    </row>
    <row r="11616">
      <c r="A11616" s="3">
        <v>7692.0</v>
      </c>
      <c r="B11616" s="4">
        <v>45467.06201388889</v>
      </c>
      <c r="C11616" s="3" t="s">
        <v>3</v>
      </c>
    </row>
    <row r="11617">
      <c r="A11617" s="3">
        <v>107.0</v>
      </c>
      <c r="B11617" s="4">
        <v>45467.07236111111</v>
      </c>
      <c r="C11617" s="3" t="s">
        <v>6</v>
      </c>
    </row>
    <row r="11618">
      <c r="A11618" s="3">
        <v>1181.0</v>
      </c>
      <c r="B11618" s="4">
        <v>45467.10895833333</v>
      </c>
      <c r="C11618" s="3" t="s">
        <v>3</v>
      </c>
    </row>
    <row r="11619">
      <c r="A11619" s="3">
        <v>7351.0</v>
      </c>
      <c r="B11619" s="4">
        <v>45467.1172337963</v>
      </c>
      <c r="C11619" s="3" t="s">
        <v>4</v>
      </c>
    </row>
    <row r="11620">
      <c r="A11620" s="3">
        <v>3263.0</v>
      </c>
      <c r="B11620" s="4">
        <v>45467.13930555555</v>
      </c>
      <c r="C11620" s="3" t="s">
        <v>5</v>
      </c>
    </row>
    <row r="11621">
      <c r="A11621" s="3">
        <v>5525.0</v>
      </c>
      <c r="B11621" s="4">
        <v>45467.183796296296</v>
      </c>
      <c r="C11621" s="3" t="s">
        <v>4</v>
      </c>
    </row>
    <row r="11622">
      <c r="A11622" s="3">
        <v>2724.0</v>
      </c>
      <c r="B11622" s="4">
        <v>45467.213217592594</v>
      </c>
      <c r="C11622" s="3" t="s">
        <v>3</v>
      </c>
    </row>
    <row r="11623">
      <c r="A11623" s="3">
        <v>3150.0</v>
      </c>
      <c r="B11623" s="4">
        <v>45467.22892361111</v>
      </c>
      <c r="C11623" s="3" t="s">
        <v>6</v>
      </c>
    </row>
    <row r="11624">
      <c r="A11624" s="3">
        <v>15.0</v>
      </c>
      <c r="B11624" s="4">
        <v>45467.239699074074</v>
      </c>
      <c r="C11624" s="3" t="s">
        <v>6</v>
      </c>
    </row>
    <row r="11625">
      <c r="A11625" s="3">
        <v>4794.0</v>
      </c>
      <c r="B11625" s="4">
        <v>45467.24048611111</v>
      </c>
      <c r="C11625" s="3" t="s">
        <v>4</v>
      </c>
    </row>
    <row r="11626">
      <c r="A11626" s="3">
        <v>6638.0</v>
      </c>
      <c r="B11626" s="4">
        <v>45467.24550925926</v>
      </c>
      <c r="C11626" s="3" t="s">
        <v>4</v>
      </c>
    </row>
    <row r="11627">
      <c r="A11627" s="3">
        <v>6853.0</v>
      </c>
      <c r="B11627" s="4">
        <v>45467.24964120371</v>
      </c>
      <c r="C11627" s="3" t="s">
        <v>4</v>
      </c>
    </row>
    <row r="11628">
      <c r="A11628" s="3">
        <v>961.0</v>
      </c>
      <c r="B11628" s="4">
        <v>45467.2637962963</v>
      </c>
      <c r="C11628" s="3" t="s">
        <v>3</v>
      </c>
    </row>
    <row r="11629">
      <c r="A11629" s="3">
        <v>7558.0</v>
      </c>
      <c r="B11629" s="4">
        <v>45467.26908564815</v>
      </c>
      <c r="C11629" s="3" t="s">
        <v>5</v>
      </c>
    </row>
    <row r="11630">
      <c r="A11630" s="3">
        <v>7482.0</v>
      </c>
      <c r="B11630" s="4">
        <v>45467.269270833334</v>
      </c>
      <c r="C11630" s="3" t="s">
        <v>3</v>
      </c>
    </row>
    <row r="11631">
      <c r="A11631" s="3">
        <v>1159.0</v>
      </c>
      <c r="B11631" s="4">
        <v>45467.2712962963</v>
      </c>
      <c r="C11631" s="3" t="s">
        <v>4</v>
      </c>
    </row>
    <row r="11632">
      <c r="A11632" s="3">
        <v>7505.0</v>
      </c>
      <c r="B11632" s="4">
        <v>45467.28603009259</v>
      </c>
      <c r="C11632" s="3" t="s">
        <v>5</v>
      </c>
    </row>
    <row r="11633">
      <c r="A11633" s="3">
        <v>4476.0</v>
      </c>
      <c r="B11633" s="4">
        <v>45467.29974537037</v>
      </c>
      <c r="C11633" s="3" t="s">
        <v>6</v>
      </c>
    </row>
    <row r="11634">
      <c r="A11634" s="3">
        <v>1159.0</v>
      </c>
      <c r="B11634" s="4">
        <v>45467.313935185186</v>
      </c>
      <c r="C11634" s="3" t="s">
        <v>5</v>
      </c>
    </row>
    <row r="11635">
      <c r="A11635" s="3">
        <v>1070.0</v>
      </c>
      <c r="B11635" s="4">
        <v>45467.33021990741</v>
      </c>
      <c r="C11635" s="3" t="s">
        <v>3</v>
      </c>
    </row>
    <row r="11636">
      <c r="A11636" s="3">
        <v>900.0</v>
      </c>
      <c r="B11636" s="4">
        <v>45467.34709490741</v>
      </c>
      <c r="C11636" s="3" t="s">
        <v>3</v>
      </c>
    </row>
    <row r="11637">
      <c r="A11637" s="3">
        <v>3263.0</v>
      </c>
      <c r="B11637" s="4">
        <v>45467.3796875</v>
      </c>
      <c r="C11637" s="3" t="s">
        <v>4</v>
      </c>
    </row>
    <row r="11638">
      <c r="A11638" s="3">
        <v>941.0</v>
      </c>
      <c r="B11638" s="4">
        <v>45467.383738425924</v>
      </c>
      <c r="C11638" s="3" t="s">
        <v>3</v>
      </c>
    </row>
    <row r="11639">
      <c r="A11639" s="3">
        <v>5754.0</v>
      </c>
      <c r="B11639" s="4">
        <v>45467.3865625</v>
      </c>
      <c r="C11639" s="3" t="s">
        <v>4</v>
      </c>
    </row>
    <row r="11640">
      <c r="A11640" s="3">
        <v>393.0</v>
      </c>
      <c r="B11640" s="4">
        <v>45467.396689814814</v>
      </c>
      <c r="C11640" s="3" t="s">
        <v>3</v>
      </c>
    </row>
    <row r="11641">
      <c r="A11641" s="3">
        <v>6853.0</v>
      </c>
      <c r="B11641" s="4">
        <v>45467.41255787037</v>
      </c>
      <c r="C11641" s="3" t="s">
        <v>5</v>
      </c>
    </row>
    <row r="11642">
      <c r="A11642" s="3">
        <v>5854.0</v>
      </c>
      <c r="B11642" s="4">
        <v>45467.4128587963</v>
      </c>
      <c r="C11642" s="3" t="s">
        <v>3</v>
      </c>
    </row>
    <row r="11643">
      <c r="A11643" s="3">
        <v>1445.0</v>
      </c>
      <c r="B11643" s="4">
        <v>45467.44018518519</v>
      </c>
      <c r="C11643" s="3" t="s">
        <v>5</v>
      </c>
    </row>
    <row r="11644">
      <c r="A11644" s="3">
        <v>3263.0</v>
      </c>
      <c r="B11644" s="4">
        <v>45467.44361111111</v>
      </c>
      <c r="C11644" s="3" t="s">
        <v>3</v>
      </c>
    </row>
    <row r="11645">
      <c r="A11645" s="3">
        <v>3916.0</v>
      </c>
      <c r="B11645" s="4">
        <v>45467.47267361111</v>
      </c>
      <c r="C11645" s="3" t="s">
        <v>4</v>
      </c>
    </row>
    <row r="11646">
      <c r="A11646" s="3">
        <v>6236.0</v>
      </c>
      <c r="B11646" s="4">
        <v>45467.474178240744</v>
      </c>
      <c r="C11646" s="3" t="s">
        <v>3</v>
      </c>
    </row>
    <row r="11647">
      <c r="A11647" s="3">
        <v>7836.0</v>
      </c>
      <c r="B11647" s="4">
        <v>45467.476956018516</v>
      </c>
      <c r="C11647" s="3" t="s">
        <v>3</v>
      </c>
    </row>
    <row r="11648">
      <c r="A11648" s="3">
        <v>7295.0</v>
      </c>
      <c r="B11648" s="4">
        <v>45467.48212962963</v>
      </c>
      <c r="C11648" s="3" t="s">
        <v>7</v>
      </c>
    </row>
    <row r="11649">
      <c r="A11649" s="3">
        <v>327.0</v>
      </c>
      <c r="B11649" s="4">
        <v>45467.491481481484</v>
      </c>
      <c r="C11649" s="3" t="s">
        <v>4</v>
      </c>
    </row>
    <row r="11650">
      <c r="A11650" s="3">
        <v>7463.0</v>
      </c>
      <c r="B11650" s="4">
        <v>45467.502974537034</v>
      </c>
      <c r="C11650" s="3" t="s">
        <v>3</v>
      </c>
    </row>
    <row r="11651">
      <c r="A11651" s="3">
        <v>5754.0</v>
      </c>
      <c r="B11651" s="4">
        <v>45467.52269675926</v>
      </c>
      <c r="C11651" s="3" t="s">
        <v>5</v>
      </c>
    </row>
    <row r="11652">
      <c r="A11652" s="3">
        <v>502.0</v>
      </c>
      <c r="B11652" s="4">
        <v>45467.53784722222</v>
      </c>
      <c r="C11652" s="3" t="s">
        <v>3</v>
      </c>
    </row>
    <row r="11653">
      <c r="A11653" s="3">
        <v>502.0</v>
      </c>
      <c r="B11653" s="4">
        <v>45467.54230324074</v>
      </c>
      <c r="C11653" s="3" t="s">
        <v>4</v>
      </c>
    </row>
    <row r="11654">
      <c r="A11654" s="3">
        <v>3652.0</v>
      </c>
      <c r="B11654" s="4">
        <v>45467.569872685184</v>
      </c>
      <c r="C11654" s="3" t="s">
        <v>3</v>
      </c>
    </row>
    <row r="11655">
      <c r="A11655" s="3">
        <v>666.0</v>
      </c>
      <c r="B11655" s="4">
        <v>45467.58671296296</v>
      </c>
      <c r="C11655" s="3" t="s">
        <v>5</v>
      </c>
    </row>
    <row r="11656">
      <c r="A11656" s="3">
        <v>2070.0</v>
      </c>
      <c r="B11656" s="4">
        <v>45467.59302083333</v>
      </c>
      <c r="C11656" s="3" t="s">
        <v>4</v>
      </c>
    </row>
    <row r="11657">
      <c r="A11657" s="3">
        <v>4983.0</v>
      </c>
      <c r="B11657" s="4">
        <v>45467.60375</v>
      </c>
      <c r="C11657" s="3" t="s">
        <v>6</v>
      </c>
    </row>
    <row r="11658">
      <c r="A11658" s="3">
        <v>6776.0</v>
      </c>
      <c r="B11658" s="4">
        <v>45467.639027777775</v>
      </c>
      <c r="C11658" s="3" t="s">
        <v>6</v>
      </c>
    </row>
    <row r="11659">
      <c r="A11659" s="3">
        <v>107.0</v>
      </c>
      <c r="B11659" s="4">
        <v>45467.707037037035</v>
      </c>
      <c r="C11659" s="3" t="s">
        <v>5</v>
      </c>
    </row>
    <row r="11660">
      <c r="A11660" s="3">
        <v>3030.0</v>
      </c>
      <c r="B11660" s="4">
        <v>45467.725381944445</v>
      </c>
      <c r="C11660" s="3" t="s">
        <v>3</v>
      </c>
    </row>
    <row r="11661">
      <c r="A11661" s="3">
        <v>7657.0</v>
      </c>
      <c r="B11661" s="4">
        <v>45467.73278935185</v>
      </c>
      <c r="C11661" s="3" t="s">
        <v>4</v>
      </c>
    </row>
    <row r="11662">
      <c r="A11662" s="3">
        <v>403.0</v>
      </c>
      <c r="B11662" s="4">
        <v>45467.73328703704</v>
      </c>
      <c r="C11662" s="3" t="s">
        <v>3</v>
      </c>
    </row>
    <row r="11663">
      <c r="A11663" s="3">
        <v>1159.0</v>
      </c>
      <c r="B11663" s="4">
        <v>45467.73878472222</v>
      </c>
      <c r="C11663" s="3" t="s">
        <v>3</v>
      </c>
    </row>
    <row r="11664">
      <c r="A11664" s="3">
        <v>4801.0</v>
      </c>
      <c r="B11664" s="4">
        <v>45467.756747685184</v>
      </c>
      <c r="C11664" s="3" t="s">
        <v>6</v>
      </c>
    </row>
    <row r="11665">
      <c r="A11665" s="3">
        <v>4455.0</v>
      </c>
      <c r="B11665" s="4">
        <v>45467.78233796296</v>
      </c>
      <c r="C11665" s="3" t="s">
        <v>3</v>
      </c>
    </row>
    <row r="11666">
      <c r="A11666" s="3">
        <v>899.0</v>
      </c>
      <c r="B11666" s="4">
        <v>45467.80012731482</v>
      </c>
      <c r="C11666" s="3" t="s">
        <v>4</v>
      </c>
    </row>
    <row r="11667">
      <c r="A11667" s="3">
        <v>4794.0</v>
      </c>
      <c r="B11667" s="4">
        <v>45467.832395833335</v>
      </c>
      <c r="C11667" s="3" t="s">
        <v>3</v>
      </c>
    </row>
    <row r="11668">
      <c r="A11668" s="3">
        <v>1181.0</v>
      </c>
      <c r="B11668" s="4">
        <v>45467.83951388889</v>
      </c>
      <c r="C11668" s="3" t="s">
        <v>4</v>
      </c>
    </row>
    <row r="11669">
      <c r="A11669" s="3">
        <v>7529.0</v>
      </c>
      <c r="B11669" s="4">
        <v>45467.85065972222</v>
      </c>
      <c r="C11669" s="3" t="s">
        <v>4</v>
      </c>
    </row>
    <row r="11670">
      <c r="A11670" s="3">
        <v>3916.0</v>
      </c>
      <c r="B11670" s="4">
        <v>45467.868263888886</v>
      </c>
      <c r="C11670" s="3" t="s">
        <v>5</v>
      </c>
    </row>
    <row r="11671">
      <c r="A11671" s="3">
        <v>6583.0</v>
      </c>
      <c r="B11671" s="4">
        <v>45467.87940972222</v>
      </c>
      <c r="C11671" s="3" t="s">
        <v>3</v>
      </c>
    </row>
    <row r="11672">
      <c r="A11672" s="3">
        <v>4340.0</v>
      </c>
      <c r="B11672" s="4">
        <v>45467.89074074074</v>
      </c>
      <c r="C11672" s="3" t="s">
        <v>3</v>
      </c>
    </row>
    <row r="11673">
      <c r="A11673" s="3">
        <v>4182.0</v>
      </c>
      <c r="B11673" s="4">
        <v>45467.93944444445</v>
      </c>
      <c r="C11673" s="3" t="s">
        <v>4</v>
      </c>
    </row>
    <row r="11674">
      <c r="A11674" s="3">
        <v>409.0</v>
      </c>
      <c r="B11674" s="4">
        <v>45467.95414351852</v>
      </c>
      <c r="C11674" s="3" t="s">
        <v>5</v>
      </c>
    </row>
    <row r="11675">
      <c r="A11675" s="3">
        <v>340.0</v>
      </c>
      <c r="B11675" s="4">
        <v>45467.963738425926</v>
      </c>
      <c r="C11675" s="3" t="s">
        <v>7</v>
      </c>
    </row>
    <row r="11676">
      <c r="A11676" s="3">
        <v>961.0</v>
      </c>
      <c r="B11676" s="4">
        <v>45467.96450231481</v>
      </c>
      <c r="C11676" s="3" t="s">
        <v>5</v>
      </c>
    </row>
    <row r="11677">
      <c r="A11677" s="3">
        <v>1635.0</v>
      </c>
      <c r="B11677" s="4">
        <v>45467.985451388886</v>
      </c>
      <c r="C11677" s="3" t="s">
        <v>6</v>
      </c>
    </row>
    <row r="11678">
      <c r="A11678" s="3">
        <v>4467.0</v>
      </c>
      <c r="B11678" s="4">
        <v>45468.01703703704</v>
      </c>
      <c r="C11678" s="3" t="s">
        <v>5</v>
      </c>
    </row>
    <row r="11679">
      <c r="A11679" s="3">
        <v>6441.0</v>
      </c>
      <c r="B11679" s="4">
        <v>45468.05710648148</v>
      </c>
      <c r="C11679" s="3" t="s">
        <v>6</v>
      </c>
    </row>
    <row r="11680">
      <c r="A11680" s="3">
        <v>1120.0</v>
      </c>
      <c r="B11680" s="4">
        <v>45468.065092592595</v>
      </c>
      <c r="C11680" s="3" t="s">
        <v>4</v>
      </c>
    </row>
    <row r="11681">
      <c r="A11681" s="3">
        <v>894.0</v>
      </c>
      <c r="B11681" s="4">
        <v>45468.11965277778</v>
      </c>
      <c r="C11681" s="3" t="s">
        <v>3</v>
      </c>
    </row>
    <row r="11682">
      <c r="A11682" s="3">
        <v>246.0</v>
      </c>
      <c r="B11682" s="4">
        <v>45468.12086805556</v>
      </c>
      <c r="C11682" s="3" t="s">
        <v>3</v>
      </c>
    </row>
    <row r="11683">
      <c r="A11683" s="3">
        <v>2172.0</v>
      </c>
      <c r="B11683" s="4">
        <v>45468.14644675926</v>
      </c>
      <c r="C11683" s="3" t="s">
        <v>3</v>
      </c>
    </row>
    <row r="11684">
      <c r="A11684" s="3">
        <v>474.0</v>
      </c>
      <c r="B11684" s="4">
        <v>45468.147465277776</v>
      </c>
      <c r="C11684" s="3" t="s">
        <v>3</v>
      </c>
    </row>
    <row r="11685">
      <c r="A11685" s="3">
        <v>6695.0</v>
      </c>
      <c r="B11685" s="4">
        <v>45468.15614583333</v>
      </c>
      <c r="C11685" s="3" t="s">
        <v>3</v>
      </c>
    </row>
    <row r="11686">
      <c r="A11686" s="3">
        <v>653.0</v>
      </c>
      <c r="B11686" s="4">
        <v>45468.17135416667</v>
      </c>
      <c r="C11686" s="3" t="s">
        <v>6</v>
      </c>
    </row>
    <row r="11687">
      <c r="A11687" s="3">
        <v>539.0</v>
      </c>
      <c r="B11687" s="4">
        <v>45468.19256944444</v>
      </c>
      <c r="C11687" s="3" t="s">
        <v>6</v>
      </c>
    </row>
    <row r="11688">
      <c r="A11688" s="3">
        <v>6813.0</v>
      </c>
      <c r="B11688" s="4">
        <v>45468.21265046296</v>
      </c>
      <c r="C11688" s="3" t="s">
        <v>3</v>
      </c>
    </row>
    <row r="11689">
      <c r="A11689" s="3">
        <v>5649.0</v>
      </c>
      <c r="B11689" s="4">
        <v>45468.27777777778</v>
      </c>
      <c r="C11689" s="3" t="s">
        <v>5</v>
      </c>
    </row>
    <row r="11690">
      <c r="A11690" s="3">
        <v>7836.0</v>
      </c>
      <c r="B11690" s="4">
        <v>45468.2794212963</v>
      </c>
      <c r="C11690" s="3" t="s">
        <v>5</v>
      </c>
    </row>
    <row r="11691">
      <c r="A11691" s="3">
        <v>941.0</v>
      </c>
      <c r="B11691" s="4">
        <v>45468.28561342593</v>
      </c>
      <c r="C11691" s="3" t="s">
        <v>6</v>
      </c>
    </row>
    <row r="11692">
      <c r="A11692" s="3">
        <v>42.0</v>
      </c>
      <c r="B11692" s="4">
        <v>45468.30152777778</v>
      </c>
      <c r="C11692" s="3" t="s">
        <v>6</v>
      </c>
    </row>
    <row r="11693">
      <c r="A11693" s="3">
        <v>941.0</v>
      </c>
      <c r="B11693" s="4">
        <v>45468.307337962964</v>
      </c>
      <c r="C11693" s="3" t="s">
        <v>4</v>
      </c>
    </row>
    <row r="11694">
      <c r="A11694" s="3">
        <v>156.0</v>
      </c>
      <c r="B11694" s="4">
        <v>45468.315717592595</v>
      </c>
      <c r="C11694" s="3" t="s">
        <v>3</v>
      </c>
    </row>
    <row r="11695">
      <c r="A11695" s="3">
        <v>692.0</v>
      </c>
      <c r="B11695" s="4">
        <v>45468.35138888889</v>
      </c>
      <c r="C11695" s="3" t="s">
        <v>3</v>
      </c>
    </row>
    <row r="11696">
      <c r="A11696" s="3">
        <v>5133.0</v>
      </c>
      <c r="B11696" s="4">
        <v>45468.361921296295</v>
      </c>
      <c r="C11696" s="3" t="s">
        <v>6</v>
      </c>
    </row>
    <row r="11697">
      <c r="A11697" s="3">
        <v>107.0</v>
      </c>
      <c r="B11697" s="4">
        <v>45468.37378472222</v>
      </c>
      <c r="C11697" s="3" t="s">
        <v>7</v>
      </c>
    </row>
    <row r="11698">
      <c r="A11698" s="3">
        <v>5338.0</v>
      </c>
      <c r="B11698" s="4">
        <v>45468.38398148148</v>
      </c>
      <c r="C11698" s="3" t="s">
        <v>7</v>
      </c>
    </row>
    <row r="11699">
      <c r="A11699" s="3">
        <v>894.0</v>
      </c>
      <c r="B11699" s="4">
        <v>45468.41371527778</v>
      </c>
      <c r="C11699" s="3" t="s">
        <v>5</v>
      </c>
    </row>
    <row r="11700">
      <c r="A11700" s="3">
        <v>5993.0</v>
      </c>
      <c r="B11700" s="4">
        <v>45468.42623842593</v>
      </c>
      <c r="C11700" s="3" t="s">
        <v>3</v>
      </c>
    </row>
    <row r="11701">
      <c r="A11701" s="3">
        <v>3909.0</v>
      </c>
      <c r="B11701" s="4">
        <v>45468.431296296294</v>
      </c>
      <c r="C11701" s="3" t="s">
        <v>3</v>
      </c>
    </row>
    <row r="11702">
      <c r="A11702" s="3">
        <v>6981.0</v>
      </c>
      <c r="B11702" s="4">
        <v>45468.436273148145</v>
      </c>
      <c r="C11702" s="3" t="s">
        <v>7</v>
      </c>
    </row>
    <row r="11703">
      <c r="A11703" s="3">
        <v>4633.0</v>
      </c>
      <c r="B11703" s="4">
        <v>45468.43711805555</v>
      </c>
      <c r="C11703" s="3" t="s">
        <v>3</v>
      </c>
    </row>
    <row r="11704">
      <c r="A11704" s="3">
        <v>6527.0</v>
      </c>
      <c r="B11704" s="4">
        <v>45468.444861111115</v>
      </c>
      <c r="C11704" s="3" t="s">
        <v>3</v>
      </c>
    </row>
    <row r="11705">
      <c r="A11705" s="3">
        <v>4467.0</v>
      </c>
      <c r="B11705" s="4">
        <v>45468.45195601852</v>
      </c>
      <c r="C11705" s="3" t="s">
        <v>3</v>
      </c>
    </row>
    <row r="11706">
      <c r="A11706" s="3">
        <v>4455.0</v>
      </c>
      <c r="B11706" s="4">
        <v>45468.454421296294</v>
      </c>
      <c r="C11706" s="3" t="s">
        <v>7</v>
      </c>
    </row>
    <row r="11707">
      <c r="A11707" s="3">
        <v>3520.0</v>
      </c>
      <c r="B11707" s="4">
        <v>45468.48148148148</v>
      </c>
      <c r="C11707" s="3" t="s">
        <v>6</v>
      </c>
    </row>
    <row r="11708">
      <c r="A11708" s="3">
        <v>549.0</v>
      </c>
      <c r="B11708" s="4">
        <v>45468.49130787037</v>
      </c>
      <c r="C11708" s="3" t="s">
        <v>3</v>
      </c>
    </row>
    <row r="11709">
      <c r="A11709" s="3">
        <v>3211.0</v>
      </c>
      <c r="B11709" s="4">
        <v>45468.493576388886</v>
      </c>
      <c r="C11709" s="3" t="s">
        <v>4</v>
      </c>
    </row>
    <row r="11710">
      <c r="A11710" s="3">
        <v>7021.0</v>
      </c>
      <c r="B11710" s="4">
        <v>45468.52625</v>
      </c>
      <c r="C11710" s="3" t="s">
        <v>5</v>
      </c>
    </row>
    <row r="11711">
      <c r="A11711" s="3">
        <v>1126.0</v>
      </c>
      <c r="B11711" s="4">
        <v>45468.54142361111</v>
      </c>
      <c r="C11711" s="3" t="s">
        <v>3</v>
      </c>
    </row>
    <row r="11712">
      <c r="A11712" s="3">
        <v>1405.0</v>
      </c>
      <c r="B11712" s="4">
        <v>45468.560752314814</v>
      </c>
      <c r="C11712" s="3" t="s">
        <v>3</v>
      </c>
    </row>
    <row r="11713">
      <c r="A11713" s="3">
        <v>419.0</v>
      </c>
      <c r="B11713" s="4">
        <v>45468.56474537037</v>
      </c>
      <c r="C11713" s="3" t="s">
        <v>6</v>
      </c>
    </row>
    <row r="11714">
      <c r="A11714" s="3">
        <v>859.0</v>
      </c>
      <c r="B11714" s="4">
        <v>45468.568703703706</v>
      </c>
      <c r="C11714" s="3" t="s">
        <v>6</v>
      </c>
    </row>
    <row r="11715">
      <c r="A11715" s="3">
        <v>7351.0</v>
      </c>
      <c r="B11715" s="4">
        <v>45468.62447916667</v>
      </c>
      <c r="C11715" s="3" t="s">
        <v>6</v>
      </c>
    </row>
    <row r="11716">
      <c r="A11716" s="3">
        <v>3909.0</v>
      </c>
      <c r="B11716" s="4">
        <v>45468.632835648146</v>
      </c>
      <c r="C11716" s="3" t="s">
        <v>5</v>
      </c>
    </row>
    <row r="11717">
      <c r="A11717" s="3">
        <v>1964.0</v>
      </c>
      <c r="B11717" s="4">
        <v>45468.63791666667</v>
      </c>
      <c r="C11717" s="3" t="s">
        <v>3</v>
      </c>
    </row>
    <row r="11718">
      <c r="A11718" s="3">
        <v>5734.0</v>
      </c>
      <c r="B11718" s="4">
        <v>45468.63880787037</v>
      </c>
      <c r="C11718" s="3" t="s">
        <v>6</v>
      </c>
    </row>
    <row r="11719">
      <c r="A11719" s="3">
        <v>46.0</v>
      </c>
      <c r="B11719" s="4">
        <v>45468.65244212963</v>
      </c>
      <c r="C11719" s="3" t="s">
        <v>6</v>
      </c>
    </row>
    <row r="11720">
      <c r="A11720" s="3">
        <v>46.0</v>
      </c>
      <c r="B11720" s="4">
        <v>45468.67030092593</v>
      </c>
      <c r="C11720" s="3" t="s">
        <v>5</v>
      </c>
    </row>
    <row r="11721">
      <c r="A11721" s="3">
        <v>7341.0</v>
      </c>
      <c r="B11721" s="4">
        <v>45468.678761574076</v>
      </c>
      <c r="C11721" s="3" t="s">
        <v>3</v>
      </c>
    </row>
    <row r="11722">
      <c r="A11722" s="3">
        <v>6638.0</v>
      </c>
      <c r="B11722" s="4">
        <v>45468.68791666667</v>
      </c>
      <c r="C11722" s="3" t="s">
        <v>5</v>
      </c>
    </row>
    <row r="11723">
      <c r="A11723" s="3">
        <v>1075.0</v>
      </c>
      <c r="B11723" s="4">
        <v>45468.70381944445</v>
      </c>
      <c r="C11723" s="3" t="s">
        <v>6</v>
      </c>
    </row>
    <row r="11724">
      <c r="A11724" s="3">
        <v>3079.0</v>
      </c>
      <c r="B11724" s="4">
        <v>45468.75096064815</v>
      </c>
      <c r="C11724" s="3" t="s">
        <v>3</v>
      </c>
    </row>
    <row r="11725">
      <c r="A11725" s="3">
        <v>114.0</v>
      </c>
      <c r="B11725" s="4">
        <v>45468.780023148145</v>
      </c>
      <c r="C11725" s="3" t="s">
        <v>4</v>
      </c>
    </row>
    <row r="11726">
      <c r="A11726" s="3">
        <v>5617.0</v>
      </c>
      <c r="B11726" s="4">
        <v>45468.80994212963</v>
      </c>
      <c r="C11726" s="3" t="s">
        <v>4</v>
      </c>
    </row>
    <row r="11727">
      <c r="A11727" s="3">
        <v>7558.0</v>
      </c>
      <c r="B11727" s="4">
        <v>45468.81730324074</v>
      </c>
      <c r="C11727" s="3" t="s">
        <v>6</v>
      </c>
    </row>
    <row r="11728">
      <c r="A11728" s="3">
        <v>6754.0</v>
      </c>
      <c r="B11728" s="4">
        <v>45468.8443287037</v>
      </c>
      <c r="C11728" s="3" t="s">
        <v>6</v>
      </c>
    </row>
    <row r="11729">
      <c r="A11729" s="3">
        <v>4527.0</v>
      </c>
      <c r="B11729" s="4">
        <v>45468.845659722225</v>
      </c>
      <c r="C11729" s="3" t="s">
        <v>4</v>
      </c>
    </row>
    <row r="11730">
      <c r="A11730" s="3">
        <v>3168.0</v>
      </c>
      <c r="B11730" s="4">
        <v>45468.8621875</v>
      </c>
      <c r="C11730" s="3" t="s">
        <v>3</v>
      </c>
    </row>
    <row r="11731">
      <c r="A11731" s="3">
        <v>4638.0</v>
      </c>
      <c r="B11731" s="4">
        <v>45468.86561342593</v>
      </c>
      <c r="C11731" s="3" t="s">
        <v>3</v>
      </c>
    </row>
    <row r="11732">
      <c r="A11732" s="3">
        <v>7692.0</v>
      </c>
      <c r="B11732" s="4">
        <v>45468.872719907406</v>
      </c>
      <c r="C11732" s="3" t="s">
        <v>4</v>
      </c>
    </row>
    <row r="11733">
      <c r="A11733" s="3">
        <v>5168.0</v>
      </c>
      <c r="B11733" s="4">
        <v>45468.88319444445</v>
      </c>
      <c r="C11733" s="3" t="s">
        <v>3</v>
      </c>
    </row>
    <row r="11734">
      <c r="A11734" s="3">
        <v>7021.0</v>
      </c>
      <c r="B11734" s="4">
        <v>45468.88458333333</v>
      </c>
      <c r="C11734" s="3" t="s">
        <v>3</v>
      </c>
    </row>
    <row r="11735">
      <c r="A11735" s="3">
        <v>3211.0</v>
      </c>
      <c r="B11735" s="4">
        <v>45468.905173611114</v>
      </c>
      <c r="C11735" s="3" t="s">
        <v>3</v>
      </c>
    </row>
    <row r="11736">
      <c r="A11736" s="3">
        <v>7505.0</v>
      </c>
      <c r="B11736" s="4">
        <v>45468.931608796294</v>
      </c>
      <c r="C11736" s="3" t="s">
        <v>6</v>
      </c>
    </row>
    <row r="11737">
      <c r="A11737" s="3">
        <v>338.0</v>
      </c>
      <c r="B11737" s="4">
        <v>45468.99424768519</v>
      </c>
      <c r="C11737" s="3" t="s">
        <v>3</v>
      </c>
    </row>
    <row r="11738">
      <c r="A11738" s="3">
        <v>4467.0</v>
      </c>
      <c r="B11738" s="4">
        <v>45468.9975</v>
      </c>
      <c r="C11738" s="3" t="s">
        <v>4</v>
      </c>
    </row>
    <row r="11739">
      <c r="A11739" s="3">
        <v>340.0</v>
      </c>
      <c r="B11739" s="4">
        <v>45468.99890046296</v>
      </c>
      <c r="C11739" s="3" t="s">
        <v>6</v>
      </c>
    </row>
    <row r="11740">
      <c r="A11740" s="3">
        <v>4340.0</v>
      </c>
      <c r="B11740" s="4">
        <v>45469.01893518519</v>
      </c>
      <c r="C11740" s="3" t="s">
        <v>4</v>
      </c>
    </row>
    <row r="11741">
      <c r="A11741" s="3">
        <v>908.0</v>
      </c>
      <c r="B11741" s="4">
        <v>45469.03092592592</v>
      </c>
      <c r="C11741" s="3" t="s">
        <v>3</v>
      </c>
    </row>
    <row r="11742">
      <c r="A11742" s="3">
        <v>5827.0</v>
      </c>
      <c r="B11742" s="4">
        <v>45469.034895833334</v>
      </c>
      <c r="C11742" s="3" t="s">
        <v>7</v>
      </c>
    </row>
    <row r="11743">
      <c r="A11743" s="3">
        <v>4434.0</v>
      </c>
      <c r="B11743" s="4">
        <v>45469.03842592592</v>
      </c>
      <c r="C11743" s="3" t="s">
        <v>4</v>
      </c>
    </row>
    <row r="11744">
      <c r="A11744" s="3">
        <v>938.0</v>
      </c>
      <c r="B11744" s="4">
        <v>45469.078125</v>
      </c>
      <c r="C11744" s="3" t="s">
        <v>3</v>
      </c>
    </row>
    <row r="11745">
      <c r="A11745" s="3">
        <v>474.0</v>
      </c>
      <c r="B11745" s="4">
        <v>45469.12583333333</v>
      </c>
      <c r="C11745" s="3" t="s">
        <v>4</v>
      </c>
    </row>
    <row r="11746">
      <c r="A11746" s="3">
        <v>4467.0</v>
      </c>
      <c r="B11746" s="4">
        <v>45469.13107638889</v>
      </c>
      <c r="C11746" s="3" t="s">
        <v>7</v>
      </c>
    </row>
    <row r="11747">
      <c r="A11747" s="3">
        <v>961.0</v>
      </c>
      <c r="B11747" s="4">
        <v>45469.137511574074</v>
      </c>
      <c r="C11747" s="3" t="s">
        <v>4</v>
      </c>
    </row>
    <row r="11748">
      <c r="A11748" s="3">
        <v>7692.0</v>
      </c>
      <c r="B11748" s="4">
        <v>45469.153449074074</v>
      </c>
      <c r="C11748" s="3" t="s">
        <v>7</v>
      </c>
    </row>
    <row r="11749">
      <c r="A11749" s="3">
        <v>1562.0</v>
      </c>
      <c r="B11749" s="4">
        <v>45469.153958333336</v>
      </c>
      <c r="C11749" s="3" t="s">
        <v>5</v>
      </c>
    </row>
    <row r="11750">
      <c r="A11750" s="3">
        <v>7417.0</v>
      </c>
      <c r="B11750" s="4">
        <v>45469.16950231481</v>
      </c>
      <c r="C11750" s="3" t="s">
        <v>5</v>
      </c>
    </row>
    <row r="11751">
      <c r="A11751" s="3">
        <v>6638.0</v>
      </c>
      <c r="B11751" s="4">
        <v>45469.1743287037</v>
      </c>
      <c r="C11751" s="3" t="s">
        <v>7</v>
      </c>
    </row>
    <row r="11752">
      <c r="A11752" s="3">
        <v>4217.0</v>
      </c>
      <c r="B11752" s="4">
        <v>45469.177766203706</v>
      </c>
      <c r="C11752" s="3" t="s">
        <v>6</v>
      </c>
    </row>
    <row r="11753">
      <c r="A11753" s="3">
        <v>246.0</v>
      </c>
      <c r="B11753" s="4">
        <v>45469.188101851854</v>
      </c>
      <c r="C11753" s="3" t="s">
        <v>4</v>
      </c>
    </row>
    <row r="11754">
      <c r="A11754" s="3">
        <v>4520.0</v>
      </c>
      <c r="B11754" s="4">
        <v>45469.19236111111</v>
      </c>
      <c r="C11754" s="3" t="s">
        <v>3</v>
      </c>
    </row>
    <row r="11755">
      <c r="A11755" s="3">
        <v>7214.0</v>
      </c>
      <c r="B11755" s="4">
        <v>45469.19900462963</v>
      </c>
      <c r="C11755" s="3" t="s">
        <v>3</v>
      </c>
    </row>
    <row r="11756">
      <c r="A11756" s="3">
        <v>41.0</v>
      </c>
      <c r="B11756" s="4">
        <v>45469.213275462964</v>
      </c>
      <c r="C11756" s="3" t="s">
        <v>4</v>
      </c>
    </row>
    <row r="11757">
      <c r="A11757" s="3">
        <v>2287.0</v>
      </c>
      <c r="B11757" s="4">
        <v>45469.22021990741</v>
      </c>
      <c r="C11757" s="3" t="s">
        <v>3</v>
      </c>
    </row>
    <row r="11758">
      <c r="A11758" s="3">
        <v>7593.0</v>
      </c>
      <c r="B11758" s="4">
        <v>45469.24815972222</v>
      </c>
      <c r="C11758" s="3" t="s">
        <v>6</v>
      </c>
    </row>
    <row r="11759">
      <c r="A11759" s="3">
        <v>959.0</v>
      </c>
      <c r="B11759" s="4">
        <v>45469.26267361111</v>
      </c>
      <c r="C11759" s="3" t="s">
        <v>4</v>
      </c>
    </row>
    <row r="11760">
      <c r="A11760" s="3">
        <v>6396.0</v>
      </c>
      <c r="B11760" s="4">
        <v>45469.265543981484</v>
      </c>
      <c r="C11760" s="3" t="s">
        <v>3</v>
      </c>
    </row>
    <row r="11761">
      <c r="A11761" s="3">
        <v>2070.0</v>
      </c>
      <c r="B11761" s="4">
        <v>45469.27442129629</v>
      </c>
      <c r="C11761" s="3" t="s">
        <v>5</v>
      </c>
    </row>
    <row r="11762">
      <c r="A11762" s="3">
        <v>1426.0</v>
      </c>
      <c r="B11762" s="4">
        <v>45469.28821759259</v>
      </c>
      <c r="C11762" s="3" t="s">
        <v>4</v>
      </c>
    </row>
    <row r="11763">
      <c r="A11763" s="3">
        <v>2447.0</v>
      </c>
      <c r="B11763" s="4">
        <v>45469.295648148145</v>
      </c>
      <c r="C11763" s="3" t="s">
        <v>3</v>
      </c>
    </row>
    <row r="11764">
      <c r="A11764" s="3">
        <v>1371.0</v>
      </c>
      <c r="B11764" s="4">
        <v>45469.329305555555</v>
      </c>
      <c r="C11764" s="3" t="s">
        <v>3</v>
      </c>
    </row>
    <row r="11765">
      <c r="A11765" s="3">
        <v>3430.0</v>
      </c>
      <c r="B11765" s="4">
        <v>45469.34615740741</v>
      </c>
      <c r="C11765" s="3" t="s">
        <v>4</v>
      </c>
    </row>
    <row r="11766">
      <c r="A11766" s="3">
        <v>7529.0</v>
      </c>
      <c r="B11766" s="4">
        <v>45469.35700231481</v>
      </c>
      <c r="C11766" s="3" t="s">
        <v>7</v>
      </c>
    </row>
    <row r="11767">
      <c r="A11767" s="3">
        <v>4752.0</v>
      </c>
      <c r="B11767" s="4">
        <v>45469.37398148148</v>
      </c>
      <c r="C11767" s="3" t="s">
        <v>3</v>
      </c>
    </row>
    <row r="11768">
      <c r="A11768" s="3">
        <v>3300.0</v>
      </c>
      <c r="B11768" s="4">
        <v>45469.396782407406</v>
      </c>
      <c r="C11768" s="3" t="s">
        <v>3</v>
      </c>
    </row>
    <row r="11769">
      <c r="A11769" s="3">
        <v>6815.0</v>
      </c>
      <c r="B11769" s="4">
        <v>45469.40394675926</v>
      </c>
      <c r="C11769" s="3" t="s">
        <v>3</v>
      </c>
    </row>
    <row r="11770">
      <c r="A11770" s="3">
        <v>959.0</v>
      </c>
      <c r="B11770" s="4">
        <v>45469.41181712963</v>
      </c>
      <c r="C11770" s="3" t="s">
        <v>3</v>
      </c>
    </row>
    <row r="11771">
      <c r="A11771" s="3">
        <v>6396.0</v>
      </c>
      <c r="B11771" s="4">
        <v>45469.44761574074</v>
      </c>
      <c r="C11771" s="3" t="s">
        <v>4</v>
      </c>
    </row>
    <row r="11772">
      <c r="A11772" s="3">
        <v>7963.0</v>
      </c>
      <c r="B11772" s="4">
        <v>45469.46346064815</v>
      </c>
      <c r="C11772" s="3" t="s">
        <v>3</v>
      </c>
    </row>
    <row r="11773">
      <c r="A11773" s="3">
        <v>2070.0</v>
      </c>
      <c r="B11773" s="4">
        <v>45469.4684837963</v>
      </c>
      <c r="C11773" s="3" t="s">
        <v>7</v>
      </c>
    </row>
    <row r="11774">
      <c r="A11774" s="3">
        <v>2345.0</v>
      </c>
      <c r="B11774" s="4">
        <v>45469.48525462963</v>
      </c>
      <c r="C11774" s="3" t="s">
        <v>3</v>
      </c>
    </row>
    <row r="11775">
      <c r="A11775" s="3">
        <v>7417.0</v>
      </c>
      <c r="B11775" s="4">
        <v>45469.49716435185</v>
      </c>
      <c r="C11775" s="3" t="s">
        <v>3</v>
      </c>
    </row>
    <row r="11776">
      <c r="A11776" s="3">
        <v>1159.0</v>
      </c>
      <c r="B11776" s="4">
        <v>45469.50716435185</v>
      </c>
      <c r="C11776" s="3" t="s">
        <v>7</v>
      </c>
    </row>
    <row r="11777">
      <c r="A11777" s="3">
        <v>7351.0</v>
      </c>
      <c r="B11777" s="4">
        <v>45469.53591435185</v>
      </c>
      <c r="C11777" s="3" t="s">
        <v>5</v>
      </c>
    </row>
    <row r="11778">
      <c r="A11778" s="3">
        <v>5150.0</v>
      </c>
      <c r="B11778" s="4">
        <v>45469.53600694444</v>
      </c>
      <c r="C11778" s="3" t="s">
        <v>3</v>
      </c>
    </row>
    <row r="11779">
      <c r="A11779" s="3">
        <v>1594.0</v>
      </c>
      <c r="B11779" s="4">
        <v>45469.53927083333</v>
      </c>
      <c r="C11779" s="3" t="s">
        <v>4</v>
      </c>
    </row>
    <row r="11780">
      <c r="A11780" s="3">
        <v>6813.0</v>
      </c>
      <c r="B11780" s="4">
        <v>45469.54170138889</v>
      </c>
      <c r="C11780" s="3" t="s">
        <v>4</v>
      </c>
    </row>
    <row r="11781">
      <c r="A11781" s="3">
        <v>5723.0</v>
      </c>
      <c r="B11781" s="4">
        <v>45469.54929398148</v>
      </c>
      <c r="C11781" s="3" t="s">
        <v>6</v>
      </c>
    </row>
    <row r="11782">
      <c r="A11782" s="3">
        <v>4794.0</v>
      </c>
      <c r="B11782" s="4">
        <v>45469.55259259259</v>
      </c>
      <c r="C11782" s="3" t="s">
        <v>7</v>
      </c>
    </row>
    <row r="11783">
      <c r="A11783" s="3">
        <v>1594.0</v>
      </c>
      <c r="B11783" s="4">
        <v>45469.56539351852</v>
      </c>
      <c r="C11783" s="3" t="s">
        <v>3</v>
      </c>
    </row>
    <row r="11784">
      <c r="A11784" s="3">
        <v>3267.0</v>
      </c>
      <c r="B11784" s="4">
        <v>45469.59612268519</v>
      </c>
      <c r="C11784" s="3" t="s">
        <v>4</v>
      </c>
    </row>
    <row r="11785">
      <c r="A11785" s="3">
        <v>6813.0</v>
      </c>
      <c r="B11785" s="4">
        <v>45469.59689814815</v>
      </c>
      <c r="C11785" s="3" t="s">
        <v>7</v>
      </c>
    </row>
    <row r="11786">
      <c r="A11786" s="3">
        <v>766.0</v>
      </c>
      <c r="B11786" s="4">
        <v>45469.62034722222</v>
      </c>
      <c r="C11786" s="3" t="s">
        <v>3</v>
      </c>
    </row>
    <row r="11787">
      <c r="A11787" s="3">
        <v>6661.0</v>
      </c>
      <c r="B11787" s="4">
        <v>45469.62055555556</v>
      </c>
      <c r="C11787" s="3" t="s">
        <v>6</v>
      </c>
    </row>
    <row r="11788">
      <c r="A11788" s="3">
        <v>1021.0</v>
      </c>
      <c r="B11788" s="4">
        <v>45469.63019675926</v>
      </c>
      <c r="C11788" s="3" t="s">
        <v>3</v>
      </c>
    </row>
    <row r="11789">
      <c r="A11789" s="3">
        <v>1635.0</v>
      </c>
      <c r="B11789" s="4">
        <v>45469.634618055556</v>
      </c>
      <c r="C11789" s="3" t="s">
        <v>7</v>
      </c>
    </row>
    <row r="11790">
      <c r="A11790" s="3">
        <v>2218.0</v>
      </c>
      <c r="B11790" s="4">
        <v>45469.640127314815</v>
      </c>
      <c r="C11790" s="3" t="s">
        <v>3</v>
      </c>
    </row>
    <row r="11791">
      <c r="A11791" s="3">
        <v>2345.0</v>
      </c>
      <c r="B11791" s="4">
        <v>45469.64146990741</v>
      </c>
      <c r="C11791" s="3" t="s">
        <v>4</v>
      </c>
    </row>
    <row r="11792">
      <c r="A11792" s="3">
        <v>5150.0</v>
      </c>
      <c r="B11792" s="4">
        <v>45469.665034722224</v>
      </c>
      <c r="C11792" s="3" t="s">
        <v>4</v>
      </c>
    </row>
    <row r="11793">
      <c r="A11793" s="3">
        <v>5235.0</v>
      </c>
      <c r="B11793" s="4">
        <v>45469.66758101852</v>
      </c>
      <c r="C11793" s="3" t="s">
        <v>5</v>
      </c>
    </row>
    <row r="11794">
      <c r="A11794" s="3">
        <v>1266.0</v>
      </c>
      <c r="B11794" s="4">
        <v>45469.67042824074</v>
      </c>
      <c r="C11794" s="3" t="s">
        <v>3</v>
      </c>
    </row>
    <row r="11795">
      <c r="A11795" s="3">
        <v>7836.0</v>
      </c>
      <c r="B11795" s="4">
        <v>45469.67175925926</v>
      </c>
      <c r="C11795" s="3" t="s">
        <v>4</v>
      </c>
    </row>
    <row r="11796">
      <c r="A11796" s="3">
        <v>1426.0</v>
      </c>
      <c r="B11796" s="4">
        <v>45469.68819444445</v>
      </c>
      <c r="C11796" s="3" t="s">
        <v>3</v>
      </c>
    </row>
    <row r="11797">
      <c r="A11797" s="3">
        <v>1996.0</v>
      </c>
      <c r="B11797" s="4">
        <v>45469.7003125</v>
      </c>
      <c r="C11797" s="3" t="s">
        <v>3</v>
      </c>
    </row>
    <row r="11798">
      <c r="A11798" s="3">
        <v>5450.0</v>
      </c>
      <c r="B11798" s="4">
        <v>45469.74267361111</v>
      </c>
      <c r="C11798" s="3" t="s">
        <v>3</v>
      </c>
    </row>
    <row r="11799">
      <c r="A11799" s="3">
        <v>5511.0</v>
      </c>
      <c r="B11799" s="4">
        <v>45469.745474537034</v>
      </c>
      <c r="C11799" s="3" t="s">
        <v>3</v>
      </c>
    </row>
    <row r="11800">
      <c r="A11800" s="3">
        <v>3079.0</v>
      </c>
      <c r="B11800" s="4">
        <v>45469.77737268519</v>
      </c>
      <c r="C11800" s="3" t="s">
        <v>4</v>
      </c>
    </row>
    <row r="11801">
      <c r="A11801" s="3">
        <v>894.0</v>
      </c>
      <c r="B11801" s="4">
        <v>45469.78525462963</v>
      </c>
      <c r="C11801" s="3" t="s">
        <v>4</v>
      </c>
    </row>
    <row r="11802">
      <c r="A11802" s="3">
        <v>5649.0</v>
      </c>
      <c r="B11802" s="4">
        <v>45469.786469907405</v>
      </c>
      <c r="C11802" s="3" t="s">
        <v>7</v>
      </c>
    </row>
    <row r="11803">
      <c r="A11803" s="3">
        <v>4455.0</v>
      </c>
      <c r="B11803" s="4">
        <v>45469.816875</v>
      </c>
      <c r="C11803" s="3" t="s">
        <v>4</v>
      </c>
    </row>
    <row r="11804">
      <c r="A11804" s="3">
        <v>3300.0</v>
      </c>
      <c r="B11804" s="4">
        <v>45469.81890046296</v>
      </c>
      <c r="C11804" s="3" t="s">
        <v>4</v>
      </c>
    </row>
    <row r="11805">
      <c r="A11805" s="3">
        <v>3430.0</v>
      </c>
      <c r="B11805" s="4">
        <v>45469.846608796295</v>
      </c>
      <c r="C11805" s="3" t="s">
        <v>3</v>
      </c>
    </row>
    <row r="11806">
      <c r="A11806" s="3">
        <v>4527.0</v>
      </c>
      <c r="B11806" s="4">
        <v>45469.85265046296</v>
      </c>
      <c r="C11806" s="3" t="s">
        <v>5</v>
      </c>
    </row>
    <row r="11807">
      <c r="A11807" s="3">
        <v>6009.0</v>
      </c>
      <c r="B11807" s="4">
        <v>45469.85655092593</v>
      </c>
      <c r="C11807" s="3" t="s">
        <v>3</v>
      </c>
    </row>
    <row r="11808">
      <c r="A11808" s="3">
        <v>4527.0</v>
      </c>
      <c r="B11808" s="4">
        <v>45469.87900462963</v>
      </c>
      <c r="C11808" s="3" t="s">
        <v>6</v>
      </c>
    </row>
    <row r="11809">
      <c r="A11809" s="3">
        <v>41.0</v>
      </c>
      <c r="B11809" s="4">
        <v>45469.87950231481</v>
      </c>
      <c r="C11809" s="3" t="s">
        <v>3</v>
      </c>
    </row>
    <row r="11810">
      <c r="A11810" s="3">
        <v>2747.0</v>
      </c>
      <c r="B11810" s="4">
        <v>45469.903125</v>
      </c>
      <c r="C11810" s="3" t="s">
        <v>6</v>
      </c>
    </row>
    <row r="11811">
      <c r="A11811" s="3">
        <v>502.0</v>
      </c>
      <c r="B11811" s="4">
        <v>45469.913356481484</v>
      </c>
      <c r="C11811" s="3" t="s">
        <v>5</v>
      </c>
    </row>
    <row r="11812">
      <c r="A11812" s="3">
        <v>2252.0</v>
      </c>
      <c r="B11812" s="4">
        <v>45469.92240740741</v>
      </c>
      <c r="C11812" s="3" t="s">
        <v>6</v>
      </c>
    </row>
    <row r="11813">
      <c r="A11813" s="3">
        <v>2471.0</v>
      </c>
      <c r="B11813" s="4">
        <v>45469.941979166666</v>
      </c>
      <c r="C11813" s="3" t="s">
        <v>3</v>
      </c>
    </row>
    <row r="11814">
      <c r="A11814" s="3">
        <v>1439.0</v>
      </c>
      <c r="B11814" s="4">
        <v>45469.96209490741</v>
      </c>
      <c r="C11814" s="3" t="s">
        <v>7</v>
      </c>
    </row>
    <row r="11815">
      <c r="A11815" s="3">
        <v>4099.0</v>
      </c>
      <c r="B11815" s="4">
        <v>45469.962534722225</v>
      </c>
      <c r="C11815" s="3" t="s">
        <v>6</v>
      </c>
    </row>
    <row r="11816">
      <c r="A11816" s="3">
        <v>2923.0</v>
      </c>
      <c r="B11816" s="4">
        <v>45469.97975694444</v>
      </c>
      <c r="C11816" s="3" t="s">
        <v>3</v>
      </c>
    </row>
    <row r="11817">
      <c r="A11817" s="3">
        <v>549.0</v>
      </c>
      <c r="B11817" s="4">
        <v>45470.009733796294</v>
      </c>
      <c r="C11817" s="3" t="s">
        <v>7</v>
      </c>
    </row>
    <row r="11818">
      <c r="A11818" s="3">
        <v>6207.0</v>
      </c>
      <c r="B11818" s="4">
        <v>45470.02003472222</v>
      </c>
      <c r="C11818" s="3" t="s">
        <v>3</v>
      </c>
    </row>
    <row r="11819">
      <c r="A11819" s="3">
        <v>3149.0</v>
      </c>
      <c r="B11819" s="4">
        <v>45470.027141203704</v>
      </c>
      <c r="C11819" s="3" t="s">
        <v>3</v>
      </c>
    </row>
    <row r="11820">
      <c r="A11820" s="3">
        <v>941.0</v>
      </c>
      <c r="B11820" s="4">
        <v>45470.05148148148</v>
      </c>
      <c r="C11820" s="3" t="s">
        <v>7</v>
      </c>
    </row>
    <row r="11821">
      <c r="A11821" s="3">
        <v>5591.0</v>
      </c>
      <c r="B11821" s="4">
        <v>45470.06068287037</v>
      </c>
      <c r="C11821" s="3" t="s">
        <v>3</v>
      </c>
    </row>
    <row r="11822">
      <c r="A11822" s="3">
        <v>7214.0</v>
      </c>
      <c r="B11822" s="4">
        <v>45470.06107638889</v>
      </c>
      <c r="C11822" s="3" t="s">
        <v>7</v>
      </c>
    </row>
    <row r="11823">
      <c r="A11823" s="3">
        <v>5595.0</v>
      </c>
      <c r="B11823" s="4">
        <v>45470.09111111111</v>
      </c>
      <c r="C11823" s="3" t="s">
        <v>3</v>
      </c>
    </row>
    <row r="11824">
      <c r="A11824" s="3">
        <v>780.0</v>
      </c>
      <c r="B11824" s="4">
        <v>45470.09458333333</v>
      </c>
      <c r="C11824" s="3" t="s">
        <v>3</v>
      </c>
    </row>
    <row r="11825">
      <c r="A11825" s="3">
        <v>4961.0</v>
      </c>
      <c r="B11825" s="4">
        <v>45470.09496527778</v>
      </c>
      <c r="C11825" s="3" t="s">
        <v>3</v>
      </c>
    </row>
    <row r="11826">
      <c r="A11826" s="3">
        <v>2885.0</v>
      </c>
      <c r="B11826" s="4">
        <v>45470.13181712963</v>
      </c>
      <c r="C11826" s="3" t="s">
        <v>3</v>
      </c>
    </row>
    <row r="11827">
      <c r="A11827" s="3">
        <v>6813.0</v>
      </c>
      <c r="B11827" s="4">
        <v>45470.146840277775</v>
      </c>
      <c r="C11827" s="3" t="s">
        <v>5</v>
      </c>
    </row>
    <row r="11828">
      <c r="A11828" s="3">
        <v>2010.0</v>
      </c>
      <c r="B11828" s="4">
        <v>45470.157638888886</v>
      </c>
      <c r="C11828" s="3" t="s">
        <v>3</v>
      </c>
    </row>
    <row r="11829">
      <c r="A11829" s="3">
        <v>2724.0</v>
      </c>
      <c r="B11829" s="4">
        <v>45470.17493055556</v>
      </c>
      <c r="C11829" s="3" t="s">
        <v>4</v>
      </c>
    </row>
    <row r="11830">
      <c r="A11830" s="3">
        <v>4138.0</v>
      </c>
      <c r="B11830" s="4">
        <v>45470.20637731482</v>
      </c>
      <c r="C11830" s="3" t="s">
        <v>3</v>
      </c>
    </row>
    <row r="11831">
      <c r="A11831" s="3">
        <v>5993.0</v>
      </c>
      <c r="B11831" s="4">
        <v>45470.26994212963</v>
      </c>
      <c r="C11831" s="3" t="s">
        <v>4</v>
      </c>
    </row>
    <row r="11832">
      <c r="A11832" s="3">
        <v>242.0</v>
      </c>
      <c r="B11832" s="4">
        <v>45470.27659722222</v>
      </c>
      <c r="C11832" s="3" t="s">
        <v>3</v>
      </c>
    </row>
    <row r="11833">
      <c r="A11833" s="3">
        <v>1488.0</v>
      </c>
      <c r="B11833" s="4">
        <v>45470.31695601852</v>
      </c>
      <c r="C11833" s="3" t="s">
        <v>3</v>
      </c>
    </row>
    <row r="11834">
      <c r="A11834" s="3">
        <v>1740.0</v>
      </c>
      <c r="B11834" s="4">
        <v>45470.326145833336</v>
      </c>
      <c r="C11834" s="3" t="s">
        <v>3</v>
      </c>
    </row>
    <row r="11835">
      <c r="A11835" s="3">
        <v>7214.0</v>
      </c>
      <c r="B11835" s="4">
        <v>45470.35293981482</v>
      </c>
      <c r="C11835" s="3" t="s">
        <v>6</v>
      </c>
    </row>
    <row r="11836">
      <c r="A11836" s="3">
        <v>46.0</v>
      </c>
      <c r="B11836" s="4">
        <v>45470.36377314815</v>
      </c>
      <c r="C11836" s="3" t="s">
        <v>7</v>
      </c>
    </row>
    <row r="11837">
      <c r="A11837" s="3">
        <v>3514.0</v>
      </c>
      <c r="B11837" s="4">
        <v>45470.365636574075</v>
      </c>
      <c r="C11837" s="3" t="s">
        <v>3</v>
      </c>
    </row>
    <row r="11838">
      <c r="A11838" s="3">
        <v>5452.0</v>
      </c>
      <c r="B11838" s="4">
        <v>45470.38547453703</v>
      </c>
      <c r="C11838" s="3" t="s">
        <v>3</v>
      </c>
    </row>
    <row r="11839">
      <c r="A11839" s="3">
        <v>894.0</v>
      </c>
      <c r="B11839" s="4">
        <v>45470.423738425925</v>
      </c>
      <c r="C11839" s="3" t="s">
        <v>6</v>
      </c>
    </row>
    <row r="11840">
      <c r="A11840" s="3">
        <v>549.0</v>
      </c>
      <c r="B11840" s="4">
        <v>45470.44902777778</v>
      </c>
      <c r="C11840" s="3" t="s">
        <v>5</v>
      </c>
    </row>
    <row r="11841">
      <c r="A11841" s="3">
        <v>4672.0</v>
      </c>
      <c r="B11841" s="4">
        <v>45470.471354166664</v>
      </c>
      <c r="C11841" s="3" t="s">
        <v>5</v>
      </c>
    </row>
    <row r="11842">
      <c r="A11842" s="3">
        <v>3909.0</v>
      </c>
      <c r="B11842" s="4">
        <v>45470.47898148148</v>
      </c>
      <c r="C11842" s="3" t="s">
        <v>6</v>
      </c>
    </row>
    <row r="11843">
      <c r="A11843" s="3">
        <v>7288.0</v>
      </c>
      <c r="B11843" s="4">
        <v>45470.49606481481</v>
      </c>
      <c r="C11843" s="3" t="s">
        <v>3</v>
      </c>
    </row>
    <row r="11844">
      <c r="A11844" s="3">
        <v>6805.0</v>
      </c>
      <c r="B11844" s="4">
        <v>45470.520833333336</v>
      </c>
      <c r="C11844" s="3" t="s">
        <v>3</v>
      </c>
    </row>
    <row r="11845">
      <c r="A11845" s="3">
        <v>426.0</v>
      </c>
      <c r="B11845" s="4">
        <v>45470.52777777778</v>
      </c>
      <c r="C11845" s="3" t="s">
        <v>3</v>
      </c>
    </row>
    <row r="11846">
      <c r="A11846" s="3">
        <v>125.0</v>
      </c>
      <c r="B11846" s="4">
        <v>45470.53061342592</v>
      </c>
      <c r="C11846" s="3" t="s">
        <v>3</v>
      </c>
    </row>
    <row r="11847">
      <c r="A11847" s="3">
        <v>4672.0</v>
      </c>
      <c r="B11847" s="4">
        <v>45470.539513888885</v>
      </c>
      <c r="C11847" s="3" t="s">
        <v>3</v>
      </c>
    </row>
    <row r="11848">
      <c r="A11848" s="3">
        <v>6527.0</v>
      </c>
      <c r="B11848" s="4">
        <v>45470.54435185185</v>
      </c>
      <c r="C11848" s="3" t="s">
        <v>4</v>
      </c>
    </row>
    <row r="11849">
      <c r="A11849" s="3">
        <v>7936.0</v>
      </c>
      <c r="B11849" s="4">
        <v>45470.565787037034</v>
      </c>
      <c r="C11849" s="3" t="s">
        <v>5</v>
      </c>
    </row>
    <row r="11850">
      <c r="A11850" s="3">
        <v>7194.0</v>
      </c>
      <c r="B11850" s="4">
        <v>45470.57947916666</v>
      </c>
      <c r="C11850" s="3" t="s">
        <v>3</v>
      </c>
    </row>
    <row r="11851">
      <c r="A11851" s="3">
        <v>6207.0</v>
      </c>
      <c r="B11851" s="4">
        <v>45470.59553240741</v>
      </c>
      <c r="C11851" s="3" t="s">
        <v>4</v>
      </c>
    </row>
    <row r="11852">
      <c r="A11852" s="3">
        <v>5827.0</v>
      </c>
      <c r="B11852" s="4">
        <v>45470.60581018519</v>
      </c>
      <c r="C11852" s="3" t="s">
        <v>6</v>
      </c>
    </row>
    <row r="11853">
      <c r="A11853" s="3">
        <v>2133.0</v>
      </c>
      <c r="B11853" s="4">
        <v>45470.6262037037</v>
      </c>
      <c r="C11853" s="3" t="s">
        <v>5</v>
      </c>
    </row>
    <row r="11854">
      <c r="A11854" s="3">
        <v>2355.0</v>
      </c>
      <c r="B11854" s="4">
        <v>45470.64826388889</v>
      </c>
      <c r="C11854" s="3" t="s">
        <v>3</v>
      </c>
    </row>
    <row r="11855">
      <c r="A11855" s="3">
        <v>4732.0</v>
      </c>
      <c r="B11855" s="4">
        <v>45470.64857638889</v>
      </c>
      <c r="C11855" s="3" t="s">
        <v>7</v>
      </c>
    </row>
    <row r="11856">
      <c r="A11856" s="3">
        <v>7482.0</v>
      </c>
      <c r="B11856" s="4">
        <v>45470.64934027778</v>
      </c>
      <c r="C11856" s="3" t="s">
        <v>4</v>
      </c>
    </row>
    <row r="11857">
      <c r="A11857" s="3">
        <v>4455.0</v>
      </c>
      <c r="B11857" s="4">
        <v>45470.67707175926</v>
      </c>
      <c r="C11857" s="3" t="s">
        <v>5</v>
      </c>
    </row>
    <row r="11858">
      <c r="A11858" s="3">
        <v>7936.0</v>
      </c>
      <c r="B11858" s="4">
        <v>45470.68277777778</v>
      </c>
      <c r="C11858" s="3" t="s">
        <v>3</v>
      </c>
    </row>
    <row r="11859">
      <c r="A11859" s="3">
        <v>5754.0</v>
      </c>
      <c r="B11859" s="4">
        <v>45470.68278935185</v>
      </c>
      <c r="C11859" s="3" t="s">
        <v>7</v>
      </c>
    </row>
    <row r="11860">
      <c r="A11860" s="3">
        <v>4752.0</v>
      </c>
      <c r="B11860" s="4">
        <v>45470.688414351855</v>
      </c>
      <c r="C11860" s="3" t="s">
        <v>4</v>
      </c>
    </row>
    <row r="11861">
      <c r="A11861" s="3">
        <v>737.0</v>
      </c>
      <c r="B11861" s="4">
        <v>45470.693761574075</v>
      </c>
      <c r="C11861" s="3" t="s">
        <v>6</v>
      </c>
    </row>
    <row r="11862">
      <c r="A11862" s="3">
        <v>239.0</v>
      </c>
      <c r="B11862" s="4">
        <v>45470.70476851852</v>
      </c>
      <c r="C11862" s="3" t="s">
        <v>3</v>
      </c>
    </row>
    <row r="11863">
      <c r="A11863" s="3">
        <v>4329.0</v>
      </c>
      <c r="B11863" s="4">
        <v>45470.7053125</v>
      </c>
      <c r="C11863" s="3" t="s">
        <v>3</v>
      </c>
    </row>
    <row r="11864">
      <c r="A11864" s="3">
        <v>5993.0</v>
      </c>
      <c r="B11864" s="4">
        <v>45470.75633101852</v>
      </c>
      <c r="C11864" s="3" t="s">
        <v>5</v>
      </c>
    </row>
    <row r="11865">
      <c r="A11865" s="3">
        <v>1488.0</v>
      </c>
      <c r="B11865" s="4">
        <v>45470.75876157408</v>
      </c>
      <c r="C11865" s="3" t="s">
        <v>5</v>
      </c>
    </row>
    <row r="11866">
      <c r="A11866" s="3">
        <v>3211.0</v>
      </c>
      <c r="B11866" s="4">
        <v>45470.77488425926</v>
      </c>
      <c r="C11866" s="3" t="s">
        <v>5</v>
      </c>
    </row>
    <row r="11867">
      <c r="A11867" s="3">
        <v>7526.0</v>
      </c>
      <c r="B11867" s="4">
        <v>45470.77553240741</v>
      </c>
      <c r="C11867" s="3" t="s">
        <v>3</v>
      </c>
    </row>
    <row r="11868">
      <c r="A11868" s="3">
        <v>6067.0</v>
      </c>
      <c r="B11868" s="4">
        <v>45470.776712962965</v>
      </c>
      <c r="C11868" s="3" t="s">
        <v>3</v>
      </c>
    </row>
    <row r="11869">
      <c r="A11869" s="3">
        <v>2133.0</v>
      </c>
      <c r="B11869" s="4">
        <v>45470.78430555556</v>
      </c>
      <c r="C11869" s="3" t="s">
        <v>6</v>
      </c>
    </row>
    <row r="11870">
      <c r="A11870" s="3">
        <v>2923.0</v>
      </c>
      <c r="B11870" s="4">
        <v>45470.78480324074</v>
      </c>
      <c r="C11870" s="3" t="s">
        <v>4</v>
      </c>
    </row>
    <row r="11871">
      <c r="A11871" s="3">
        <v>156.0</v>
      </c>
      <c r="B11871" s="4">
        <v>45470.78905092592</v>
      </c>
      <c r="C11871" s="3" t="s">
        <v>4</v>
      </c>
    </row>
    <row r="11872">
      <c r="A11872" s="3">
        <v>3300.0</v>
      </c>
      <c r="B11872" s="4">
        <v>45470.81836805555</v>
      </c>
      <c r="C11872" s="3" t="s">
        <v>7</v>
      </c>
    </row>
    <row r="11873">
      <c r="A11873" s="3">
        <v>1719.0</v>
      </c>
      <c r="B11873" s="4">
        <v>45470.82493055556</v>
      </c>
      <c r="C11873" s="3" t="s">
        <v>3</v>
      </c>
    </row>
    <row r="11874">
      <c r="A11874" s="3">
        <v>900.0</v>
      </c>
      <c r="B11874" s="4">
        <v>45470.835752314815</v>
      </c>
      <c r="C11874" s="3" t="s">
        <v>4</v>
      </c>
    </row>
    <row r="11875">
      <c r="A11875" s="3">
        <v>7529.0</v>
      </c>
      <c r="B11875" s="4">
        <v>45470.851331018515</v>
      </c>
      <c r="C11875" s="3" t="s">
        <v>6</v>
      </c>
    </row>
    <row r="11876">
      <c r="A11876" s="3">
        <v>246.0</v>
      </c>
      <c r="B11876" s="4">
        <v>45470.881840277776</v>
      </c>
      <c r="C11876" s="3" t="s">
        <v>5</v>
      </c>
    </row>
    <row r="11877">
      <c r="A11877" s="3">
        <v>4638.0</v>
      </c>
      <c r="B11877" s="4">
        <v>45470.9034375</v>
      </c>
      <c r="C11877" s="3" t="s">
        <v>4</v>
      </c>
    </row>
    <row r="11878">
      <c r="A11878" s="3">
        <v>621.0</v>
      </c>
      <c r="B11878" s="4">
        <v>45470.90703703704</v>
      </c>
      <c r="C11878" s="3" t="s">
        <v>3</v>
      </c>
    </row>
    <row r="11879">
      <c r="A11879" s="3">
        <v>2355.0</v>
      </c>
      <c r="B11879" s="4">
        <v>45470.91805555556</v>
      </c>
      <c r="C11879" s="3" t="s">
        <v>5</v>
      </c>
    </row>
    <row r="11880">
      <c r="A11880" s="3">
        <v>6583.0</v>
      </c>
      <c r="B11880" s="4">
        <v>45470.9474537037</v>
      </c>
      <c r="C11880" s="3" t="s">
        <v>6</v>
      </c>
    </row>
    <row r="11881">
      <c r="A11881" s="3">
        <v>7692.0</v>
      </c>
      <c r="B11881" s="4">
        <v>45470.96528935185</v>
      </c>
      <c r="C11881" s="3" t="s">
        <v>5</v>
      </c>
    </row>
    <row r="11882">
      <c r="A11882" s="3">
        <v>1117.0</v>
      </c>
      <c r="B11882" s="4">
        <v>45470.977164351854</v>
      </c>
      <c r="C11882" s="3" t="s">
        <v>3</v>
      </c>
    </row>
    <row r="11883">
      <c r="A11883" s="3">
        <v>1719.0</v>
      </c>
      <c r="B11883" s="4">
        <v>45470.9822337963</v>
      </c>
      <c r="C11883" s="3" t="s">
        <v>5</v>
      </c>
    </row>
    <row r="11884">
      <c r="A11884" s="3">
        <v>5217.0</v>
      </c>
      <c r="B11884" s="4">
        <v>45470.990590277775</v>
      </c>
      <c r="C11884" s="3" t="s">
        <v>3</v>
      </c>
    </row>
    <row r="11885">
      <c r="A11885" s="3">
        <v>938.0</v>
      </c>
      <c r="B11885" s="4">
        <v>45471.012037037035</v>
      </c>
      <c r="C11885" s="3" t="s">
        <v>4</v>
      </c>
    </row>
    <row r="11886">
      <c r="A11886" s="3">
        <v>3949.0</v>
      </c>
      <c r="B11886" s="4">
        <v>45471.01252314815</v>
      </c>
      <c r="C11886" s="3" t="s">
        <v>4</v>
      </c>
    </row>
    <row r="11887">
      <c r="A11887" s="3">
        <v>6527.0</v>
      </c>
      <c r="B11887" s="4">
        <v>45471.01619212963</v>
      </c>
      <c r="C11887" s="3" t="s">
        <v>5</v>
      </c>
    </row>
    <row r="11888">
      <c r="A11888" s="3">
        <v>2960.0</v>
      </c>
      <c r="B11888" s="4">
        <v>45471.02792824074</v>
      </c>
      <c r="C11888" s="3" t="s">
        <v>3</v>
      </c>
    </row>
    <row r="11889">
      <c r="A11889" s="3">
        <v>161.0</v>
      </c>
      <c r="B11889" s="4">
        <v>45471.04337962963</v>
      </c>
      <c r="C11889" s="3" t="s">
        <v>3</v>
      </c>
    </row>
    <row r="11890">
      <c r="A11890" s="3">
        <v>1181.0</v>
      </c>
      <c r="B11890" s="4">
        <v>45471.05704861111</v>
      </c>
      <c r="C11890" s="3" t="s">
        <v>7</v>
      </c>
    </row>
    <row r="11891">
      <c r="A11891" s="3">
        <v>1198.0</v>
      </c>
      <c r="B11891" s="4">
        <v>45471.0812037037</v>
      </c>
      <c r="C11891" s="3" t="s">
        <v>3</v>
      </c>
    </row>
    <row r="11892">
      <c r="A11892" s="3">
        <v>2192.0</v>
      </c>
      <c r="B11892" s="4">
        <v>45471.11335648148</v>
      </c>
      <c r="C11892" s="3" t="s">
        <v>3</v>
      </c>
    </row>
    <row r="11893">
      <c r="A11893" s="3">
        <v>884.0</v>
      </c>
      <c r="B11893" s="4">
        <v>45471.1169212963</v>
      </c>
      <c r="C11893" s="3" t="s">
        <v>3</v>
      </c>
    </row>
    <row r="11894">
      <c r="A11894" s="3">
        <v>621.0</v>
      </c>
      <c r="B11894" s="4">
        <v>45471.12798611111</v>
      </c>
      <c r="C11894" s="3" t="s">
        <v>4</v>
      </c>
    </row>
    <row r="11895">
      <c r="A11895" s="3">
        <v>1466.0</v>
      </c>
      <c r="B11895" s="4">
        <v>45471.1303125</v>
      </c>
      <c r="C11895" s="3" t="s">
        <v>3</v>
      </c>
    </row>
    <row r="11896">
      <c r="A11896" s="3">
        <v>4961.0</v>
      </c>
      <c r="B11896" s="4">
        <v>45471.13247685185</v>
      </c>
      <c r="C11896" s="3" t="s">
        <v>4</v>
      </c>
    </row>
    <row r="11897">
      <c r="A11897" s="3">
        <v>7384.0</v>
      </c>
      <c r="B11897" s="4">
        <v>45471.13353009259</v>
      </c>
      <c r="C11897" s="3" t="s">
        <v>3</v>
      </c>
    </row>
    <row r="11898">
      <c r="A11898" s="3">
        <v>426.0</v>
      </c>
      <c r="B11898" s="4">
        <v>45471.14644675926</v>
      </c>
      <c r="C11898" s="3" t="s">
        <v>4</v>
      </c>
    </row>
    <row r="11899">
      <c r="A11899" s="3">
        <v>1719.0</v>
      </c>
      <c r="B11899" s="4">
        <v>45471.15505787037</v>
      </c>
      <c r="C11899" s="3" t="s">
        <v>4</v>
      </c>
    </row>
    <row r="11900">
      <c r="A11900" s="3">
        <v>2464.0</v>
      </c>
      <c r="B11900" s="4">
        <v>45471.1721875</v>
      </c>
      <c r="C11900" s="3" t="s">
        <v>3</v>
      </c>
    </row>
    <row r="11901">
      <c r="A11901" s="3">
        <v>3514.0</v>
      </c>
      <c r="B11901" s="4">
        <v>45471.17802083334</v>
      </c>
      <c r="C11901" s="3" t="s">
        <v>4</v>
      </c>
    </row>
    <row r="11902">
      <c r="A11902" s="3">
        <v>5242.0</v>
      </c>
      <c r="B11902" s="4">
        <v>45471.181759259256</v>
      </c>
      <c r="C11902" s="3" t="s">
        <v>3</v>
      </c>
    </row>
    <row r="11903">
      <c r="A11903" s="3">
        <v>2355.0</v>
      </c>
      <c r="B11903" s="4">
        <v>45471.189375</v>
      </c>
      <c r="C11903" s="3" t="s">
        <v>4</v>
      </c>
    </row>
    <row r="11904">
      <c r="A11904" s="3">
        <v>3401.0</v>
      </c>
      <c r="B11904" s="4">
        <v>45471.19737268519</v>
      </c>
      <c r="C11904" s="3" t="s">
        <v>3</v>
      </c>
    </row>
    <row r="11905">
      <c r="A11905" s="3">
        <v>231.0</v>
      </c>
      <c r="B11905" s="4">
        <v>45471.21896990741</v>
      </c>
      <c r="C11905" s="3" t="s">
        <v>3</v>
      </c>
    </row>
    <row r="11906">
      <c r="A11906" s="3">
        <v>6059.0</v>
      </c>
      <c r="B11906" s="4">
        <v>45471.21938657408</v>
      </c>
      <c r="C11906" s="3" t="s">
        <v>4</v>
      </c>
    </row>
    <row r="11907">
      <c r="A11907" s="3">
        <v>4329.0</v>
      </c>
      <c r="B11907" s="4">
        <v>45471.2253125</v>
      </c>
      <c r="C11907" s="3" t="s">
        <v>4</v>
      </c>
    </row>
    <row r="11908">
      <c r="A11908" s="3">
        <v>7021.0</v>
      </c>
      <c r="B11908" s="4">
        <v>45471.23509259259</v>
      </c>
      <c r="C11908" s="3" t="s">
        <v>6</v>
      </c>
    </row>
    <row r="11909">
      <c r="A11909" s="3">
        <v>7100.0</v>
      </c>
      <c r="B11909" s="4">
        <v>45471.25435185185</v>
      </c>
      <c r="C11909" s="3" t="s">
        <v>3</v>
      </c>
    </row>
    <row r="11910">
      <c r="A11910" s="3">
        <v>474.0</v>
      </c>
      <c r="B11910" s="4">
        <v>45471.256736111114</v>
      </c>
      <c r="C11910" s="3" t="s">
        <v>7</v>
      </c>
    </row>
    <row r="11911">
      <c r="A11911" s="3">
        <v>5450.0</v>
      </c>
      <c r="B11911" s="4">
        <v>45471.25840277778</v>
      </c>
      <c r="C11911" s="3" t="s">
        <v>4</v>
      </c>
    </row>
    <row r="11912">
      <c r="A11912" s="3">
        <v>1742.0</v>
      </c>
      <c r="B11912" s="4">
        <v>45471.3458912037</v>
      </c>
      <c r="C11912" s="3" t="s">
        <v>3</v>
      </c>
    </row>
    <row r="11913">
      <c r="A11913" s="3">
        <v>5216.0</v>
      </c>
      <c r="B11913" s="4">
        <v>45471.36739583333</v>
      </c>
      <c r="C11913" s="3" t="s">
        <v>3</v>
      </c>
    </row>
    <row r="11914">
      <c r="A11914" s="3">
        <v>6207.0</v>
      </c>
      <c r="B11914" s="4">
        <v>45471.38224537037</v>
      </c>
      <c r="C11914" s="3" t="s">
        <v>5</v>
      </c>
    </row>
    <row r="11915">
      <c r="A11915" s="3">
        <v>1740.0</v>
      </c>
      <c r="B11915" s="4">
        <v>45471.385405092595</v>
      </c>
      <c r="C11915" s="3" t="s">
        <v>4</v>
      </c>
    </row>
    <row r="11916">
      <c r="A11916" s="3">
        <v>2587.0</v>
      </c>
      <c r="B11916" s="4">
        <v>45471.39439814815</v>
      </c>
      <c r="C11916" s="3" t="s">
        <v>3</v>
      </c>
    </row>
    <row r="11917">
      <c r="A11917" s="3">
        <v>6981.0</v>
      </c>
      <c r="B11917" s="4">
        <v>45471.39460648148</v>
      </c>
      <c r="C11917" s="3" t="s">
        <v>6</v>
      </c>
    </row>
    <row r="11918">
      <c r="A11918" s="3">
        <v>1021.0</v>
      </c>
      <c r="B11918" s="4">
        <v>45471.397314814814</v>
      </c>
      <c r="C11918" s="3" t="s">
        <v>4</v>
      </c>
    </row>
    <row r="11919">
      <c r="A11919" s="3">
        <v>7936.0</v>
      </c>
      <c r="B11919" s="4">
        <v>45471.423263888886</v>
      </c>
      <c r="C11919" s="3" t="s">
        <v>4</v>
      </c>
    </row>
    <row r="11920">
      <c r="A11920" s="3">
        <v>297.0</v>
      </c>
      <c r="B11920" s="4">
        <v>45471.43585648148</v>
      </c>
      <c r="C11920" s="3" t="s">
        <v>3</v>
      </c>
    </row>
    <row r="11921">
      <c r="A11921" s="3">
        <v>4961.0</v>
      </c>
      <c r="B11921" s="4">
        <v>45471.439837962964</v>
      </c>
      <c r="C11921" s="3" t="s">
        <v>5</v>
      </c>
    </row>
    <row r="11922">
      <c r="A11922" s="3">
        <v>403.0</v>
      </c>
      <c r="B11922" s="4">
        <v>45471.47373842593</v>
      </c>
      <c r="C11922" s="3" t="s">
        <v>4</v>
      </c>
    </row>
    <row r="11923">
      <c r="A11923" s="3">
        <v>1594.0</v>
      </c>
      <c r="B11923" s="4">
        <v>45471.49388888889</v>
      </c>
      <c r="C11923" s="3" t="s">
        <v>7</v>
      </c>
    </row>
    <row r="11924">
      <c r="A11924" s="3">
        <v>7526.0</v>
      </c>
      <c r="B11924" s="4">
        <v>45471.503796296296</v>
      </c>
      <c r="C11924" s="3" t="s">
        <v>4</v>
      </c>
    </row>
    <row r="11925">
      <c r="A11925" s="3">
        <v>2192.0</v>
      </c>
      <c r="B11925" s="4">
        <v>45471.532060185185</v>
      </c>
      <c r="C11925" s="3" t="s">
        <v>4</v>
      </c>
    </row>
    <row r="11926">
      <c r="A11926" s="3">
        <v>502.0</v>
      </c>
      <c r="B11926" s="4">
        <v>45471.555300925924</v>
      </c>
      <c r="C11926" s="3" t="s">
        <v>6</v>
      </c>
    </row>
    <row r="11927">
      <c r="A11927" s="3">
        <v>246.0</v>
      </c>
      <c r="B11927" s="4">
        <v>45471.55899305556</v>
      </c>
      <c r="C11927" s="3" t="s">
        <v>6</v>
      </c>
    </row>
    <row r="11928">
      <c r="A11928" s="3">
        <v>5236.0</v>
      </c>
      <c r="B11928" s="4">
        <v>45471.59690972222</v>
      </c>
      <c r="C11928" s="3" t="s">
        <v>4</v>
      </c>
    </row>
    <row r="11929">
      <c r="A11929" s="3">
        <v>1181.0</v>
      </c>
      <c r="B11929" s="4">
        <v>45471.60517361111</v>
      </c>
      <c r="C11929" s="3" t="s">
        <v>5</v>
      </c>
    </row>
    <row r="11930">
      <c r="A11930" s="3">
        <v>3444.0</v>
      </c>
      <c r="B11930" s="4">
        <v>45471.67108796296</v>
      </c>
      <c r="C11930" s="3" t="s">
        <v>3</v>
      </c>
    </row>
    <row r="11931">
      <c r="A11931" s="3">
        <v>1996.0</v>
      </c>
      <c r="B11931" s="4">
        <v>45471.68063657408</v>
      </c>
      <c r="C11931" s="3" t="s">
        <v>5</v>
      </c>
    </row>
    <row r="11932">
      <c r="A11932" s="3">
        <v>1220.0</v>
      </c>
      <c r="B11932" s="4">
        <v>45471.68461805556</v>
      </c>
      <c r="C11932" s="3" t="s">
        <v>3</v>
      </c>
    </row>
    <row r="11933">
      <c r="A11933" s="3">
        <v>4245.0</v>
      </c>
      <c r="B11933" s="4">
        <v>45471.68570601852</v>
      </c>
      <c r="C11933" s="3" t="s">
        <v>3</v>
      </c>
    </row>
    <row r="11934">
      <c r="A11934" s="3">
        <v>2345.0</v>
      </c>
      <c r="B11934" s="4">
        <v>45471.693564814814</v>
      </c>
      <c r="C11934" s="3" t="s">
        <v>6</v>
      </c>
    </row>
    <row r="11935">
      <c r="A11935" s="3">
        <v>7214.0</v>
      </c>
      <c r="B11935" s="4">
        <v>45471.71487268519</v>
      </c>
      <c r="C11935" s="3" t="s">
        <v>4</v>
      </c>
    </row>
    <row r="11936">
      <c r="A11936" s="3">
        <v>2130.0</v>
      </c>
      <c r="B11936" s="4">
        <v>45471.742002314815</v>
      </c>
      <c r="C11936" s="3" t="s">
        <v>3</v>
      </c>
    </row>
    <row r="11937">
      <c r="A11937" s="3">
        <v>2111.0</v>
      </c>
      <c r="B11937" s="4">
        <v>45471.74459490741</v>
      </c>
      <c r="C11937" s="3" t="s">
        <v>6</v>
      </c>
    </row>
    <row r="11938">
      <c r="A11938" s="3">
        <v>5754.0</v>
      </c>
      <c r="B11938" s="4">
        <v>45471.75331018519</v>
      </c>
      <c r="C11938" s="3" t="s">
        <v>6</v>
      </c>
    </row>
    <row r="11939">
      <c r="A11939" s="3">
        <v>2133.0</v>
      </c>
      <c r="B11939" s="4">
        <v>45471.75891203704</v>
      </c>
      <c r="C11939" s="3" t="s">
        <v>7</v>
      </c>
    </row>
    <row r="11940">
      <c r="A11940" s="3">
        <v>7341.0</v>
      </c>
      <c r="B11940" s="4">
        <v>45471.79378472222</v>
      </c>
      <c r="C11940" s="3" t="s">
        <v>4</v>
      </c>
    </row>
    <row r="11941">
      <c r="A11941" s="3">
        <v>3949.0</v>
      </c>
      <c r="B11941" s="4">
        <v>45471.79756944445</v>
      </c>
      <c r="C11941" s="3" t="s">
        <v>3</v>
      </c>
    </row>
    <row r="11942">
      <c r="A11942" s="3">
        <v>5150.0</v>
      </c>
      <c r="B11942" s="4">
        <v>45471.802094907405</v>
      </c>
      <c r="C11942" s="3" t="s">
        <v>5</v>
      </c>
    </row>
    <row r="11943">
      <c r="A11943" s="3">
        <v>3995.0</v>
      </c>
      <c r="B11943" s="4">
        <v>45471.802766203706</v>
      </c>
      <c r="C11943" s="3" t="s">
        <v>3</v>
      </c>
    </row>
    <row r="11944">
      <c r="A11944" s="3">
        <v>4045.0</v>
      </c>
      <c r="B11944" s="4">
        <v>45471.804398148146</v>
      </c>
      <c r="C11944" s="3" t="s">
        <v>3</v>
      </c>
    </row>
    <row r="11945">
      <c r="A11945" s="3">
        <v>1220.0</v>
      </c>
      <c r="B11945" s="4">
        <v>45471.81842592593</v>
      </c>
      <c r="C11945" s="3" t="s">
        <v>4</v>
      </c>
    </row>
    <row r="11946">
      <c r="A11946" s="3">
        <v>5236.0</v>
      </c>
      <c r="B11946" s="4">
        <v>45471.83574074074</v>
      </c>
      <c r="C11946" s="3" t="s">
        <v>3</v>
      </c>
    </row>
    <row r="11947">
      <c r="A11947" s="3">
        <v>4455.0</v>
      </c>
      <c r="B11947" s="4">
        <v>45471.85076388889</v>
      </c>
      <c r="C11947" s="3" t="s">
        <v>6</v>
      </c>
    </row>
    <row r="11948">
      <c r="A11948" s="3">
        <v>3514.0</v>
      </c>
      <c r="B11948" s="4">
        <v>45471.86756944445</v>
      </c>
      <c r="C11948" s="3" t="s">
        <v>6</v>
      </c>
    </row>
    <row r="11949">
      <c r="A11949" s="3">
        <v>7657.0</v>
      </c>
      <c r="B11949" s="4">
        <v>45471.87333333334</v>
      </c>
      <c r="C11949" s="3" t="s">
        <v>6</v>
      </c>
    </row>
    <row r="11950">
      <c r="A11950" s="3">
        <v>3333.0</v>
      </c>
      <c r="B11950" s="4">
        <v>45471.87844907407</v>
      </c>
      <c r="C11950" s="3" t="s">
        <v>3</v>
      </c>
    </row>
    <row r="11951">
      <c r="A11951" s="3">
        <v>3333.0</v>
      </c>
      <c r="B11951" s="4">
        <v>45471.893159722225</v>
      </c>
      <c r="C11951" s="3" t="s">
        <v>4</v>
      </c>
    </row>
    <row r="11952">
      <c r="A11952" s="3">
        <v>2212.0</v>
      </c>
      <c r="B11952" s="4">
        <v>45471.908634259256</v>
      </c>
      <c r="C11952" s="3" t="s">
        <v>3</v>
      </c>
    </row>
    <row r="11953">
      <c r="A11953" s="3">
        <v>6059.0</v>
      </c>
      <c r="B11953" s="4">
        <v>45471.91370370371</v>
      </c>
      <c r="C11953" s="3" t="s">
        <v>3</v>
      </c>
    </row>
    <row r="11954">
      <c r="A11954" s="3">
        <v>961.0</v>
      </c>
      <c r="B11954" s="4">
        <v>45471.926620370374</v>
      </c>
      <c r="C11954" s="3" t="s">
        <v>7</v>
      </c>
    </row>
    <row r="11955">
      <c r="A11955" s="3">
        <v>7963.0</v>
      </c>
      <c r="B11955" s="4">
        <v>45471.96131944445</v>
      </c>
      <c r="C11955" s="3" t="s">
        <v>5</v>
      </c>
    </row>
    <row r="11956">
      <c r="A11956" s="3">
        <v>7384.0</v>
      </c>
      <c r="B11956" s="4">
        <v>45471.963587962964</v>
      </c>
      <c r="C11956" s="3" t="s">
        <v>5</v>
      </c>
    </row>
    <row r="11957">
      <c r="A11957" s="3">
        <v>2923.0</v>
      </c>
      <c r="B11957" s="4">
        <v>45471.9799537037</v>
      </c>
      <c r="C11957" s="3" t="s">
        <v>6</v>
      </c>
    </row>
    <row r="11958">
      <c r="A11958" s="3">
        <v>4466.0</v>
      </c>
      <c r="B11958" s="4">
        <v>45472.02699074074</v>
      </c>
      <c r="C11958" s="3" t="s">
        <v>3</v>
      </c>
    </row>
    <row r="11959">
      <c r="A11959" s="3">
        <v>3430.0</v>
      </c>
      <c r="B11959" s="4">
        <v>45472.030486111114</v>
      </c>
      <c r="C11959" s="3" t="s">
        <v>6</v>
      </c>
    </row>
    <row r="11960">
      <c r="A11960" s="3">
        <v>1040.0</v>
      </c>
      <c r="B11960" s="4">
        <v>45472.07517361111</v>
      </c>
      <c r="C11960" s="3" t="s">
        <v>3</v>
      </c>
    </row>
    <row r="11961">
      <c r="A11961" s="3">
        <v>7711.0</v>
      </c>
      <c r="B11961" s="4">
        <v>45472.085752314815</v>
      </c>
      <c r="C11961" s="3" t="s">
        <v>3</v>
      </c>
    </row>
    <row r="11962">
      <c r="A11962" s="3">
        <v>2447.0</v>
      </c>
      <c r="B11962" s="4">
        <v>45472.09311342592</v>
      </c>
      <c r="C11962" s="3" t="s">
        <v>4</v>
      </c>
    </row>
    <row r="11963">
      <c r="A11963" s="3">
        <v>4497.0</v>
      </c>
      <c r="B11963" s="4">
        <v>45472.111550925925</v>
      </c>
      <c r="C11963" s="3" t="s">
        <v>3</v>
      </c>
    </row>
    <row r="11964">
      <c r="A11964" s="3">
        <v>1941.0</v>
      </c>
      <c r="B11964" s="4">
        <v>45472.13130787037</v>
      </c>
      <c r="C11964" s="3" t="s">
        <v>4</v>
      </c>
    </row>
    <row r="11965">
      <c r="A11965" s="3">
        <v>297.0</v>
      </c>
      <c r="B11965" s="4">
        <v>45472.13327546296</v>
      </c>
      <c r="C11965" s="3" t="s">
        <v>4</v>
      </c>
    </row>
    <row r="11966">
      <c r="A11966" s="3">
        <v>4793.0</v>
      </c>
      <c r="B11966" s="4">
        <v>45472.13328703704</v>
      </c>
      <c r="C11966" s="3" t="s">
        <v>3</v>
      </c>
    </row>
    <row r="11967">
      <c r="A11967" s="3">
        <v>5389.0</v>
      </c>
      <c r="B11967" s="4">
        <v>45472.135729166665</v>
      </c>
      <c r="C11967" s="3" t="s">
        <v>3</v>
      </c>
    </row>
    <row r="11968">
      <c r="A11968" s="3">
        <v>2582.0</v>
      </c>
      <c r="B11968" s="4">
        <v>45472.14171296296</v>
      </c>
      <c r="C11968" s="3" t="s">
        <v>3</v>
      </c>
    </row>
    <row r="11969">
      <c r="A11969" s="3">
        <v>1955.0</v>
      </c>
      <c r="B11969" s="4">
        <v>45472.145474537036</v>
      </c>
      <c r="C11969" s="3" t="s">
        <v>3</v>
      </c>
    </row>
    <row r="11970">
      <c r="A11970" s="3">
        <v>4329.0</v>
      </c>
      <c r="B11970" s="4">
        <v>45472.155324074076</v>
      </c>
      <c r="C11970" s="3" t="s">
        <v>6</v>
      </c>
    </row>
    <row r="11971">
      <c r="A11971" s="3">
        <v>6956.0</v>
      </c>
      <c r="B11971" s="4">
        <v>45472.185</v>
      </c>
      <c r="C11971" s="3" t="s">
        <v>5</v>
      </c>
    </row>
    <row r="11972">
      <c r="A11972" s="3">
        <v>2885.0</v>
      </c>
      <c r="B11972" s="4">
        <v>45472.199525462966</v>
      </c>
      <c r="C11972" s="3" t="s">
        <v>4</v>
      </c>
    </row>
    <row r="11973">
      <c r="A11973" s="3">
        <v>3333.0</v>
      </c>
      <c r="B11973" s="4">
        <v>45472.20630787037</v>
      </c>
      <c r="C11973" s="3" t="s">
        <v>6</v>
      </c>
    </row>
    <row r="11974">
      <c r="A11974" s="3">
        <v>2923.0</v>
      </c>
      <c r="B11974" s="4">
        <v>45472.21011574074</v>
      </c>
      <c r="C11974" s="3" t="s">
        <v>5</v>
      </c>
    </row>
    <row r="11975">
      <c r="A11975" s="3">
        <v>1562.0</v>
      </c>
      <c r="B11975" s="4">
        <v>45472.214108796295</v>
      </c>
      <c r="C11975" s="3" t="s">
        <v>6</v>
      </c>
    </row>
    <row r="11976">
      <c r="A11976" s="3">
        <v>3211.0</v>
      </c>
      <c r="B11976" s="4">
        <v>45472.23608796296</v>
      </c>
      <c r="C11976" s="3" t="s">
        <v>6</v>
      </c>
    </row>
    <row r="11977">
      <c r="A11977" s="3">
        <v>549.0</v>
      </c>
      <c r="B11977" s="4">
        <v>45472.2387962963</v>
      </c>
      <c r="C11977" s="3" t="s">
        <v>6</v>
      </c>
    </row>
    <row r="11978">
      <c r="A11978" s="3">
        <v>1040.0</v>
      </c>
      <c r="B11978" s="4">
        <v>45472.24166666667</v>
      </c>
      <c r="C11978" s="3" t="s">
        <v>4</v>
      </c>
    </row>
    <row r="11979">
      <c r="A11979" s="3">
        <v>5993.0</v>
      </c>
      <c r="B11979" s="4">
        <v>45472.24728009259</v>
      </c>
      <c r="C11979" s="3" t="s">
        <v>6</v>
      </c>
    </row>
    <row r="11980">
      <c r="A11980" s="3">
        <v>1445.0</v>
      </c>
      <c r="B11980" s="4">
        <v>45472.25262731482</v>
      </c>
      <c r="C11980" s="3" t="s">
        <v>6</v>
      </c>
    </row>
    <row r="11981">
      <c r="A11981" s="3">
        <v>7836.0</v>
      </c>
      <c r="B11981" s="4">
        <v>45472.26880787037</v>
      </c>
      <c r="C11981" s="3" t="s">
        <v>6</v>
      </c>
    </row>
    <row r="11982">
      <c r="A11982" s="3">
        <v>7053.0</v>
      </c>
      <c r="B11982" s="4">
        <v>45472.335335648146</v>
      </c>
      <c r="C11982" s="3" t="s">
        <v>3</v>
      </c>
    </row>
    <row r="11983">
      <c r="A11983" s="3">
        <v>7711.0</v>
      </c>
      <c r="B11983" s="4">
        <v>45472.37274305556</v>
      </c>
      <c r="C11983" s="3" t="s">
        <v>4</v>
      </c>
    </row>
    <row r="11984">
      <c r="A11984" s="3">
        <v>2172.0</v>
      </c>
      <c r="B11984" s="4">
        <v>45472.40414351852</v>
      </c>
      <c r="C11984" s="3" t="s">
        <v>4</v>
      </c>
    </row>
    <row r="11985">
      <c r="A11985" s="3">
        <v>7288.0</v>
      </c>
      <c r="B11985" s="4">
        <v>45472.40771990741</v>
      </c>
      <c r="C11985" s="3" t="s">
        <v>4</v>
      </c>
    </row>
    <row r="11986">
      <c r="A11986" s="3">
        <v>7384.0</v>
      </c>
      <c r="B11986" s="4">
        <v>45472.42009259259</v>
      </c>
      <c r="C11986" s="3" t="s">
        <v>6</v>
      </c>
    </row>
    <row r="11987">
      <c r="A11987" s="3">
        <v>1996.0</v>
      </c>
      <c r="B11987" s="4">
        <v>45472.43042824074</v>
      </c>
      <c r="C11987" s="3" t="s">
        <v>7</v>
      </c>
    </row>
    <row r="11988">
      <c r="A11988" s="3">
        <v>6636.0</v>
      </c>
      <c r="B11988" s="4">
        <v>45472.455046296294</v>
      </c>
      <c r="C11988" s="3" t="s">
        <v>3</v>
      </c>
    </row>
    <row r="11989">
      <c r="A11989" s="3">
        <v>1220.0</v>
      </c>
      <c r="B11989" s="4">
        <v>45472.48795138889</v>
      </c>
      <c r="C11989" s="3" t="s">
        <v>5</v>
      </c>
    </row>
    <row r="11990">
      <c r="A11990" s="3">
        <v>2006.0</v>
      </c>
      <c r="B11990" s="4">
        <v>45472.5053125</v>
      </c>
      <c r="C11990" s="3" t="s">
        <v>3</v>
      </c>
    </row>
    <row r="11991">
      <c r="A11991" s="3">
        <v>3300.0</v>
      </c>
      <c r="B11991" s="4">
        <v>45472.571909722225</v>
      </c>
      <c r="C11991" s="3" t="s">
        <v>5</v>
      </c>
    </row>
    <row r="11992">
      <c r="A11992" s="3">
        <v>1439.0</v>
      </c>
      <c r="B11992" s="4">
        <v>45472.60318287037</v>
      </c>
      <c r="C11992" s="3" t="s">
        <v>6</v>
      </c>
    </row>
    <row r="11993">
      <c r="A11993" s="3">
        <v>5913.0</v>
      </c>
      <c r="B11993" s="4">
        <v>45472.603854166664</v>
      </c>
      <c r="C11993" s="3" t="s">
        <v>3</v>
      </c>
    </row>
    <row r="11994">
      <c r="A11994" s="3">
        <v>6956.0</v>
      </c>
      <c r="B11994" s="4">
        <v>45472.64202546296</v>
      </c>
      <c r="C11994" s="3" t="s">
        <v>3</v>
      </c>
    </row>
    <row r="11995">
      <c r="A11995" s="3">
        <v>1181.0</v>
      </c>
      <c r="B11995" s="4">
        <v>45472.64224537037</v>
      </c>
      <c r="C11995" s="3" t="s">
        <v>6</v>
      </c>
    </row>
    <row r="11996">
      <c r="A11996" s="3">
        <v>5980.0</v>
      </c>
      <c r="B11996" s="4">
        <v>45472.6584375</v>
      </c>
      <c r="C11996" s="3" t="s">
        <v>3</v>
      </c>
    </row>
    <row r="11997">
      <c r="A11997" s="3">
        <v>2586.0</v>
      </c>
      <c r="B11997" s="4">
        <v>45472.74407407407</v>
      </c>
      <c r="C11997" s="3" t="s">
        <v>4</v>
      </c>
    </row>
    <row r="11998">
      <c r="A11998" s="3">
        <v>3401.0</v>
      </c>
      <c r="B11998" s="4">
        <v>45472.76299768518</v>
      </c>
      <c r="C11998" s="3" t="s">
        <v>4</v>
      </c>
    </row>
    <row r="11999">
      <c r="A11999" s="3">
        <v>1198.0</v>
      </c>
      <c r="B11999" s="4">
        <v>45472.79204861111</v>
      </c>
      <c r="C11999" s="3" t="s">
        <v>7</v>
      </c>
    </row>
    <row r="12000">
      <c r="A12000" s="3">
        <v>1405.0</v>
      </c>
      <c r="B12000" s="4">
        <v>45472.79263888889</v>
      </c>
      <c r="C12000" s="3" t="s">
        <v>4</v>
      </c>
    </row>
    <row r="12001">
      <c r="A12001" s="3">
        <v>4082.0</v>
      </c>
      <c r="B12001" s="4">
        <v>45472.8178587963</v>
      </c>
      <c r="C12001" s="3" t="s">
        <v>3</v>
      </c>
    </row>
    <row r="12002">
      <c r="A12002" s="3">
        <v>3168.0</v>
      </c>
      <c r="B12002" s="4">
        <v>45472.84722222222</v>
      </c>
      <c r="C12002" s="3" t="s">
        <v>4</v>
      </c>
    </row>
    <row r="12003">
      <c r="A12003" s="3">
        <v>2586.0</v>
      </c>
      <c r="B12003" s="4">
        <v>45472.84741898148</v>
      </c>
      <c r="C12003" s="3" t="s">
        <v>3</v>
      </c>
    </row>
    <row r="12004">
      <c r="A12004" s="3">
        <v>5216.0</v>
      </c>
      <c r="B12004" s="4">
        <v>45472.85456018519</v>
      </c>
      <c r="C12004" s="3" t="s">
        <v>4</v>
      </c>
    </row>
    <row r="12005">
      <c r="A12005" s="3">
        <v>6430.0</v>
      </c>
      <c r="B12005" s="4">
        <v>45472.85834490741</v>
      </c>
      <c r="C12005" s="3" t="s">
        <v>3</v>
      </c>
    </row>
    <row r="12006">
      <c r="A12006" s="3">
        <v>242.0</v>
      </c>
      <c r="B12006" s="4">
        <v>45472.87542824074</v>
      </c>
      <c r="C12006" s="3" t="s">
        <v>4</v>
      </c>
    </row>
    <row r="12007">
      <c r="A12007" s="3">
        <v>5491.0</v>
      </c>
      <c r="B12007" s="4">
        <v>45472.91504629629</v>
      </c>
      <c r="C12007" s="3" t="s">
        <v>3</v>
      </c>
    </row>
    <row r="12008">
      <c r="A12008" s="3">
        <v>5993.0</v>
      </c>
      <c r="B12008" s="4">
        <v>45472.93444444444</v>
      </c>
      <c r="C12008" s="3" t="s">
        <v>7</v>
      </c>
    </row>
    <row r="12009">
      <c r="A12009" s="3">
        <v>5217.0</v>
      </c>
      <c r="B12009" s="4">
        <v>45472.9390625</v>
      </c>
      <c r="C12009" s="3" t="s">
        <v>4</v>
      </c>
    </row>
    <row r="12010">
      <c r="A12010" s="3">
        <v>1941.0</v>
      </c>
      <c r="B12010" s="4">
        <v>45472.97961805556</v>
      </c>
      <c r="C12010" s="3" t="s">
        <v>3</v>
      </c>
    </row>
    <row r="12011">
      <c r="A12011" s="3">
        <v>5236.0</v>
      </c>
      <c r="B12011" s="4">
        <v>45472.98633101852</v>
      </c>
      <c r="C12011" s="3" t="s">
        <v>5</v>
      </c>
    </row>
    <row r="12012">
      <c r="A12012" s="3">
        <v>6142.0</v>
      </c>
      <c r="B12012" s="4">
        <v>45473.04337962963</v>
      </c>
      <c r="C12012" s="3" t="s">
        <v>3</v>
      </c>
    </row>
    <row r="12013">
      <c r="A12013" s="3">
        <v>4081.0</v>
      </c>
      <c r="B12013" s="4">
        <v>45473.063680555555</v>
      </c>
      <c r="C12013" s="3" t="s">
        <v>3</v>
      </c>
    </row>
    <row r="12014">
      <c r="A12014" s="3">
        <v>426.0</v>
      </c>
      <c r="B12014" s="4">
        <v>45473.078888888886</v>
      </c>
      <c r="C12014" s="3" t="s">
        <v>6</v>
      </c>
    </row>
    <row r="12015">
      <c r="A12015" s="3">
        <v>5217.0</v>
      </c>
      <c r="B12015" s="4">
        <v>45473.0805787037</v>
      </c>
      <c r="C12015" s="3" t="s">
        <v>7</v>
      </c>
    </row>
    <row r="12016">
      <c r="A12016" s="3">
        <v>4329.0</v>
      </c>
      <c r="B12016" s="4">
        <v>45473.13217592592</v>
      </c>
      <c r="C12016" s="3" t="s">
        <v>5</v>
      </c>
    </row>
    <row r="12017">
      <c r="A12017" s="3">
        <v>2437.0</v>
      </c>
      <c r="B12017" s="4">
        <v>45473.13379629629</v>
      </c>
      <c r="C12017" s="3" t="s">
        <v>4</v>
      </c>
    </row>
    <row r="12018">
      <c r="A12018" s="3">
        <v>7905.0</v>
      </c>
      <c r="B12018" s="4">
        <v>45473.15206018519</v>
      </c>
      <c r="C12018" s="3" t="s">
        <v>3</v>
      </c>
    </row>
    <row r="12019">
      <c r="A12019" s="3">
        <v>2437.0</v>
      </c>
      <c r="B12019" s="4">
        <v>45473.159467592595</v>
      </c>
      <c r="C12019" s="3" t="s">
        <v>3</v>
      </c>
    </row>
    <row r="12020">
      <c r="A12020" s="3">
        <v>426.0</v>
      </c>
      <c r="B12020" s="4">
        <v>45473.163981481484</v>
      </c>
      <c r="C12020" s="3" t="s">
        <v>5</v>
      </c>
    </row>
    <row r="12021">
      <c r="A12021" s="3">
        <v>7043.0</v>
      </c>
      <c r="B12021" s="4">
        <v>45473.17864583333</v>
      </c>
      <c r="C12021" s="3" t="s">
        <v>3</v>
      </c>
    </row>
    <row r="12022">
      <c r="A12022" s="3">
        <v>7312.0</v>
      </c>
      <c r="B12022" s="4">
        <v>45473.18650462963</v>
      </c>
      <c r="C12022" s="3" t="s">
        <v>3</v>
      </c>
    </row>
    <row r="12023">
      <c r="A12023" s="3">
        <v>621.0</v>
      </c>
      <c r="B12023" s="4">
        <v>45473.21177083333</v>
      </c>
      <c r="C12023" s="3" t="s">
        <v>7</v>
      </c>
    </row>
    <row r="12024">
      <c r="A12024" s="3">
        <v>6430.0</v>
      </c>
      <c r="B12024" s="4">
        <v>45473.225439814814</v>
      </c>
      <c r="C12024" s="3" t="s">
        <v>4</v>
      </c>
    </row>
    <row r="12025">
      <c r="A12025" s="3">
        <v>2885.0</v>
      </c>
      <c r="B12025" s="4">
        <v>45473.247037037036</v>
      </c>
      <c r="C12025" s="3" t="s">
        <v>7</v>
      </c>
    </row>
    <row r="12026">
      <c r="A12026" s="3">
        <v>5511.0</v>
      </c>
      <c r="B12026" s="4">
        <v>45473.26768518519</v>
      </c>
      <c r="C12026" s="3" t="s">
        <v>4</v>
      </c>
    </row>
    <row r="12027">
      <c r="A12027" s="3">
        <v>4081.0</v>
      </c>
      <c r="B12027" s="4">
        <v>45473.309386574074</v>
      </c>
      <c r="C12027" s="3" t="s">
        <v>4</v>
      </c>
    </row>
    <row r="12028">
      <c r="A12028" s="3">
        <v>402.0</v>
      </c>
      <c r="B12028" s="4">
        <v>45473.312581018516</v>
      </c>
      <c r="C12028" s="3" t="s">
        <v>3</v>
      </c>
    </row>
    <row r="12029">
      <c r="A12029" s="3">
        <v>6877.0</v>
      </c>
      <c r="B12029" s="4">
        <v>45473.325891203705</v>
      </c>
      <c r="C12029" s="3" t="s">
        <v>3</v>
      </c>
    </row>
    <row r="12030">
      <c r="A12030" s="3">
        <v>7616.0</v>
      </c>
      <c r="B12030" s="4">
        <v>45473.33667824074</v>
      </c>
      <c r="C12030" s="3" t="s">
        <v>3</v>
      </c>
    </row>
    <row r="12031">
      <c r="A12031" s="3">
        <v>2691.0</v>
      </c>
      <c r="B12031" s="4">
        <v>45473.34856481481</v>
      </c>
      <c r="C12031" s="3" t="s">
        <v>4</v>
      </c>
    </row>
    <row r="12032">
      <c r="A12032" s="3">
        <v>7051.0</v>
      </c>
      <c r="B12032" s="4">
        <v>45473.35082175926</v>
      </c>
      <c r="C12032" s="3" t="s">
        <v>4</v>
      </c>
    </row>
    <row r="12033">
      <c r="A12033" s="3">
        <v>5389.0</v>
      </c>
      <c r="B12033" s="4">
        <v>45473.35189814815</v>
      </c>
      <c r="C12033" s="3" t="s">
        <v>4</v>
      </c>
    </row>
    <row r="12034">
      <c r="A12034" s="3">
        <v>7051.0</v>
      </c>
      <c r="B12034" s="4">
        <v>45473.358310185184</v>
      </c>
      <c r="C12034" s="3" t="s">
        <v>3</v>
      </c>
    </row>
    <row r="12035">
      <c r="A12035" s="3">
        <v>6638.0</v>
      </c>
      <c r="B12035" s="4">
        <v>45473.3596412037</v>
      </c>
      <c r="C12035" s="3" t="s">
        <v>6</v>
      </c>
    </row>
    <row r="12036">
      <c r="A12036" s="3">
        <v>6555.0</v>
      </c>
      <c r="B12036" s="4">
        <v>45473.3703125</v>
      </c>
      <c r="C12036" s="3" t="s">
        <v>3</v>
      </c>
    </row>
    <row r="12037">
      <c r="A12037" s="3">
        <v>1198.0</v>
      </c>
      <c r="B12037" s="4">
        <v>45473.3843287037</v>
      </c>
      <c r="C12037" s="3" t="s">
        <v>4</v>
      </c>
    </row>
    <row r="12038">
      <c r="A12038" s="3">
        <v>5328.0</v>
      </c>
      <c r="B12038" s="4">
        <v>45473.38618055556</v>
      </c>
      <c r="C12038" s="3" t="s">
        <v>3</v>
      </c>
    </row>
    <row r="12039">
      <c r="A12039" s="3">
        <v>3494.0</v>
      </c>
      <c r="B12039" s="4">
        <v>45473.414814814816</v>
      </c>
      <c r="C12039" s="3" t="s">
        <v>3</v>
      </c>
    </row>
    <row r="12040">
      <c r="A12040" s="3">
        <v>3430.0</v>
      </c>
      <c r="B12040" s="4">
        <v>45473.436585648145</v>
      </c>
      <c r="C12040" s="3" t="s">
        <v>7</v>
      </c>
    </row>
    <row r="12041">
      <c r="A12041" s="3">
        <v>1040.0</v>
      </c>
      <c r="B12041" s="4">
        <v>45473.43871527778</v>
      </c>
      <c r="C12041" s="3" t="s">
        <v>5</v>
      </c>
    </row>
    <row r="12042">
      <c r="A12042" s="3">
        <v>4906.0</v>
      </c>
      <c r="B12042" s="4">
        <v>45473.470046296294</v>
      </c>
      <c r="C12042" s="3" t="s">
        <v>4</v>
      </c>
    </row>
    <row r="12043">
      <c r="A12043" s="3">
        <v>4082.0</v>
      </c>
      <c r="B12043" s="4">
        <v>45473.53702546296</v>
      </c>
      <c r="C12043" s="3" t="s">
        <v>4</v>
      </c>
    </row>
    <row r="12044">
      <c r="A12044" s="3">
        <v>1941.0</v>
      </c>
      <c r="B12044" s="4">
        <v>45473.53737268518</v>
      </c>
      <c r="C12044" s="3" t="s">
        <v>6</v>
      </c>
    </row>
    <row r="12045">
      <c r="A12045" s="3">
        <v>4906.0</v>
      </c>
      <c r="B12045" s="4">
        <v>45473.54400462963</v>
      </c>
      <c r="C12045" s="3" t="s">
        <v>3</v>
      </c>
    </row>
    <row r="12046">
      <c r="A12046" s="3">
        <v>4081.0</v>
      </c>
      <c r="B12046" s="4">
        <v>45473.58545138889</v>
      </c>
      <c r="C12046" s="3" t="s">
        <v>5</v>
      </c>
    </row>
    <row r="12047">
      <c r="A12047" s="3">
        <v>2587.0</v>
      </c>
      <c r="B12047" s="4">
        <v>45473.587905092594</v>
      </c>
      <c r="C12047" s="3" t="s">
        <v>7</v>
      </c>
    </row>
    <row r="12048">
      <c r="A12048" s="3">
        <v>409.0</v>
      </c>
      <c r="B12048" s="4">
        <v>45473.60928240741</v>
      </c>
      <c r="C12048" s="3" t="s">
        <v>6</v>
      </c>
    </row>
    <row r="12049">
      <c r="A12049" s="3">
        <v>1280.0</v>
      </c>
      <c r="B12049" s="4">
        <v>45473.61635416667</v>
      </c>
      <c r="C12049" s="3" t="s">
        <v>3</v>
      </c>
    </row>
    <row r="12050">
      <c r="A12050" s="3">
        <v>2691.0</v>
      </c>
      <c r="B12050" s="4">
        <v>45473.65023148148</v>
      </c>
      <c r="C12050" s="3" t="s">
        <v>3</v>
      </c>
    </row>
    <row r="12051">
      <c r="A12051" s="3">
        <v>4367.0</v>
      </c>
      <c r="B12051" s="4">
        <v>45473.6550462963</v>
      </c>
      <c r="C12051" s="3" t="s">
        <v>3</v>
      </c>
    </row>
    <row r="12052">
      <c r="A12052" s="3">
        <v>6813.0</v>
      </c>
      <c r="B12052" s="4">
        <v>45473.66138888889</v>
      </c>
      <c r="C12052" s="3" t="s">
        <v>6</v>
      </c>
    </row>
    <row r="12053">
      <c r="A12053" s="3">
        <v>5376.0</v>
      </c>
      <c r="B12053" s="4">
        <v>45473.68891203704</v>
      </c>
      <c r="C12053" s="3" t="s">
        <v>3</v>
      </c>
    </row>
    <row r="12054">
      <c r="A12054" s="3">
        <v>3040.0</v>
      </c>
      <c r="B12054" s="4">
        <v>45473.693761574075</v>
      </c>
      <c r="C12054" s="3" t="s">
        <v>3</v>
      </c>
    </row>
    <row r="12055">
      <c r="A12055" s="3">
        <v>97.0</v>
      </c>
      <c r="B12055" s="4">
        <v>45473.70076388889</v>
      </c>
      <c r="C12055" s="3" t="s">
        <v>3</v>
      </c>
    </row>
    <row r="12056">
      <c r="A12056" s="3">
        <v>5980.0</v>
      </c>
      <c r="B12056" s="4">
        <v>45473.70829861111</v>
      </c>
      <c r="C12056" s="3" t="s">
        <v>4</v>
      </c>
    </row>
    <row r="12057">
      <c r="A12057" s="3">
        <v>2006.0</v>
      </c>
      <c r="B12057" s="4">
        <v>45473.711875</v>
      </c>
      <c r="C12057" s="3" t="s">
        <v>4</v>
      </c>
    </row>
    <row r="12058">
      <c r="A12058" s="3">
        <v>6207.0</v>
      </c>
      <c r="B12058" s="4">
        <v>45473.71717592593</v>
      </c>
      <c r="C12058" s="3" t="s">
        <v>7</v>
      </c>
    </row>
    <row r="12059">
      <c r="A12059" s="3">
        <v>1693.0</v>
      </c>
      <c r="B12059" s="4">
        <v>45473.76850694444</v>
      </c>
      <c r="C12059" s="3" t="s">
        <v>3</v>
      </c>
    </row>
    <row r="12060">
      <c r="A12060" s="3">
        <v>231.0</v>
      </c>
      <c r="B12060" s="4">
        <v>45473.78822916667</v>
      </c>
      <c r="C12060" s="3" t="s">
        <v>4</v>
      </c>
    </row>
    <row r="12061">
      <c r="A12061" s="3">
        <v>4749.0</v>
      </c>
      <c r="B12061" s="4">
        <v>45473.83422453704</v>
      </c>
      <c r="C12061" s="3" t="s">
        <v>3</v>
      </c>
    </row>
    <row r="12062">
      <c r="A12062" s="3">
        <v>7288.0</v>
      </c>
      <c r="B12062" s="4">
        <v>45473.85439814815</v>
      </c>
      <c r="C12062" s="3" t="s">
        <v>5</v>
      </c>
    </row>
    <row r="12063">
      <c r="A12063" s="3">
        <v>7721.0</v>
      </c>
      <c r="B12063" s="4">
        <v>45473.8562962963</v>
      </c>
      <c r="C12063" s="3" t="s">
        <v>3</v>
      </c>
    </row>
    <row r="12064">
      <c r="A12064" s="3">
        <v>1466.0</v>
      </c>
      <c r="B12064" s="4">
        <v>45473.85763888889</v>
      </c>
      <c r="C12064" s="3" t="s">
        <v>7</v>
      </c>
    </row>
    <row r="12065">
      <c r="A12065" s="3">
        <v>3040.0</v>
      </c>
      <c r="B12065" s="4">
        <v>45473.87966435185</v>
      </c>
      <c r="C12065" s="3" t="s">
        <v>4</v>
      </c>
    </row>
    <row r="12066">
      <c r="A12066" s="3">
        <v>422.0</v>
      </c>
      <c r="B12066" s="4">
        <v>45473.90422453704</v>
      </c>
      <c r="C12066" s="3" t="s">
        <v>3</v>
      </c>
    </row>
    <row r="12067">
      <c r="A12067" s="3">
        <v>1061.0</v>
      </c>
      <c r="B12067" s="4">
        <v>45473.930763888886</v>
      </c>
      <c r="C12067" s="3" t="s">
        <v>3</v>
      </c>
    </row>
    <row r="12068">
      <c r="A12068" s="3">
        <v>5662.0</v>
      </c>
      <c r="B12068" s="4">
        <v>45473.94378472222</v>
      </c>
      <c r="C12068" s="3" t="s">
        <v>3</v>
      </c>
    </row>
    <row r="12069">
      <c r="A12069" s="3">
        <v>6321.0</v>
      </c>
      <c r="B12069" s="4">
        <v>45473.94689814815</v>
      </c>
      <c r="C12069" s="3" t="s">
        <v>3</v>
      </c>
    </row>
    <row r="12070">
      <c r="A12070" s="3">
        <v>1280.0</v>
      </c>
      <c r="B12070" s="4">
        <v>45473.95798611111</v>
      </c>
      <c r="C12070" s="3" t="s">
        <v>4</v>
      </c>
    </row>
    <row r="12071">
      <c r="A12071" s="3">
        <v>6142.0</v>
      </c>
      <c r="B12071" s="4">
        <v>45473.968935185185</v>
      </c>
      <c r="C12071" s="3" t="s">
        <v>5</v>
      </c>
    </row>
    <row r="12072">
      <c r="A12072" s="3">
        <v>1371.0</v>
      </c>
      <c r="B12072" s="4">
        <v>45473.99784722222</v>
      </c>
      <c r="C12072" s="3" t="s">
        <v>6</v>
      </c>
    </row>
    <row r="12073">
      <c r="A12073" s="3">
        <v>1466.0</v>
      </c>
      <c r="B12073" s="4">
        <v>45473.99998842592</v>
      </c>
      <c r="C12073" s="3" t="s">
        <v>4</v>
      </c>
    </row>
    <row r="12074">
      <c r="A12074" s="3">
        <v>4906.0</v>
      </c>
      <c r="B12074" s="4">
        <v>45474.00644675926</v>
      </c>
      <c r="C12074" s="3" t="s">
        <v>7</v>
      </c>
    </row>
    <row r="12075">
      <c r="A12075" s="3">
        <v>7417.0</v>
      </c>
      <c r="B12075" s="4">
        <v>45474.02982638889</v>
      </c>
      <c r="C12075" s="3" t="s">
        <v>7</v>
      </c>
    </row>
    <row r="12076">
      <c r="A12076" s="3">
        <v>1719.0</v>
      </c>
      <c r="B12076" s="4">
        <v>45474.049479166664</v>
      </c>
      <c r="C12076" s="3" t="s">
        <v>6</v>
      </c>
    </row>
    <row r="12077">
      <c r="A12077" s="3">
        <v>1955.0</v>
      </c>
      <c r="B12077" s="4">
        <v>45474.10018518518</v>
      </c>
      <c r="C12077" s="3" t="s">
        <v>7</v>
      </c>
    </row>
    <row r="12078">
      <c r="A12078" s="3">
        <v>5217.0</v>
      </c>
      <c r="B12078" s="4">
        <v>45474.246516203704</v>
      </c>
      <c r="C12078" s="3" t="s">
        <v>5</v>
      </c>
    </row>
    <row r="12079">
      <c r="A12079" s="3">
        <v>3263.0</v>
      </c>
      <c r="B12079" s="4">
        <v>45474.278657407405</v>
      </c>
      <c r="C12079" s="3" t="s">
        <v>6</v>
      </c>
    </row>
    <row r="12080">
      <c r="A12080" s="3">
        <v>1220.0</v>
      </c>
      <c r="B12080" s="4">
        <v>45474.309479166666</v>
      </c>
      <c r="C12080" s="3" t="s">
        <v>6</v>
      </c>
    </row>
    <row r="12081">
      <c r="A12081" s="3">
        <v>2192.0</v>
      </c>
      <c r="B12081" s="4">
        <v>45474.360300925924</v>
      </c>
      <c r="C12081" s="3" t="s">
        <v>6</v>
      </c>
    </row>
    <row r="12082">
      <c r="A12082" s="3">
        <v>2923.0</v>
      </c>
      <c r="B12082" s="4">
        <v>45474.38315972222</v>
      </c>
      <c r="C12082" s="3" t="s">
        <v>7</v>
      </c>
    </row>
    <row r="12083">
      <c r="A12083" s="3">
        <v>7711.0</v>
      </c>
      <c r="B12083" s="4">
        <v>45474.44357638889</v>
      </c>
      <c r="C12083" s="3" t="s">
        <v>6</v>
      </c>
    </row>
    <row r="12084">
      <c r="A12084" s="3">
        <v>3040.0</v>
      </c>
      <c r="B12084" s="4">
        <v>45474.44710648148</v>
      </c>
      <c r="C12084" s="3" t="s">
        <v>7</v>
      </c>
    </row>
    <row r="12085">
      <c r="A12085" s="3">
        <v>4672.0</v>
      </c>
      <c r="B12085" s="4">
        <v>45474.455046296294</v>
      </c>
      <c r="C12085" s="3" t="s">
        <v>6</v>
      </c>
    </row>
    <row r="12086">
      <c r="A12086" s="3">
        <v>97.0</v>
      </c>
      <c r="B12086" s="4">
        <v>45474.5009375</v>
      </c>
      <c r="C12086" s="3" t="s">
        <v>4</v>
      </c>
    </row>
    <row r="12087">
      <c r="A12087" s="3">
        <v>1159.0</v>
      </c>
      <c r="B12087" s="4">
        <v>45474.518217592595</v>
      </c>
      <c r="C12087" s="3" t="s">
        <v>6</v>
      </c>
    </row>
    <row r="12088">
      <c r="A12088" s="3">
        <v>7312.0</v>
      </c>
      <c r="B12088" s="4">
        <v>45474.519837962966</v>
      </c>
      <c r="C12088" s="3" t="s">
        <v>4</v>
      </c>
    </row>
    <row r="12089">
      <c r="A12089" s="3">
        <v>3514.0</v>
      </c>
      <c r="B12089" s="4">
        <v>45474.53450231482</v>
      </c>
      <c r="C12089" s="3" t="s">
        <v>7</v>
      </c>
    </row>
    <row r="12090">
      <c r="A12090" s="3">
        <v>5913.0</v>
      </c>
      <c r="B12090" s="4">
        <v>45474.57045138889</v>
      </c>
      <c r="C12090" s="3" t="s">
        <v>7</v>
      </c>
    </row>
    <row r="12091">
      <c r="A12091" s="3">
        <v>3916.0</v>
      </c>
      <c r="B12091" s="4">
        <v>45474.637395833335</v>
      </c>
      <c r="C12091" s="3" t="s">
        <v>6</v>
      </c>
    </row>
    <row r="12092">
      <c r="A12092" s="3">
        <v>2355.0</v>
      </c>
      <c r="B12092" s="4">
        <v>45474.65143518519</v>
      </c>
      <c r="C12092" s="3" t="s">
        <v>7</v>
      </c>
    </row>
    <row r="12093">
      <c r="A12093" s="3">
        <v>6956.0</v>
      </c>
      <c r="B12093" s="4">
        <v>45474.66074074074</v>
      </c>
      <c r="C12093" s="3" t="s">
        <v>4</v>
      </c>
    </row>
    <row r="12094">
      <c r="A12094" s="3">
        <v>1594.0</v>
      </c>
      <c r="B12094" s="4">
        <v>45474.662407407406</v>
      </c>
      <c r="C12094" s="3" t="s">
        <v>6</v>
      </c>
    </row>
    <row r="12095">
      <c r="A12095" s="3">
        <v>1955.0</v>
      </c>
      <c r="B12095" s="4">
        <v>45474.67633101852</v>
      </c>
      <c r="C12095" s="3" t="s">
        <v>4</v>
      </c>
    </row>
    <row r="12096">
      <c r="A12096" s="3">
        <v>938.0</v>
      </c>
      <c r="B12096" s="4">
        <v>45474.677152777775</v>
      </c>
      <c r="C12096" s="3" t="s">
        <v>7</v>
      </c>
    </row>
    <row r="12097">
      <c r="A12097" s="3">
        <v>5328.0</v>
      </c>
      <c r="B12097" s="4">
        <v>45474.72431712963</v>
      </c>
      <c r="C12097" s="3" t="s">
        <v>4</v>
      </c>
    </row>
    <row r="12098">
      <c r="A12098" s="3">
        <v>6853.0</v>
      </c>
      <c r="B12098" s="4">
        <v>45474.751979166664</v>
      </c>
      <c r="C12098" s="3" t="s">
        <v>6</v>
      </c>
    </row>
    <row r="12099">
      <c r="A12099" s="3">
        <v>7417.0</v>
      </c>
      <c r="B12099" s="4">
        <v>45474.79210648148</v>
      </c>
      <c r="C12099" s="3" t="s">
        <v>6</v>
      </c>
    </row>
    <row r="12100">
      <c r="A12100" s="3">
        <v>426.0</v>
      </c>
      <c r="B12100" s="4">
        <v>45474.79855324074</v>
      </c>
      <c r="C12100" s="3" t="s">
        <v>7</v>
      </c>
    </row>
    <row r="12101">
      <c r="A12101" s="3">
        <v>4367.0</v>
      </c>
      <c r="B12101" s="4">
        <v>45474.800844907404</v>
      </c>
      <c r="C12101" s="3" t="s">
        <v>4</v>
      </c>
    </row>
    <row r="12102">
      <c r="A12102" s="3">
        <v>7043.0</v>
      </c>
      <c r="B12102" s="4">
        <v>45474.806597222225</v>
      </c>
      <c r="C12102" s="3" t="s">
        <v>4</v>
      </c>
    </row>
    <row r="12103">
      <c r="A12103" s="3">
        <v>2587.0</v>
      </c>
      <c r="B12103" s="4">
        <v>45474.824328703704</v>
      </c>
      <c r="C12103" s="3" t="s">
        <v>5</v>
      </c>
    </row>
    <row r="12104">
      <c r="A12104" s="3">
        <v>1742.0</v>
      </c>
      <c r="B12104" s="4">
        <v>45474.83829861111</v>
      </c>
      <c r="C12104" s="3" t="s">
        <v>5</v>
      </c>
    </row>
    <row r="12105">
      <c r="A12105" s="3">
        <v>5235.0</v>
      </c>
      <c r="B12105" s="4">
        <v>45474.83863425926</v>
      </c>
      <c r="C12105" s="3" t="s">
        <v>6</v>
      </c>
    </row>
    <row r="12106">
      <c r="A12106" s="3">
        <v>4467.0</v>
      </c>
      <c r="B12106" s="4">
        <v>45474.83951388889</v>
      </c>
      <c r="C12106" s="3" t="s">
        <v>6</v>
      </c>
    </row>
    <row r="12107">
      <c r="A12107" s="3">
        <v>2130.0</v>
      </c>
      <c r="B12107" s="4">
        <v>45474.85162037037</v>
      </c>
      <c r="C12107" s="3" t="s">
        <v>4</v>
      </c>
    </row>
    <row r="12108">
      <c r="A12108" s="3">
        <v>5328.0</v>
      </c>
      <c r="B12108" s="4">
        <v>45474.86954861111</v>
      </c>
      <c r="C12108" s="3" t="s">
        <v>7</v>
      </c>
    </row>
    <row r="12109">
      <c r="A12109" s="3">
        <v>7692.0</v>
      </c>
      <c r="B12109" s="4">
        <v>45474.89268518519</v>
      </c>
      <c r="C12109" s="3" t="s">
        <v>6</v>
      </c>
    </row>
    <row r="12110">
      <c r="A12110" s="3">
        <v>2885.0</v>
      </c>
      <c r="B12110" s="4">
        <v>45474.90020833333</v>
      </c>
      <c r="C12110" s="3" t="s">
        <v>6</v>
      </c>
    </row>
    <row r="12111">
      <c r="A12111" s="3">
        <v>402.0</v>
      </c>
      <c r="B12111" s="4">
        <v>45474.91601851852</v>
      </c>
      <c r="C12111" s="3" t="s">
        <v>4</v>
      </c>
    </row>
    <row r="12112">
      <c r="A12112" s="3">
        <v>4793.0</v>
      </c>
      <c r="B12112" s="4">
        <v>45474.9549537037</v>
      </c>
      <c r="C12112" s="3" t="s">
        <v>4</v>
      </c>
    </row>
    <row r="12113">
      <c r="A12113" s="3">
        <v>5913.0</v>
      </c>
      <c r="B12113" s="4">
        <v>45474.98434027778</v>
      </c>
      <c r="C12113" s="3" t="s">
        <v>4</v>
      </c>
    </row>
    <row r="12114">
      <c r="A12114" s="3">
        <v>1198.0</v>
      </c>
      <c r="B12114" s="4">
        <v>45474.98684027778</v>
      </c>
      <c r="C12114" s="3" t="s">
        <v>6</v>
      </c>
    </row>
    <row r="12115">
      <c r="A12115" s="3">
        <v>2070.0</v>
      </c>
      <c r="B12115" s="4">
        <v>45475.01232638889</v>
      </c>
      <c r="C12115" s="3" t="s">
        <v>6</v>
      </c>
    </row>
    <row r="12116">
      <c r="A12116" s="3">
        <v>6956.0</v>
      </c>
      <c r="B12116" s="4">
        <v>45475.039131944446</v>
      </c>
      <c r="C12116" s="3" t="s">
        <v>6</v>
      </c>
    </row>
    <row r="12117">
      <c r="A12117" s="3">
        <v>1040.0</v>
      </c>
      <c r="B12117" s="4">
        <v>45475.0444212963</v>
      </c>
      <c r="C12117" s="3" t="s">
        <v>7</v>
      </c>
    </row>
    <row r="12118">
      <c r="A12118" s="3">
        <v>402.0</v>
      </c>
      <c r="B12118" s="4">
        <v>45475.11158564815</v>
      </c>
      <c r="C12118" s="3" t="s">
        <v>6</v>
      </c>
    </row>
    <row r="12119">
      <c r="A12119" s="3">
        <v>7936.0</v>
      </c>
      <c r="B12119" s="4">
        <v>45475.123078703706</v>
      </c>
      <c r="C12119" s="3" t="s">
        <v>7</v>
      </c>
    </row>
    <row r="12120">
      <c r="A12120" s="3">
        <v>4839.0</v>
      </c>
      <c r="B12120" s="4">
        <v>45475.12761574074</v>
      </c>
      <c r="C12120" s="3" t="s">
        <v>6</v>
      </c>
    </row>
    <row r="12121">
      <c r="A12121" s="3">
        <v>422.0</v>
      </c>
      <c r="B12121" s="4">
        <v>45475.12773148148</v>
      </c>
      <c r="C12121" s="3" t="s">
        <v>4</v>
      </c>
    </row>
    <row r="12122">
      <c r="A12122" s="3">
        <v>4520.0</v>
      </c>
      <c r="B12122" s="4">
        <v>45475.13107638889</v>
      </c>
      <c r="C12122" s="3" t="s">
        <v>6</v>
      </c>
    </row>
    <row r="12123">
      <c r="A12123" s="3">
        <v>1466.0</v>
      </c>
      <c r="B12123" s="4">
        <v>45475.14239583333</v>
      </c>
      <c r="C12123" s="3" t="s">
        <v>6</v>
      </c>
    </row>
    <row r="12124">
      <c r="A12124" s="3">
        <v>161.0</v>
      </c>
      <c r="B12124" s="4">
        <v>45475.14891203704</v>
      </c>
      <c r="C12124" s="3" t="s">
        <v>4</v>
      </c>
    </row>
    <row r="12125">
      <c r="A12125" s="3">
        <v>6430.0</v>
      </c>
      <c r="B12125" s="4">
        <v>45475.1515625</v>
      </c>
      <c r="C12125" s="3" t="s">
        <v>7</v>
      </c>
    </row>
    <row r="12126">
      <c r="A12126" s="3">
        <v>938.0</v>
      </c>
      <c r="B12126" s="4">
        <v>45475.25111111111</v>
      </c>
      <c r="C12126" s="3" t="s">
        <v>6</v>
      </c>
    </row>
    <row r="12127">
      <c r="A12127" s="3">
        <v>1941.0</v>
      </c>
      <c r="B12127" s="4">
        <v>45475.323842592596</v>
      </c>
      <c r="C12127" s="3" t="s">
        <v>7</v>
      </c>
    </row>
    <row r="12128">
      <c r="A12128" s="3">
        <v>1426.0</v>
      </c>
      <c r="B12128" s="4">
        <v>45475.45481481482</v>
      </c>
      <c r="C12128" s="3" t="s">
        <v>6</v>
      </c>
    </row>
    <row r="12129">
      <c r="A12129" s="3">
        <v>6142.0</v>
      </c>
      <c r="B12129" s="4">
        <v>45475.479895833334</v>
      </c>
      <c r="C12129" s="3" t="s">
        <v>4</v>
      </c>
    </row>
    <row r="12130">
      <c r="A12130" s="3">
        <v>297.0</v>
      </c>
      <c r="B12130" s="4">
        <v>45475.49679398148</v>
      </c>
      <c r="C12130" s="3" t="s">
        <v>5</v>
      </c>
    </row>
    <row r="12131">
      <c r="A12131" s="3">
        <v>231.0</v>
      </c>
      <c r="B12131" s="4">
        <v>45475.520520833335</v>
      </c>
      <c r="C12131" s="3" t="s">
        <v>5</v>
      </c>
    </row>
    <row r="12132">
      <c r="A12132" s="3">
        <v>4961.0</v>
      </c>
      <c r="B12132" s="4">
        <v>45475.52229166667</v>
      </c>
      <c r="C12132" s="3" t="s">
        <v>7</v>
      </c>
    </row>
    <row r="12133">
      <c r="A12133" s="3">
        <v>5150.0</v>
      </c>
      <c r="B12133" s="4">
        <v>45475.589583333334</v>
      </c>
      <c r="C12133" s="3" t="s">
        <v>7</v>
      </c>
    </row>
    <row r="12134">
      <c r="A12134" s="3">
        <v>7616.0</v>
      </c>
      <c r="B12134" s="4">
        <v>45475.61537037037</v>
      </c>
      <c r="C12134" s="3" t="s">
        <v>5</v>
      </c>
    </row>
    <row r="12135">
      <c r="A12135" s="3">
        <v>1740.0</v>
      </c>
      <c r="B12135" s="4">
        <v>45475.65758101852</v>
      </c>
      <c r="C12135" s="3" t="s">
        <v>7</v>
      </c>
    </row>
    <row r="12136">
      <c r="A12136" s="3">
        <v>2586.0</v>
      </c>
      <c r="B12136" s="4">
        <v>45475.66709490741</v>
      </c>
      <c r="C12136" s="3" t="s">
        <v>6</v>
      </c>
    </row>
    <row r="12137">
      <c r="A12137" s="3">
        <v>4906.0</v>
      </c>
      <c r="B12137" s="4">
        <v>45475.67177083333</v>
      </c>
      <c r="C12137" s="3" t="s">
        <v>6</v>
      </c>
    </row>
    <row r="12138">
      <c r="A12138" s="3">
        <v>1466.0</v>
      </c>
      <c r="B12138" s="4">
        <v>45475.68923611111</v>
      </c>
      <c r="C12138" s="3" t="s">
        <v>5</v>
      </c>
    </row>
    <row r="12139">
      <c r="A12139" s="3">
        <v>4520.0</v>
      </c>
      <c r="B12139" s="4">
        <v>45475.70228009259</v>
      </c>
      <c r="C12139" s="3" t="s">
        <v>7</v>
      </c>
    </row>
    <row r="12140">
      <c r="A12140" s="3">
        <v>6636.0</v>
      </c>
      <c r="B12140" s="4">
        <v>45475.726631944446</v>
      </c>
      <c r="C12140" s="3" t="s">
        <v>5</v>
      </c>
    </row>
    <row r="12141">
      <c r="A12141" s="3">
        <v>7312.0</v>
      </c>
      <c r="B12141" s="4">
        <v>45475.736122685186</v>
      </c>
      <c r="C12141" s="3" t="s">
        <v>6</v>
      </c>
    </row>
    <row r="12142">
      <c r="A12142" s="3">
        <v>5913.0</v>
      </c>
      <c r="B12142" s="4">
        <v>45475.7544212963</v>
      </c>
      <c r="C12142" s="3" t="s">
        <v>5</v>
      </c>
    </row>
    <row r="12143">
      <c r="A12143" s="3">
        <v>2192.0</v>
      </c>
      <c r="B12143" s="4">
        <v>45475.812002314815</v>
      </c>
      <c r="C12143" s="3" t="s">
        <v>7</v>
      </c>
    </row>
    <row r="12144">
      <c r="A12144" s="3">
        <v>5150.0</v>
      </c>
      <c r="B12144" s="4">
        <v>45475.82424768519</v>
      </c>
      <c r="C12144" s="3" t="s">
        <v>6</v>
      </c>
    </row>
    <row r="12145">
      <c r="A12145" s="3">
        <v>3494.0</v>
      </c>
      <c r="B12145" s="4">
        <v>45475.845729166664</v>
      </c>
      <c r="C12145" s="3" t="s">
        <v>4</v>
      </c>
    </row>
    <row r="12146">
      <c r="A12146" s="3">
        <v>6142.0</v>
      </c>
      <c r="B12146" s="4">
        <v>45475.879270833335</v>
      </c>
      <c r="C12146" s="3" t="s">
        <v>7</v>
      </c>
    </row>
    <row r="12147">
      <c r="A12147" s="3">
        <v>7384.0</v>
      </c>
      <c r="B12147" s="4">
        <v>45475.8834375</v>
      </c>
      <c r="C12147" s="3" t="s">
        <v>7</v>
      </c>
    </row>
    <row r="12148">
      <c r="A12148" s="3">
        <v>422.0</v>
      </c>
      <c r="B12148" s="4">
        <v>45475.88655092593</v>
      </c>
      <c r="C12148" s="3" t="s">
        <v>5</v>
      </c>
    </row>
    <row r="12149">
      <c r="A12149" s="3">
        <v>6396.0</v>
      </c>
      <c r="B12149" s="4">
        <v>45475.92298611111</v>
      </c>
      <c r="C12149" s="3" t="s">
        <v>7</v>
      </c>
    </row>
    <row r="12150">
      <c r="A12150" s="3">
        <v>4081.0</v>
      </c>
      <c r="B12150" s="4">
        <v>45475.94863425926</v>
      </c>
      <c r="C12150" s="3" t="s">
        <v>6</v>
      </c>
    </row>
    <row r="12151">
      <c r="A12151" s="3">
        <v>4906.0</v>
      </c>
      <c r="B12151" s="4">
        <v>45475.952673611115</v>
      </c>
      <c r="C12151" s="3" t="s">
        <v>5</v>
      </c>
    </row>
    <row r="12152">
      <c r="A12152" s="3">
        <v>4794.0</v>
      </c>
      <c r="B12152" s="4">
        <v>45476.08850694444</v>
      </c>
      <c r="C12152" s="3" t="s">
        <v>6</v>
      </c>
    </row>
    <row r="12153">
      <c r="A12153" s="3">
        <v>4082.0</v>
      </c>
      <c r="B12153" s="4">
        <v>45476.11466435185</v>
      </c>
      <c r="C12153" s="3" t="s">
        <v>5</v>
      </c>
    </row>
    <row r="12154">
      <c r="A12154" s="3">
        <v>97.0</v>
      </c>
      <c r="B12154" s="4">
        <v>45476.12054398148</v>
      </c>
      <c r="C12154" s="3" t="s">
        <v>7</v>
      </c>
    </row>
    <row r="12155">
      <c r="A12155" s="3">
        <v>474.0</v>
      </c>
      <c r="B12155" s="4">
        <v>45476.18232638889</v>
      </c>
      <c r="C12155" s="3" t="s">
        <v>6</v>
      </c>
    </row>
    <row r="12156">
      <c r="A12156" s="3">
        <v>7711.0</v>
      </c>
      <c r="B12156" s="4">
        <v>45476.18760416667</v>
      </c>
      <c r="C12156" s="3" t="s">
        <v>7</v>
      </c>
    </row>
    <row r="12157">
      <c r="A12157" s="3">
        <v>6430.0</v>
      </c>
      <c r="B12157" s="4">
        <v>45476.26390046296</v>
      </c>
      <c r="C12157" s="3" t="s">
        <v>6</v>
      </c>
    </row>
    <row r="12158">
      <c r="A12158" s="3">
        <v>5980.0</v>
      </c>
      <c r="B12158" s="4">
        <v>45476.38582175926</v>
      </c>
      <c r="C12158" s="3" t="s">
        <v>5</v>
      </c>
    </row>
    <row r="12159">
      <c r="A12159" s="3">
        <v>97.0</v>
      </c>
      <c r="B12159" s="4">
        <v>45476.41950231481</v>
      </c>
      <c r="C12159" s="3" t="s">
        <v>5</v>
      </c>
    </row>
    <row r="12160">
      <c r="A12160" s="3">
        <v>3040.0</v>
      </c>
      <c r="B12160" s="4">
        <v>45476.42563657407</v>
      </c>
      <c r="C12160" s="3" t="s">
        <v>6</v>
      </c>
    </row>
    <row r="12161">
      <c r="A12161" s="3">
        <v>6527.0</v>
      </c>
      <c r="B12161" s="4">
        <v>45476.443819444445</v>
      </c>
      <c r="C12161" s="3" t="s">
        <v>6</v>
      </c>
    </row>
    <row r="12162">
      <c r="A12162" s="3">
        <v>2437.0</v>
      </c>
      <c r="B12162" s="4">
        <v>45476.47789351852</v>
      </c>
      <c r="C12162" s="3" t="s">
        <v>6</v>
      </c>
    </row>
    <row r="12163">
      <c r="A12163" s="3">
        <v>7963.0</v>
      </c>
      <c r="B12163" s="4">
        <v>45476.53833333333</v>
      </c>
      <c r="C12163" s="3" t="s">
        <v>6</v>
      </c>
    </row>
    <row r="12164">
      <c r="A12164" s="3">
        <v>4672.0</v>
      </c>
      <c r="B12164" s="4">
        <v>45476.54326388889</v>
      </c>
      <c r="C12164" s="3" t="s">
        <v>7</v>
      </c>
    </row>
    <row r="12165">
      <c r="A12165" s="3">
        <v>5217.0</v>
      </c>
      <c r="B12165" s="4">
        <v>45476.65133101852</v>
      </c>
      <c r="C12165" s="3" t="s">
        <v>6</v>
      </c>
    </row>
    <row r="12166">
      <c r="A12166" s="3">
        <v>2355.0</v>
      </c>
      <c r="B12166" s="4">
        <v>45476.682071759256</v>
      </c>
      <c r="C12166" s="3" t="s">
        <v>6</v>
      </c>
    </row>
    <row r="12167">
      <c r="A12167" s="3">
        <v>3333.0</v>
      </c>
      <c r="B12167" s="4">
        <v>45476.75630787037</v>
      </c>
      <c r="C12167" s="3" t="s">
        <v>7</v>
      </c>
    </row>
    <row r="12168">
      <c r="A12168" s="3">
        <v>961.0</v>
      </c>
      <c r="B12168" s="4">
        <v>45476.95278935185</v>
      </c>
      <c r="C12168" s="3" t="s">
        <v>6</v>
      </c>
    </row>
    <row r="12169">
      <c r="A12169" s="3">
        <v>422.0</v>
      </c>
      <c r="B12169" s="4">
        <v>45477.29591435185</v>
      </c>
      <c r="C12169" s="3" t="s">
        <v>7</v>
      </c>
    </row>
    <row r="12170">
      <c r="A12170" s="3">
        <v>7312.0</v>
      </c>
      <c r="B12170" s="4">
        <v>45477.35371527778</v>
      </c>
      <c r="C12170" s="3" t="s">
        <v>5</v>
      </c>
    </row>
    <row r="12171">
      <c r="A12171" s="3">
        <v>4961.0</v>
      </c>
      <c r="B12171" s="4">
        <v>45477.401284722226</v>
      </c>
      <c r="C12171" s="3" t="s">
        <v>6</v>
      </c>
    </row>
    <row r="12172">
      <c r="A12172" s="3">
        <v>6956.0</v>
      </c>
      <c r="B12172" s="4">
        <v>45477.486134259256</v>
      </c>
      <c r="C12172" s="3" t="s">
        <v>7</v>
      </c>
    </row>
    <row r="12173">
      <c r="A12173" s="3">
        <v>6396.0</v>
      </c>
      <c r="B12173" s="4">
        <v>45477.52033564815</v>
      </c>
      <c r="C12173" s="3" t="s">
        <v>6</v>
      </c>
    </row>
    <row r="12174">
      <c r="A12174" s="3">
        <v>7288.0</v>
      </c>
      <c r="B12174" s="4">
        <v>45477.619837962964</v>
      </c>
      <c r="C12174" s="3" t="s">
        <v>6</v>
      </c>
    </row>
    <row r="12175">
      <c r="A12175" s="3">
        <v>3079.0</v>
      </c>
      <c r="B12175" s="4">
        <v>45477.625601851854</v>
      </c>
      <c r="C12175" s="3" t="s">
        <v>6</v>
      </c>
    </row>
    <row r="12176">
      <c r="A12176" s="3">
        <v>6636.0</v>
      </c>
      <c r="B12176" s="4">
        <v>45477.710023148145</v>
      </c>
      <c r="C12176" s="3" t="s">
        <v>7</v>
      </c>
    </row>
    <row r="12177">
      <c r="A12177" s="3">
        <v>7051.0</v>
      </c>
      <c r="B12177" s="4">
        <v>45477.752233796295</v>
      </c>
      <c r="C12177" s="3" t="s">
        <v>7</v>
      </c>
    </row>
    <row r="12178">
      <c r="A12178" s="3">
        <v>231.0</v>
      </c>
      <c r="B12178" s="4">
        <v>45477.99146990741</v>
      </c>
      <c r="C12178" s="3" t="s">
        <v>6</v>
      </c>
    </row>
    <row r="12179">
      <c r="A12179" s="3">
        <v>6142.0</v>
      </c>
      <c r="B12179" s="4">
        <v>45477.99704861111</v>
      </c>
      <c r="C12179" s="3" t="s">
        <v>6</v>
      </c>
    </row>
    <row r="12180">
      <c r="A12180" s="3">
        <v>1488.0</v>
      </c>
      <c r="B12180" s="4">
        <v>45478.173726851855</v>
      </c>
      <c r="C12180" s="3" t="s">
        <v>6</v>
      </c>
    </row>
    <row r="12181">
      <c r="A12181" s="3">
        <v>621.0</v>
      </c>
      <c r="B12181" s="4">
        <v>45478.207025462965</v>
      </c>
      <c r="C12181" s="3" t="s">
        <v>6</v>
      </c>
    </row>
    <row r="12182">
      <c r="A12182" s="3">
        <v>7936.0</v>
      </c>
      <c r="B12182" s="4">
        <v>45478.22603009259</v>
      </c>
      <c r="C12182" s="3" t="s">
        <v>6</v>
      </c>
    </row>
    <row r="12183">
      <c r="A12183" s="3">
        <v>7043.0</v>
      </c>
      <c r="B12183" s="4">
        <v>45478.24883101852</v>
      </c>
      <c r="C12183" s="3" t="s">
        <v>6</v>
      </c>
    </row>
    <row r="12184">
      <c r="A12184" s="3">
        <v>1040.0</v>
      </c>
      <c r="B12184" s="4">
        <v>45478.26480324074</v>
      </c>
      <c r="C12184" s="3" t="s">
        <v>6</v>
      </c>
    </row>
    <row r="12185">
      <c r="A12185" s="3">
        <v>3300.0</v>
      </c>
      <c r="B12185" s="4">
        <v>45478.352743055555</v>
      </c>
      <c r="C12185" s="3" t="s">
        <v>6</v>
      </c>
    </row>
    <row r="12186">
      <c r="A12186" s="3">
        <v>5980.0</v>
      </c>
      <c r="B12186" s="4">
        <v>45478.4584837963</v>
      </c>
      <c r="C12186" s="3" t="s">
        <v>7</v>
      </c>
    </row>
    <row r="12187">
      <c r="A12187" s="3">
        <v>1996.0</v>
      </c>
      <c r="B12187" s="4">
        <v>45478.50613425926</v>
      </c>
      <c r="C12187" s="3" t="s">
        <v>6</v>
      </c>
    </row>
    <row r="12188">
      <c r="A12188" s="3">
        <v>5328.0</v>
      </c>
      <c r="B12188" s="4">
        <v>45478.57231481482</v>
      </c>
      <c r="C12188" s="3" t="s">
        <v>6</v>
      </c>
    </row>
    <row r="12189">
      <c r="A12189" s="3">
        <v>1021.0</v>
      </c>
      <c r="B12189" s="4">
        <v>45478.58021990741</v>
      </c>
      <c r="C12189" s="3" t="s">
        <v>6</v>
      </c>
    </row>
    <row r="12190">
      <c r="A12190" s="3">
        <v>6636.0</v>
      </c>
      <c r="B12190" s="4">
        <v>45478.677141203705</v>
      </c>
      <c r="C12190" s="3" t="s">
        <v>6</v>
      </c>
    </row>
    <row r="12191">
      <c r="A12191" s="3">
        <v>5236.0</v>
      </c>
      <c r="B12191" s="4">
        <v>45478.69609953704</v>
      </c>
      <c r="C12191" s="3" t="s">
        <v>6</v>
      </c>
    </row>
    <row r="12192">
      <c r="A12192" s="3">
        <v>6207.0</v>
      </c>
      <c r="B12192" s="4">
        <v>45478.76540509259</v>
      </c>
      <c r="C12192" s="3" t="s">
        <v>6</v>
      </c>
    </row>
    <row r="12193">
      <c r="A12193" s="3">
        <v>297.0</v>
      </c>
      <c r="B12193" s="4">
        <v>45479.2374537037</v>
      </c>
      <c r="C12193" s="3" t="s">
        <v>6</v>
      </c>
    </row>
    <row r="12194">
      <c r="A12194" s="3">
        <v>2587.0</v>
      </c>
      <c r="B12194" s="4">
        <v>45479.634050925924</v>
      </c>
      <c r="C12194" s="3" t="s">
        <v>6</v>
      </c>
    </row>
    <row r="12195">
      <c r="A12195" s="3">
        <v>7616.0</v>
      </c>
      <c r="B12195" s="4">
        <v>45479.6766087963</v>
      </c>
      <c r="C12195" s="3" t="s">
        <v>7</v>
      </c>
    </row>
    <row r="12196">
      <c r="A12196" s="3">
        <v>1740.0</v>
      </c>
      <c r="B12196" s="4">
        <v>45479.70290509259</v>
      </c>
      <c r="C12196" s="3" t="s">
        <v>6</v>
      </c>
    </row>
    <row r="12197">
      <c r="A12197" s="3">
        <v>4082.0</v>
      </c>
      <c r="B12197" s="4">
        <v>45479.71331018519</v>
      </c>
      <c r="C12197" s="3" t="s">
        <v>6</v>
      </c>
    </row>
    <row r="12198">
      <c r="A12198" s="3">
        <v>5913.0</v>
      </c>
      <c r="B12198" s="4">
        <v>45480.28304398148</v>
      </c>
      <c r="C12198" s="3" t="s">
        <v>6</v>
      </c>
    </row>
    <row r="12199">
      <c r="A12199" s="3">
        <v>5980.0</v>
      </c>
      <c r="B12199" s="4">
        <v>45480.38731481481</v>
      </c>
      <c r="C12199" s="3" t="s">
        <v>6</v>
      </c>
    </row>
    <row r="12200">
      <c r="A12200" s="3">
        <v>7051.0</v>
      </c>
      <c r="B12200" s="4">
        <v>45480.547314814816</v>
      </c>
      <c r="C12200" s="3" t="s">
        <v>6</v>
      </c>
    </row>
    <row r="12201">
      <c r="A12201" s="3">
        <v>97.0</v>
      </c>
      <c r="B12201" s="4">
        <v>45480.590474537035</v>
      </c>
      <c r="C12201" s="3" t="s">
        <v>6</v>
      </c>
    </row>
    <row r="12202">
      <c r="A12202" s="3">
        <v>1955.0</v>
      </c>
      <c r="B12202" s="4">
        <v>45480.96263888889</v>
      </c>
      <c r="C12202" s="3" t="s">
        <v>6</v>
      </c>
    </row>
    <row r="12203">
      <c r="A12203" s="3">
        <v>1742.0</v>
      </c>
      <c r="B12203" s="4">
        <v>45480.9712037037</v>
      </c>
      <c r="C12203" s="3" t="s">
        <v>6</v>
      </c>
    </row>
    <row r="12204">
      <c r="A12204" s="3">
        <v>422.0</v>
      </c>
      <c r="B12204" s="4">
        <v>45482.0219212963</v>
      </c>
      <c r="C12204" s="3" t="s">
        <v>6</v>
      </c>
    </row>
    <row r="12205">
      <c r="A12205" s="3">
        <v>4367.0</v>
      </c>
      <c r="B12205" s="4">
        <v>45482.6496875</v>
      </c>
      <c r="C12205" s="3" t="s">
        <v>6</v>
      </c>
    </row>
    <row r="12206">
      <c r="A12206" s="3">
        <v>7616.0</v>
      </c>
      <c r="B12206" s="4">
        <v>45482.70549768519</v>
      </c>
      <c r="C12206" s="3" t="s">
        <v>6</v>
      </c>
    </row>
    <row r="12207">
      <c r="A12207" s="5"/>
      <c r="B12207" s="5"/>
      <c r="C12207" s="5"/>
    </row>
    <row r="12208">
      <c r="A12208" s="5"/>
      <c r="B12208" s="5"/>
      <c r="C12208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</cols>
  <sheetData>
    <row r="1">
      <c r="A1" s="1" t="s">
        <v>0</v>
      </c>
      <c r="B1" s="1" t="s">
        <v>1</v>
      </c>
      <c r="C1" s="1" t="s">
        <v>2</v>
      </c>
      <c r="D1" s="6" t="s">
        <v>8</v>
      </c>
      <c r="E1" s="1" t="s">
        <v>9</v>
      </c>
      <c r="F1" s="6" t="s">
        <v>10</v>
      </c>
      <c r="G1" s="7"/>
      <c r="H1" s="8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>
        <f>IFERROR(__xludf.DUMMYFUNCTION("FILTER(onboarding_funnel_dataset!A:C, onboarding_funnel_dataset!C:C=""purchase"")
"),6536.0)</f>
        <v>6536</v>
      </c>
      <c r="B2" s="9">
        <f>IFERROR(__xludf.DUMMYFUNCTION("""COMPUTED_VALUE"""),45293.24061342593)</f>
        <v>45293.24061</v>
      </c>
      <c r="C2" s="5" t="str">
        <f>IFERROR(__xludf.DUMMYFUNCTION("""COMPUTED_VALUE"""),"purchase")</f>
        <v>purchase</v>
      </c>
      <c r="D2" s="10">
        <f t="shared" ref="D2:D2001" si="1">INT(VALUE(B2))</f>
        <v>45293</v>
      </c>
      <c r="E2" s="10">
        <f t="shared" ref="E2:E2001" si="2">D2 - WEEKDAY(D2,2) + 1</f>
        <v>45292</v>
      </c>
      <c r="F2" s="10">
        <f t="shared" ref="F2:F2001" si="3">DATE(YEAR(D2),MONTH(D2),1)</f>
        <v>45292</v>
      </c>
      <c r="G2" s="11"/>
    </row>
    <row r="3">
      <c r="A3" s="5">
        <f>IFERROR(__xludf.DUMMYFUNCTION("""COMPUTED_VALUE"""),510.0)</f>
        <v>510</v>
      </c>
      <c r="B3" s="9">
        <f>IFERROR(__xludf.DUMMYFUNCTION("""COMPUTED_VALUE"""),45294.13836805556)</f>
        <v>45294.13837</v>
      </c>
      <c r="C3" s="5" t="str">
        <f>IFERROR(__xludf.DUMMYFUNCTION("""COMPUTED_VALUE"""),"purchase")</f>
        <v>purchase</v>
      </c>
      <c r="D3" s="10">
        <f t="shared" si="1"/>
        <v>45294</v>
      </c>
      <c r="E3" s="10">
        <f t="shared" si="2"/>
        <v>45292</v>
      </c>
      <c r="F3" s="10">
        <f t="shared" si="3"/>
        <v>45292</v>
      </c>
      <c r="G3" s="11"/>
    </row>
    <row r="4">
      <c r="A4" s="5">
        <f>IFERROR(__xludf.DUMMYFUNCTION("""COMPUTED_VALUE"""),5872.0)</f>
        <v>5872</v>
      </c>
      <c r="B4" s="9">
        <f>IFERROR(__xludf.DUMMYFUNCTION("""COMPUTED_VALUE"""),45294.180185185185)</f>
        <v>45294.18019</v>
      </c>
      <c r="C4" s="5" t="str">
        <f>IFERROR(__xludf.DUMMYFUNCTION("""COMPUTED_VALUE"""),"purchase")</f>
        <v>purchase</v>
      </c>
      <c r="D4" s="10">
        <f t="shared" si="1"/>
        <v>45294</v>
      </c>
      <c r="E4" s="10">
        <f t="shared" si="2"/>
        <v>45292</v>
      </c>
      <c r="F4" s="10">
        <f t="shared" si="3"/>
        <v>45292</v>
      </c>
      <c r="G4" s="11"/>
    </row>
    <row r="5">
      <c r="A5" s="5">
        <f>IFERROR(__xludf.DUMMYFUNCTION("""COMPUTED_VALUE"""),6275.0)</f>
        <v>6275</v>
      </c>
      <c r="B5" s="9">
        <f>IFERROR(__xludf.DUMMYFUNCTION("""COMPUTED_VALUE"""),45294.66270833334)</f>
        <v>45294.66271</v>
      </c>
      <c r="C5" s="5" t="str">
        <f>IFERROR(__xludf.DUMMYFUNCTION("""COMPUTED_VALUE"""),"purchase")</f>
        <v>purchase</v>
      </c>
      <c r="D5" s="10">
        <f t="shared" si="1"/>
        <v>45294</v>
      </c>
      <c r="E5" s="10">
        <f t="shared" si="2"/>
        <v>45292</v>
      </c>
      <c r="F5" s="10">
        <f t="shared" si="3"/>
        <v>45292</v>
      </c>
      <c r="G5" s="11"/>
    </row>
    <row r="6">
      <c r="A6" s="5">
        <f>IFERROR(__xludf.DUMMYFUNCTION("""COMPUTED_VALUE"""),1374.0)</f>
        <v>1374</v>
      </c>
      <c r="B6" s="9">
        <f>IFERROR(__xludf.DUMMYFUNCTION("""COMPUTED_VALUE"""),45295.11927083333)</f>
        <v>45295.11927</v>
      </c>
      <c r="C6" s="5" t="str">
        <f>IFERROR(__xludf.DUMMYFUNCTION("""COMPUTED_VALUE"""),"purchase")</f>
        <v>purchase</v>
      </c>
      <c r="D6" s="10">
        <f t="shared" si="1"/>
        <v>45295</v>
      </c>
      <c r="E6" s="10">
        <f t="shared" si="2"/>
        <v>45292</v>
      </c>
      <c r="F6" s="10">
        <f t="shared" si="3"/>
        <v>45292</v>
      </c>
      <c r="G6" s="11"/>
    </row>
    <row r="7">
      <c r="A7" s="5">
        <f>IFERROR(__xludf.DUMMYFUNCTION("""COMPUTED_VALUE"""),504.0)</f>
        <v>504</v>
      </c>
      <c r="B7" s="9">
        <f>IFERROR(__xludf.DUMMYFUNCTION("""COMPUTED_VALUE"""),45295.2700462963)</f>
        <v>45295.27005</v>
      </c>
      <c r="C7" s="5" t="str">
        <f>IFERROR(__xludf.DUMMYFUNCTION("""COMPUTED_VALUE"""),"purchase")</f>
        <v>purchase</v>
      </c>
      <c r="D7" s="10">
        <f t="shared" si="1"/>
        <v>45295</v>
      </c>
      <c r="E7" s="10">
        <f t="shared" si="2"/>
        <v>45292</v>
      </c>
      <c r="F7" s="10">
        <f t="shared" si="3"/>
        <v>45292</v>
      </c>
      <c r="G7" s="11"/>
    </row>
    <row r="8">
      <c r="A8" s="5">
        <f>IFERROR(__xludf.DUMMYFUNCTION("""COMPUTED_VALUE"""),1314.0)</f>
        <v>1314</v>
      </c>
      <c r="B8" s="9">
        <f>IFERROR(__xludf.DUMMYFUNCTION("""COMPUTED_VALUE"""),45295.321851851855)</f>
        <v>45295.32185</v>
      </c>
      <c r="C8" s="5" t="str">
        <f>IFERROR(__xludf.DUMMYFUNCTION("""COMPUTED_VALUE"""),"purchase")</f>
        <v>purchase</v>
      </c>
      <c r="D8" s="10">
        <f t="shared" si="1"/>
        <v>45295</v>
      </c>
      <c r="E8" s="10">
        <f t="shared" si="2"/>
        <v>45292</v>
      </c>
      <c r="F8" s="10">
        <f t="shared" si="3"/>
        <v>45292</v>
      </c>
      <c r="G8" s="11"/>
    </row>
    <row r="9">
      <c r="A9" s="5">
        <f>IFERROR(__xludf.DUMMYFUNCTION("""COMPUTED_VALUE"""),5888.0)</f>
        <v>5888</v>
      </c>
      <c r="B9" s="9">
        <f>IFERROR(__xludf.DUMMYFUNCTION("""COMPUTED_VALUE"""),45295.34295138889)</f>
        <v>45295.34295</v>
      </c>
      <c r="C9" s="5" t="str">
        <f>IFERROR(__xludf.DUMMYFUNCTION("""COMPUTED_VALUE"""),"purchase")</f>
        <v>purchase</v>
      </c>
      <c r="D9" s="10">
        <f t="shared" si="1"/>
        <v>45295</v>
      </c>
      <c r="E9" s="10">
        <f t="shared" si="2"/>
        <v>45292</v>
      </c>
      <c r="F9" s="10">
        <f t="shared" si="3"/>
        <v>45292</v>
      </c>
      <c r="G9" s="11"/>
    </row>
    <row r="10">
      <c r="A10" s="5">
        <f>IFERROR(__xludf.DUMMYFUNCTION("""COMPUTED_VALUE"""),1704.0)</f>
        <v>1704</v>
      </c>
      <c r="B10" s="9">
        <f>IFERROR(__xludf.DUMMYFUNCTION("""COMPUTED_VALUE"""),45295.46834490741)</f>
        <v>45295.46834</v>
      </c>
      <c r="C10" s="5" t="str">
        <f>IFERROR(__xludf.DUMMYFUNCTION("""COMPUTED_VALUE"""),"purchase")</f>
        <v>purchase</v>
      </c>
      <c r="D10" s="10">
        <f t="shared" si="1"/>
        <v>45295</v>
      </c>
      <c r="E10" s="10">
        <f t="shared" si="2"/>
        <v>45292</v>
      </c>
      <c r="F10" s="10">
        <f t="shared" si="3"/>
        <v>45292</v>
      </c>
      <c r="G10" s="11"/>
    </row>
    <row r="11">
      <c r="A11" s="5">
        <f>IFERROR(__xludf.DUMMYFUNCTION("""COMPUTED_VALUE"""),3575.0)</f>
        <v>3575</v>
      </c>
      <c r="B11" s="9">
        <f>IFERROR(__xludf.DUMMYFUNCTION("""COMPUTED_VALUE"""),45295.58864583333)</f>
        <v>45295.58865</v>
      </c>
      <c r="C11" s="5" t="str">
        <f>IFERROR(__xludf.DUMMYFUNCTION("""COMPUTED_VALUE"""),"purchase")</f>
        <v>purchase</v>
      </c>
      <c r="D11" s="10">
        <f t="shared" si="1"/>
        <v>45295</v>
      </c>
      <c r="E11" s="10">
        <f t="shared" si="2"/>
        <v>45292</v>
      </c>
      <c r="F11" s="10">
        <f t="shared" si="3"/>
        <v>45292</v>
      </c>
      <c r="G11" s="11"/>
    </row>
    <row r="12">
      <c r="A12" s="5">
        <f>IFERROR(__xludf.DUMMYFUNCTION("""COMPUTED_VALUE"""),5565.0)</f>
        <v>5565</v>
      </c>
      <c r="B12" s="9">
        <f>IFERROR(__xludf.DUMMYFUNCTION("""COMPUTED_VALUE"""),45295.871458333335)</f>
        <v>45295.87146</v>
      </c>
      <c r="C12" s="5" t="str">
        <f>IFERROR(__xludf.DUMMYFUNCTION("""COMPUTED_VALUE"""),"purchase")</f>
        <v>purchase</v>
      </c>
      <c r="D12" s="10">
        <f t="shared" si="1"/>
        <v>45295</v>
      </c>
      <c r="E12" s="10">
        <f t="shared" si="2"/>
        <v>45292</v>
      </c>
      <c r="F12" s="10">
        <f t="shared" si="3"/>
        <v>45292</v>
      </c>
      <c r="G12" s="11"/>
    </row>
    <row r="13">
      <c r="A13" s="5">
        <f>IFERROR(__xludf.DUMMYFUNCTION("""COMPUTED_VALUE"""),211.0)</f>
        <v>211</v>
      </c>
      <c r="B13" s="9">
        <f>IFERROR(__xludf.DUMMYFUNCTION("""COMPUTED_VALUE"""),45295.93908564815)</f>
        <v>45295.93909</v>
      </c>
      <c r="C13" s="5" t="str">
        <f>IFERROR(__xludf.DUMMYFUNCTION("""COMPUTED_VALUE"""),"purchase")</f>
        <v>purchase</v>
      </c>
      <c r="D13" s="10">
        <f t="shared" si="1"/>
        <v>45295</v>
      </c>
      <c r="E13" s="10">
        <f t="shared" si="2"/>
        <v>45292</v>
      </c>
      <c r="F13" s="10">
        <f t="shared" si="3"/>
        <v>45292</v>
      </c>
      <c r="G13" s="11"/>
    </row>
    <row r="14">
      <c r="A14" s="5">
        <f>IFERROR(__xludf.DUMMYFUNCTION("""COMPUTED_VALUE"""),1738.0)</f>
        <v>1738</v>
      </c>
      <c r="B14" s="9">
        <f>IFERROR(__xludf.DUMMYFUNCTION("""COMPUTED_VALUE"""),45296.05336805555)</f>
        <v>45296.05337</v>
      </c>
      <c r="C14" s="5" t="str">
        <f>IFERROR(__xludf.DUMMYFUNCTION("""COMPUTED_VALUE"""),"purchase")</f>
        <v>purchase</v>
      </c>
      <c r="D14" s="10">
        <f t="shared" si="1"/>
        <v>45296</v>
      </c>
      <c r="E14" s="10">
        <f t="shared" si="2"/>
        <v>45292</v>
      </c>
      <c r="F14" s="10">
        <f t="shared" si="3"/>
        <v>45292</v>
      </c>
      <c r="G14" s="11"/>
    </row>
    <row r="15">
      <c r="A15" s="5">
        <f>IFERROR(__xludf.DUMMYFUNCTION("""COMPUTED_VALUE"""),6522.0)</f>
        <v>6522</v>
      </c>
      <c r="B15" s="9">
        <f>IFERROR(__xludf.DUMMYFUNCTION("""COMPUTED_VALUE"""),45296.08513888889)</f>
        <v>45296.08514</v>
      </c>
      <c r="C15" s="5" t="str">
        <f>IFERROR(__xludf.DUMMYFUNCTION("""COMPUTED_VALUE"""),"purchase")</f>
        <v>purchase</v>
      </c>
      <c r="D15" s="10">
        <f t="shared" si="1"/>
        <v>45296</v>
      </c>
      <c r="E15" s="10">
        <f t="shared" si="2"/>
        <v>45292</v>
      </c>
      <c r="F15" s="10">
        <f t="shared" si="3"/>
        <v>45292</v>
      </c>
      <c r="G15" s="11"/>
    </row>
    <row r="16">
      <c r="A16" s="5">
        <f>IFERROR(__xludf.DUMMYFUNCTION("""COMPUTED_VALUE"""),7602.0)</f>
        <v>7602</v>
      </c>
      <c r="B16" s="9">
        <f>IFERROR(__xludf.DUMMYFUNCTION("""COMPUTED_VALUE"""),45296.33263888889)</f>
        <v>45296.33264</v>
      </c>
      <c r="C16" s="5" t="str">
        <f>IFERROR(__xludf.DUMMYFUNCTION("""COMPUTED_VALUE"""),"purchase")</f>
        <v>purchase</v>
      </c>
      <c r="D16" s="10">
        <f t="shared" si="1"/>
        <v>45296</v>
      </c>
      <c r="E16" s="10">
        <f t="shared" si="2"/>
        <v>45292</v>
      </c>
      <c r="F16" s="10">
        <f t="shared" si="3"/>
        <v>45292</v>
      </c>
      <c r="G16" s="11"/>
    </row>
    <row r="17">
      <c r="A17" s="5">
        <f>IFERROR(__xludf.DUMMYFUNCTION("""COMPUTED_VALUE"""),7811.0)</f>
        <v>7811</v>
      </c>
      <c r="B17" s="9">
        <f>IFERROR(__xludf.DUMMYFUNCTION("""COMPUTED_VALUE"""),45296.37855324074)</f>
        <v>45296.37855</v>
      </c>
      <c r="C17" s="5" t="str">
        <f>IFERROR(__xludf.DUMMYFUNCTION("""COMPUTED_VALUE"""),"purchase")</f>
        <v>purchase</v>
      </c>
      <c r="D17" s="10">
        <f t="shared" si="1"/>
        <v>45296</v>
      </c>
      <c r="E17" s="10">
        <f t="shared" si="2"/>
        <v>45292</v>
      </c>
      <c r="F17" s="10">
        <f t="shared" si="3"/>
        <v>45292</v>
      </c>
      <c r="G17" s="11"/>
    </row>
    <row r="18">
      <c r="A18" s="5">
        <f>IFERROR(__xludf.DUMMYFUNCTION("""COMPUTED_VALUE"""),4490.0)</f>
        <v>4490</v>
      </c>
      <c r="B18" s="9">
        <f>IFERROR(__xludf.DUMMYFUNCTION("""COMPUTED_VALUE"""),45296.433275462965)</f>
        <v>45296.43328</v>
      </c>
      <c r="C18" s="5" t="str">
        <f>IFERROR(__xludf.DUMMYFUNCTION("""COMPUTED_VALUE"""),"purchase")</f>
        <v>purchase</v>
      </c>
      <c r="D18" s="10">
        <f t="shared" si="1"/>
        <v>45296</v>
      </c>
      <c r="E18" s="10">
        <f t="shared" si="2"/>
        <v>45292</v>
      </c>
      <c r="F18" s="10">
        <f t="shared" si="3"/>
        <v>45292</v>
      </c>
      <c r="G18" s="11"/>
    </row>
    <row r="19">
      <c r="A19" s="5">
        <f>IFERROR(__xludf.DUMMYFUNCTION("""COMPUTED_VALUE"""),3255.0)</f>
        <v>3255</v>
      </c>
      <c r="B19" s="9">
        <f>IFERROR(__xludf.DUMMYFUNCTION("""COMPUTED_VALUE"""),45296.73064814815)</f>
        <v>45296.73065</v>
      </c>
      <c r="C19" s="5" t="str">
        <f>IFERROR(__xludf.DUMMYFUNCTION("""COMPUTED_VALUE"""),"purchase")</f>
        <v>purchase</v>
      </c>
      <c r="D19" s="10">
        <f t="shared" si="1"/>
        <v>45296</v>
      </c>
      <c r="E19" s="10">
        <f t="shared" si="2"/>
        <v>45292</v>
      </c>
      <c r="F19" s="10">
        <f t="shared" si="3"/>
        <v>45292</v>
      </c>
      <c r="G19" s="11"/>
    </row>
    <row r="20">
      <c r="A20" s="5">
        <f>IFERROR(__xludf.DUMMYFUNCTION("""COMPUTED_VALUE"""),5147.0)</f>
        <v>5147</v>
      </c>
      <c r="B20" s="9">
        <f>IFERROR(__xludf.DUMMYFUNCTION("""COMPUTED_VALUE"""),45296.81914351852)</f>
        <v>45296.81914</v>
      </c>
      <c r="C20" s="5" t="str">
        <f>IFERROR(__xludf.DUMMYFUNCTION("""COMPUTED_VALUE"""),"purchase")</f>
        <v>purchase</v>
      </c>
      <c r="D20" s="10">
        <f t="shared" si="1"/>
        <v>45296</v>
      </c>
      <c r="E20" s="10">
        <f t="shared" si="2"/>
        <v>45292</v>
      </c>
      <c r="F20" s="10">
        <f t="shared" si="3"/>
        <v>45292</v>
      </c>
      <c r="G20" s="11"/>
    </row>
    <row r="21">
      <c r="A21" s="5">
        <f>IFERROR(__xludf.DUMMYFUNCTION("""COMPUTED_VALUE"""),4032.0)</f>
        <v>4032</v>
      </c>
      <c r="B21" s="9">
        <f>IFERROR(__xludf.DUMMYFUNCTION("""COMPUTED_VALUE"""),45296.96246527778)</f>
        <v>45296.96247</v>
      </c>
      <c r="C21" s="5" t="str">
        <f>IFERROR(__xludf.DUMMYFUNCTION("""COMPUTED_VALUE"""),"purchase")</f>
        <v>purchase</v>
      </c>
      <c r="D21" s="10">
        <f t="shared" si="1"/>
        <v>45296</v>
      </c>
      <c r="E21" s="10">
        <f t="shared" si="2"/>
        <v>45292</v>
      </c>
      <c r="F21" s="10">
        <f t="shared" si="3"/>
        <v>45292</v>
      </c>
      <c r="G21" s="11"/>
    </row>
    <row r="22">
      <c r="A22" s="5">
        <f>IFERROR(__xludf.DUMMYFUNCTION("""COMPUTED_VALUE"""),3218.0)</f>
        <v>3218</v>
      </c>
      <c r="B22" s="9">
        <f>IFERROR(__xludf.DUMMYFUNCTION("""COMPUTED_VALUE"""),45297.22310185185)</f>
        <v>45297.2231</v>
      </c>
      <c r="C22" s="5" t="str">
        <f>IFERROR(__xludf.DUMMYFUNCTION("""COMPUTED_VALUE"""),"purchase")</f>
        <v>purchase</v>
      </c>
      <c r="D22" s="10">
        <f t="shared" si="1"/>
        <v>45297</v>
      </c>
      <c r="E22" s="10">
        <f t="shared" si="2"/>
        <v>45292</v>
      </c>
      <c r="F22" s="10">
        <f t="shared" si="3"/>
        <v>45292</v>
      </c>
      <c r="G22" s="11"/>
    </row>
    <row r="23">
      <c r="A23" s="5">
        <f>IFERROR(__xludf.DUMMYFUNCTION("""COMPUTED_VALUE"""),4776.0)</f>
        <v>4776</v>
      </c>
      <c r="B23" s="9">
        <f>IFERROR(__xludf.DUMMYFUNCTION("""COMPUTED_VALUE"""),45297.27302083333)</f>
        <v>45297.27302</v>
      </c>
      <c r="C23" s="5" t="str">
        <f>IFERROR(__xludf.DUMMYFUNCTION("""COMPUTED_VALUE"""),"purchase")</f>
        <v>purchase</v>
      </c>
      <c r="D23" s="10">
        <f t="shared" si="1"/>
        <v>45297</v>
      </c>
      <c r="E23" s="10">
        <f t="shared" si="2"/>
        <v>45292</v>
      </c>
      <c r="F23" s="10">
        <f t="shared" si="3"/>
        <v>45292</v>
      </c>
      <c r="G23" s="11"/>
    </row>
    <row r="24">
      <c r="A24" s="5">
        <f>IFERROR(__xludf.DUMMYFUNCTION("""COMPUTED_VALUE"""),5781.0)</f>
        <v>5781</v>
      </c>
      <c r="B24" s="9">
        <f>IFERROR(__xludf.DUMMYFUNCTION("""COMPUTED_VALUE"""),45297.37517361111)</f>
        <v>45297.37517</v>
      </c>
      <c r="C24" s="5" t="str">
        <f>IFERROR(__xludf.DUMMYFUNCTION("""COMPUTED_VALUE"""),"purchase")</f>
        <v>purchase</v>
      </c>
      <c r="D24" s="10">
        <f t="shared" si="1"/>
        <v>45297</v>
      </c>
      <c r="E24" s="10">
        <f t="shared" si="2"/>
        <v>45292</v>
      </c>
      <c r="F24" s="10">
        <f t="shared" si="3"/>
        <v>45292</v>
      </c>
      <c r="G24" s="11"/>
    </row>
    <row r="25">
      <c r="A25" s="5">
        <f>IFERROR(__xludf.DUMMYFUNCTION("""COMPUTED_VALUE"""),7489.0)</f>
        <v>7489</v>
      </c>
      <c r="B25" s="9">
        <f>IFERROR(__xludf.DUMMYFUNCTION("""COMPUTED_VALUE"""),45297.51167824074)</f>
        <v>45297.51168</v>
      </c>
      <c r="C25" s="5" t="str">
        <f>IFERROR(__xludf.DUMMYFUNCTION("""COMPUTED_VALUE"""),"purchase")</f>
        <v>purchase</v>
      </c>
      <c r="D25" s="10">
        <f t="shared" si="1"/>
        <v>45297</v>
      </c>
      <c r="E25" s="10">
        <f t="shared" si="2"/>
        <v>45292</v>
      </c>
      <c r="F25" s="10">
        <f t="shared" si="3"/>
        <v>45292</v>
      </c>
      <c r="G25" s="11"/>
    </row>
    <row r="26">
      <c r="A26" s="5">
        <f>IFERROR(__xludf.DUMMYFUNCTION("""COMPUTED_VALUE"""),6460.0)</f>
        <v>6460</v>
      </c>
      <c r="B26" s="9">
        <f>IFERROR(__xludf.DUMMYFUNCTION("""COMPUTED_VALUE"""),45297.697488425925)</f>
        <v>45297.69749</v>
      </c>
      <c r="C26" s="5" t="str">
        <f>IFERROR(__xludf.DUMMYFUNCTION("""COMPUTED_VALUE"""),"purchase")</f>
        <v>purchase</v>
      </c>
      <c r="D26" s="10">
        <f t="shared" si="1"/>
        <v>45297</v>
      </c>
      <c r="E26" s="10">
        <f t="shared" si="2"/>
        <v>45292</v>
      </c>
      <c r="F26" s="10">
        <f t="shared" si="3"/>
        <v>45292</v>
      </c>
      <c r="G26" s="11"/>
    </row>
    <row r="27">
      <c r="A27" s="5">
        <f>IFERROR(__xludf.DUMMYFUNCTION("""COMPUTED_VALUE"""),6612.0)</f>
        <v>6612</v>
      </c>
      <c r="B27" s="9">
        <f>IFERROR(__xludf.DUMMYFUNCTION("""COMPUTED_VALUE"""),45297.716365740744)</f>
        <v>45297.71637</v>
      </c>
      <c r="C27" s="5" t="str">
        <f>IFERROR(__xludf.DUMMYFUNCTION("""COMPUTED_VALUE"""),"purchase")</f>
        <v>purchase</v>
      </c>
      <c r="D27" s="10">
        <f t="shared" si="1"/>
        <v>45297</v>
      </c>
      <c r="E27" s="10">
        <f t="shared" si="2"/>
        <v>45292</v>
      </c>
      <c r="F27" s="10">
        <f t="shared" si="3"/>
        <v>45292</v>
      </c>
      <c r="G27" s="11"/>
    </row>
    <row r="28">
      <c r="A28" s="5">
        <f>IFERROR(__xludf.DUMMYFUNCTION("""COMPUTED_VALUE"""),7822.0)</f>
        <v>7822</v>
      </c>
      <c r="B28" s="9">
        <f>IFERROR(__xludf.DUMMYFUNCTION("""COMPUTED_VALUE"""),45298.27206018518)</f>
        <v>45298.27206</v>
      </c>
      <c r="C28" s="5" t="str">
        <f>IFERROR(__xludf.DUMMYFUNCTION("""COMPUTED_VALUE"""),"purchase")</f>
        <v>purchase</v>
      </c>
      <c r="D28" s="10">
        <f t="shared" si="1"/>
        <v>45298</v>
      </c>
      <c r="E28" s="10">
        <f t="shared" si="2"/>
        <v>45292</v>
      </c>
      <c r="F28" s="10">
        <f t="shared" si="3"/>
        <v>45292</v>
      </c>
      <c r="G28" s="11"/>
    </row>
    <row r="29">
      <c r="A29" s="5">
        <f>IFERROR(__xludf.DUMMYFUNCTION("""COMPUTED_VALUE"""),3533.0)</f>
        <v>3533</v>
      </c>
      <c r="B29" s="9">
        <f>IFERROR(__xludf.DUMMYFUNCTION("""COMPUTED_VALUE"""),45298.31894675926)</f>
        <v>45298.31895</v>
      </c>
      <c r="C29" s="5" t="str">
        <f>IFERROR(__xludf.DUMMYFUNCTION("""COMPUTED_VALUE"""),"purchase")</f>
        <v>purchase</v>
      </c>
      <c r="D29" s="10">
        <f t="shared" si="1"/>
        <v>45298</v>
      </c>
      <c r="E29" s="10">
        <f t="shared" si="2"/>
        <v>45292</v>
      </c>
      <c r="F29" s="10">
        <f t="shared" si="3"/>
        <v>45292</v>
      </c>
      <c r="G29" s="11"/>
    </row>
    <row r="30">
      <c r="A30" s="5">
        <f>IFERROR(__xludf.DUMMYFUNCTION("""COMPUTED_VALUE"""),3419.0)</f>
        <v>3419</v>
      </c>
      <c r="B30" s="9">
        <f>IFERROR(__xludf.DUMMYFUNCTION("""COMPUTED_VALUE"""),45298.7319212963)</f>
        <v>45298.73192</v>
      </c>
      <c r="C30" s="5" t="str">
        <f>IFERROR(__xludf.DUMMYFUNCTION("""COMPUTED_VALUE"""),"purchase")</f>
        <v>purchase</v>
      </c>
      <c r="D30" s="10">
        <f t="shared" si="1"/>
        <v>45298</v>
      </c>
      <c r="E30" s="10">
        <f t="shared" si="2"/>
        <v>45292</v>
      </c>
      <c r="F30" s="10">
        <f t="shared" si="3"/>
        <v>45292</v>
      </c>
      <c r="G30" s="11"/>
    </row>
    <row r="31">
      <c r="A31" s="5">
        <f>IFERROR(__xludf.DUMMYFUNCTION("""COMPUTED_VALUE"""),5194.0)</f>
        <v>5194</v>
      </c>
      <c r="B31" s="9">
        <f>IFERROR(__xludf.DUMMYFUNCTION("""COMPUTED_VALUE"""),45298.848449074074)</f>
        <v>45298.84845</v>
      </c>
      <c r="C31" s="5" t="str">
        <f>IFERROR(__xludf.DUMMYFUNCTION("""COMPUTED_VALUE"""),"purchase")</f>
        <v>purchase</v>
      </c>
      <c r="D31" s="10">
        <f t="shared" si="1"/>
        <v>45298</v>
      </c>
      <c r="E31" s="10">
        <f t="shared" si="2"/>
        <v>45292</v>
      </c>
      <c r="F31" s="10">
        <f t="shared" si="3"/>
        <v>45292</v>
      </c>
      <c r="G31" s="11"/>
    </row>
    <row r="32">
      <c r="A32" s="5">
        <f>IFERROR(__xludf.DUMMYFUNCTION("""COMPUTED_VALUE"""),7003.0)</f>
        <v>7003</v>
      </c>
      <c r="B32" s="9">
        <f>IFERROR(__xludf.DUMMYFUNCTION("""COMPUTED_VALUE"""),45298.95291666667)</f>
        <v>45298.95292</v>
      </c>
      <c r="C32" s="5" t="str">
        <f>IFERROR(__xludf.DUMMYFUNCTION("""COMPUTED_VALUE"""),"purchase")</f>
        <v>purchase</v>
      </c>
      <c r="D32" s="10">
        <f t="shared" si="1"/>
        <v>45298</v>
      </c>
      <c r="E32" s="10">
        <f t="shared" si="2"/>
        <v>45292</v>
      </c>
      <c r="F32" s="10">
        <f t="shared" si="3"/>
        <v>45292</v>
      </c>
      <c r="G32" s="11"/>
    </row>
    <row r="33">
      <c r="A33" s="5">
        <f>IFERROR(__xludf.DUMMYFUNCTION("""COMPUTED_VALUE"""),2405.0)</f>
        <v>2405</v>
      </c>
      <c r="B33" s="9">
        <f>IFERROR(__xludf.DUMMYFUNCTION("""COMPUTED_VALUE"""),45299.128530092596)</f>
        <v>45299.12853</v>
      </c>
      <c r="C33" s="5" t="str">
        <f>IFERROR(__xludf.DUMMYFUNCTION("""COMPUTED_VALUE"""),"purchase")</f>
        <v>purchase</v>
      </c>
      <c r="D33" s="10">
        <f t="shared" si="1"/>
        <v>45299</v>
      </c>
      <c r="E33" s="10">
        <f t="shared" si="2"/>
        <v>45299</v>
      </c>
      <c r="F33" s="10">
        <f t="shared" si="3"/>
        <v>45292</v>
      </c>
      <c r="G33" s="11"/>
    </row>
    <row r="34">
      <c r="A34" s="5">
        <f>IFERROR(__xludf.DUMMYFUNCTION("""COMPUTED_VALUE"""),765.0)</f>
        <v>765</v>
      </c>
      <c r="B34" s="9">
        <f>IFERROR(__xludf.DUMMYFUNCTION("""COMPUTED_VALUE"""),45299.14980324074)</f>
        <v>45299.1498</v>
      </c>
      <c r="C34" s="5" t="str">
        <f>IFERROR(__xludf.DUMMYFUNCTION("""COMPUTED_VALUE"""),"purchase")</f>
        <v>purchase</v>
      </c>
      <c r="D34" s="10">
        <f t="shared" si="1"/>
        <v>45299</v>
      </c>
      <c r="E34" s="10">
        <f t="shared" si="2"/>
        <v>45299</v>
      </c>
      <c r="F34" s="10">
        <f t="shared" si="3"/>
        <v>45292</v>
      </c>
      <c r="G34" s="11"/>
    </row>
    <row r="35">
      <c r="A35" s="5">
        <f>IFERROR(__xludf.DUMMYFUNCTION("""COMPUTED_VALUE"""),2993.0)</f>
        <v>2993</v>
      </c>
      <c r="B35" s="9">
        <f>IFERROR(__xludf.DUMMYFUNCTION("""COMPUTED_VALUE"""),45299.26960648148)</f>
        <v>45299.26961</v>
      </c>
      <c r="C35" s="5" t="str">
        <f>IFERROR(__xludf.DUMMYFUNCTION("""COMPUTED_VALUE"""),"purchase")</f>
        <v>purchase</v>
      </c>
      <c r="D35" s="10">
        <f t="shared" si="1"/>
        <v>45299</v>
      </c>
      <c r="E35" s="10">
        <f t="shared" si="2"/>
        <v>45299</v>
      </c>
      <c r="F35" s="10">
        <f t="shared" si="3"/>
        <v>45292</v>
      </c>
      <c r="G35" s="11"/>
    </row>
    <row r="36">
      <c r="A36" s="5">
        <f>IFERROR(__xludf.DUMMYFUNCTION("""COMPUTED_VALUE"""),4363.0)</f>
        <v>4363</v>
      </c>
      <c r="B36" s="9">
        <f>IFERROR(__xludf.DUMMYFUNCTION("""COMPUTED_VALUE"""),45299.28465277778)</f>
        <v>45299.28465</v>
      </c>
      <c r="C36" s="5" t="str">
        <f>IFERROR(__xludf.DUMMYFUNCTION("""COMPUTED_VALUE"""),"purchase")</f>
        <v>purchase</v>
      </c>
      <c r="D36" s="10">
        <f t="shared" si="1"/>
        <v>45299</v>
      </c>
      <c r="E36" s="10">
        <f t="shared" si="2"/>
        <v>45299</v>
      </c>
      <c r="F36" s="10">
        <f t="shared" si="3"/>
        <v>45292</v>
      </c>
      <c r="G36" s="11"/>
    </row>
    <row r="37">
      <c r="A37" s="5">
        <f>IFERROR(__xludf.DUMMYFUNCTION("""COMPUTED_VALUE"""),7467.0)</f>
        <v>7467</v>
      </c>
      <c r="B37" s="9">
        <f>IFERROR(__xludf.DUMMYFUNCTION("""COMPUTED_VALUE"""),45299.60071759259)</f>
        <v>45299.60072</v>
      </c>
      <c r="C37" s="5" t="str">
        <f>IFERROR(__xludf.DUMMYFUNCTION("""COMPUTED_VALUE"""),"purchase")</f>
        <v>purchase</v>
      </c>
      <c r="D37" s="10">
        <f t="shared" si="1"/>
        <v>45299</v>
      </c>
      <c r="E37" s="10">
        <f t="shared" si="2"/>
        <v>45299</v>
      </c>
      <c r="F37" s="10">
        <f t="shared" si="3"/>
        <v>45292</v>
      </c>
      <c r="G37" s="11"/>
    </row>
    <row r="38">
      <c r="A38" s="5">
        <f>IFERROR(__xludf.DUMMYFUNCTION("""COMPUTED_VALUE"""),4592.0)</f>
        <v>4592</v>
      </c>
      <c r="B38" s="9">
        <f>IFERROR(__xludf.DUMMYFUNCTION("""COMPUTED_VALUE"""),45299.70141203704)</f>
        <v>45299.70141</v>
      </c>
      <c r="C38" s="5" t="str">
        <f>IFERROR(__xludf.DUMMYFUNCTION("""COMPUTED_VALUE"""),"purchase")</f>
        <v>purchase</v>
      </c>
      <c r="D38" s="10">
        <f t="shared" si="1"/>
        <v>45299</v>
      </c>
      <c r="E38" s="10">
        <f t="shared" si="2"/>
        <v>45299</v>
      </c>
      <c r="F38" s="10">
        <f t="shared" si="3"/>
        <v>45292</v>
      </c>
      <c r="G38" s="11"/>
    </row>
    <row r="39">
      <c r="A39" s="5">
        <f>IFERROR(__xludf.DUMMYFUNCTION("""COMPUTED_VALUE"""),4321.0)</f>
        <v>4321</v>
      </c>
      <c r="B39" s="9">
        <f>IFERROR(__xludf.DUMMYFUNCTION("""COMPUTED_VALUE"""),45299.791550925926)</f>
        <v>45299.79155</v>
      </c>
      <c r="C39" s="5" t="str">
        <f>IFERROR(__xludf.DUMMYFUNCTION("""COMPUTED_VALUE"""),"purchase")</f>
        <v>purchase</v>
      </c>
      <c r="D39" s="10">
        <f t="shared" si="1"/>
        <v>45299</v>
      </c>
      <c r="E39" s="10">
        <f t="shared" si="2"/>
        <v>45299</v>
      </c>
      <c r="F39" s="10">
        <f t="shared" si="3"/>
        <v>45292</v>
      </c>
      <c r="G39" s="11"/>
    </row>
    <row r="40">
      <c r="A40" s="5">
        <f>IFERROR(__xludf.DUMMYFUNCTION("""COMPUTED_VALUE"""),5186.0)</f>
        <v>5186</v>
      </c>
      <c r="B40" s="9">
        <f>IFERROR(__xludf.DUMMYFUNCTION("""COMPUTED_VALUE"""),45299.83324074074)</f>
        <v>45299.83324</v>
      </c>
      <c r="C40" s="5" t="str">
        <f>IFERROR(__xludf.DUMMYFUNCTION("""COMPUTED_VALUE"""),"purchase")</f>
        <v>purchase</v>
      </c>
      <c r="D40" s="10">
        <f t="shared" si="1"/>
        <v>45299</v>
      </c>
      <c r="E40" s="10">
        <f t="shared" si="2"/>
        <v>45299</v>
      </c>
      <c r="F40" s="10">
        <f t="shared" si="3"/>
        <v>45292</v>
      </c>
      <c r="G40" s="11"/>
    </row>
    <row r="41">
      <c r="A41" s="5">
        <f>IFERROR(__xludf.DUMMYFUNCTION("""COMPUTED_VALUE"""),2570.0)</f>
        <v>2570</v>
      </c>
      <c r="B41" s="9">
        <f>IFERROR(__xludf.DUMMYFUNCTION("""COMPUTED_VALUE"""),45300.01552083333)</f>
        <v>45300.01552</v>
      </c>
      <c r="C41" s="5" t="str">
        <f>IFERROR(__xludf.DUMMYFUNCTION("""COMPUTED_VALUE"""),"purchase")</f>
        <v>purchase</v>
      </c>
      <c r="D41" s="10">
        <f t="shared" si="1"/>
        <v>45300</v>
      </c>
      <c r="E41" s="10">
        <f t="shared" si="2"/>
        <v>45299</v>
      </c>
      <c r="F41" s="10">
        <f t="shared" si="3"/>
        <v>45292</v>
      </c>
      <c r="G41" s="11"/>
    </row>
    <row r="42">
      <c r="A42" s="5">
        <f>IFERROR(__xludf.DUMMYFUNCTION("""COMPUTED_VALUE"""),4775.0)</f>
        <v>4775</v>
      </c>
      <c r="B42" s="9">
        <f>IFERROR(__xludf.DUMMYFUNCTION("""COMPUTED_VALUE"""),45300.153495370374)</f>
        <v>45300.1535</v>
      </c>
      <c r="C42" s="5" t="str">
        <f>IFERROR(__xludf.DUMMYFUNCTION("""COMPUTED_VALUE"""),"purchase")</f>
        <v>purchase</v>
      </c>
      <c r="D42" s="10">
        <f t="shared" si="1"/>
        <v>45300</v>
      </c>
      <c r="E42" s="10">
        <f t="shared" si="2"/>
        <v>45299</v>
      </c>
      <c r="F42" s="10">
        <f t="shared" si="3"/>
        <v>45292</v>
      </c>
      <c r="G42" s="11"/>
    </row>
    <row r="43">
      <c r="A43" s="5">
        <f>IFERROR(__xludf.DUMMYFUNCTION("""COMPUTED_VALUE"""),7990.0)</f>
        <v>7990</v>
      </c>
      <c r="B43" s="9">
        <f>IFERROR(__xludf.DUMMYFUNCTION("""COMPUTED_VALUE"""),45300.2544212963)</f>
        <v>45300.25442</v>
      </c>
      <c r="C43" s="5" t="str">
        <f>IFERROR(__xludf.DUMMYFUNCTION("""COMPUTED_VALUE"""),"purchase")</f>
        <v>purchase</v>
      </c>
      <c r="D43" s="10">
        <f t="shared" si="1"/>
        <v>45300</v>
      </c>
      <c r="E43" s="10">
        <f t="shared" si="2"/>
        <v>45299</v>
      </c>
      <c r="F43" s="10">
        <f t="shared" si="3"/>
        <v>45292</v>
      </c>
      <c r="G43" s="11"/>
    </row>
    <row r="44">
      <c r="A44" s="5">
        <f>IFERROR(__xludf.DUMMYFUNCTION("""COMPUTED_VALUE"""),6544.0)</f>
        <v>6544</v>
      </c>
      <c r="B44" s="9">
        <f>IFERROR(__xludf.DUMMYFUNCTION("""COMPUTED_VALUE"""),45300.31501157407)</f>
        <v>45300.31501</v>
      </c>
      <c r="C44" s="5" t="str">
        <f>IFERROR(__xludf.DUMMYFUNCTION("""COMPUTED_VALUE"""),"purchase")</f>
        <v>purchase</v>
      </c>
      <c r="D44" s="10">
        <f t="shared" si="1"/>
        <v>45300</v>
      </c>
      <c r="E44" s="10">
        <f t="shared" si="2"/>
        <v>45299</v>
      </c>
      <c r="F44" s="10">
        <f t="shared" si="3"/>
        <v>45292</v>
      </c>
      <c r="G44" s="11"/>
    </row>
    <row r="45">
      <c r="A45" s="5">
        <f>IFERROR(__xludf.DUMMYFUNCTION("""COMPUTED_VALUE"""),1796.0)</f>
        <v>1796</v>
      </c>
      <c r="B45" s="9">
        <f>IFERROR(__xludf.DUMMYFUNCTION("""COMPUTED_VALUE"""),45300.51519675926)</f>
        <v>45300.5152</v>
      </c>
      <c r="C45" s="5" t="str">
        <f>IFERROR(__xludf.DUMMYFUNCTION("""COMPUTED_VALUE"""),"purchase")</f>
        <v>purchase</v>
      </c>
      <c r="D45" s="10">
        <f t="shared" si="1"/>
        <v>45300</v>
      </c>
      <c r="E45" s="10">
        <f t="shared" si="2"/>
        <v>45299</v>
      </c>
      <c r="F45" s="10">
        <f t="shared" si="3"/>
        <v>45292</v>
      </c>
      <c r="G45" s="11"/>
    </row>
    <row r="46">
      <c r="A46" s="5">
        <f>IFERROR(__xludf.DUMMYFUNCTION("""COMPUTED_VALUE"""),5603.0)</f>
        <v>5603</v>
      </c>
      <c r="B46" s="9">
        <f>IFERROR(__xludf.DUMMYFUNCTION("""COMPUTED_VALUE"""),45301.06765046297)</f>
        <v>45301.06765</v>
      </c>
      <c r="C46" s="5" t="str">
        <f>IFERROR(__xludf.DUMMYFUNCTION("""COMPUTED_VALUE"""),"purchase")</f>
        <v>purchase</v>
      </c>
      <c r="D46" s="10">
        <f t="shared" si="1"/>
        <v>45301</v>
      </c>
      <c r="E46" s="10">
        <f t="shared" si="2"/>
        <v>45299</v>
      </c>
      <c r="F46" s="10">
        <f t="shared" si="3"/>
        <v>45292</v>
      </c>
      <c r="G46" s="11"/>
    </row>
    <row r="47">
      <c r="A47" s="5">
        <f>IFERROR(__xludf.DUMMYFUNCTION("""COMPUTED_VALUE"""),209.0)</f>
        <v>209</v>
      </c>
      <c r="B47" s="9">
        <f>IFERROR(__xludf.DUMMYFUNCTION("""COMPUTED_VALUE"""),45301.087592592594)</f>
        <v>45301.08759</v>
      </c>
      <c r="C47" s="5" t="str">
        <f>IFERROR(__xludf.DUMMYFUNCTION("""COMPUTED_VALUE"""),"purchase")</f>
        <v>purchase</v>
      </c>
      <c r="D47" s="10">
        <f t="shared" si="1"/>
        <v>45301</v>
      </c>
      <c r="E47" s="10">
        <f t="shared" si="2"/>
        <v>45299</v>
      </c>
      <c r="F47" s="10">
        <f t="shared" si="3"/>
        <v>45292</v>
      </c>
      <c r="G47" s="11"/>
    </row>
    <row r="48">
      <c r="A48" s="5">
        <f>IFERROR(__xludf.DUMMYFUNCTION("""COMPUTED_VALUE"""),4499.0)</f>
        <v>4499</v>
      </c>
      <c r="B48" s="9">
        <f>IFERROR(__xludf.DUMMYFUNCTION("""COMPUTED_VALUE"""),45301.26042824074)</f>
        <v>45301.26043</v>
      </c>
      <c r="C48" s="5" t="str">
        <f>IFERROR(__xludf.DUMMYFUNCTION("""COMPUTED_VALUE"""),"purchase")</f>
        <v>purchase</v>
      </c>
      <c r="D48" s="10">
        <f t="shared" si="1"/>
        <v>45301</v>
      </c>
      <c r="E48" s="10">
        <f t="shared" si="2"/>
        <v>45299</v>
      </c>
      <c r="F48" s="10">
        <f t="shared" si="3"/>
        <v>45292</v>
      </c>
      <c r="G48" s="11"/>
    </row>
    <row r="49">
      <c r="A49" s="5">
        <f>IFERROR(__xludf.DUMMYFUNCTION("""COMPUTED_VALUE"""),4598.0)</f>
        <v>4598</v>
      </c>
      <c r="B49" s="9">
        <f>IFERROR(__xludf.DUMMYFUNCTION("""COMPUTED_VALUE"""),45301.315034722225)</f>
        <v>45301.31503</v>
      </c>
      <c r="C49" s="5" t="str">
        <f>IFERROR(__xludf.DUMMYFUNCTION("""COMPUTED_VALUE"""),"purchase")</f>
        <v>purchase</v>
      </c>
      <c r="D49" s="10">
        <f t="shared" si="1"/>
        <v>45301</v>
      </c>
      <c r="E49" s="10">
        <f t="shared" si="2"/>
        <v>45299</v>
      </c>
      <c r="F49" s="10">
        <f t="shared" si="3"/>
        <v>45292</v>
      </c>
      <c r="G49" s="11"/>
    </row>
    <row r="50">
      <c r="A50" s="5">
        <f>IFERROR(__xludf.DUMMYFUNCTION("""COMPUTED_VALUE"""),5307.0)</f>
        <v>5307</v>
      </c>
      <c r="B50" s="9">
        <f>IFERROR(__xludf.DUMMYFUNCTION("""COMPUTED_VALUE"""),45301.40865740741)</f>
        <v>45301.40866</v>
      </c>
      <c r="C50" s="5" t="str">
        <f>IFERROR(__xludf.DUMMYFUNCTION("""COMPUTED_VALUE"""),"purchase")</f>
        <v>purchase</v>
      </c>
      <c r="D50" s="10">
        <f t="shared" si="1"/>
        <v>45301</v>
      </c>
      <c r="E50" s="10">
        <f t="shared" si="2"/>
        <v>45299</v>
      </c>
      <c r="F50" s="10">
        <f t="shared" si="3"/>
        <v>45292</v>
      </c>
      <c r="G50" s="11"/>
    </row>
    <row r="51">
      <c r="A51" s="5">
        <f>IFERROR(__xludf.DUMMYFUNCTION("""COMPUTED_VALUE"""),7987.0)</f>
        <v>7987</v>
      </c>
      <c r="B51" s="9">
        <f>IFERROR(__xludf.DUMMYFUNCTION("""COMPUTED_VALUE"""),45301.46329861111)</f>
        <v>45301.4633</v>
      </c>
      <c r="C51" s="5" t="str">
        <f>IFERROR(__xludf.DUMMYFUNCTION("""COMPUTED_VALUE"""),"purchase")</f>
        <v>purchase</v>
      </c>
      <c r="D51" s="10">
        <f t="shared" si="1"/>
        <v>45301</v>
      </c>
      <c r="E51" s="10">
        <f t="shared" si="2"/>
        <v>45299</v>
      </c>
      <c r="F51" s="10">
        <f t="shared" si="3"/>
        <v>45292</v>
      </c>
      <c r="G51" s="11"/>
    </row>
    <row r="52">
      <c r="A52" s="5">
        <f>IFERROR(__xludf.DUMMYFUNCTION("""COMPUTED_VALUE"""),6315.0)</f>
        <v>6315</v>
      </c>
      <c r="B52" s="9">
        <f>IFERROR(__xludf.DUMMYFUNCTION("""COMPUTED_VALUE"""),45301.47777777778)</f>
        <v>45301.47778</v>
      </c>
      <c r="C52" s="5" t="str">
        <f>IFERROR(__xludf.DUMMYFUNCTION("""COMPUTED_VALUE"""),"purchase")</f>
        <v>purchase</v>
      </c>
      <c r="D52" s="10">
        <f t="shared" si="1"/>
        <v>45301</v>
      </c>
      <c r="E52" s="10">
        <f t="shared" si="2"/>
        <v>45299</v>
      </c>
      <c r="F52" s="10">
        <f t="shared" si="3"/>
        <v>45292</v>
      </c>
      <c r="G52" s="11"/>
    </row>
    <row r="53">
      <c r="A53" s="5">
        <f>IFERROR(__xludf.DUMMYFUNCTION("""COMPUTED_VALUE"""),4797.0)</f>
        <v>4797</v>
      </c>
      <c r="B53" s="9">
        <f>IFERROR(__xludf.DUMMYFUNCTION("""COMPUTED_VALUE"""),45301.58248842593)</f>
        <v>45301.58249</v>
      </c>
      <c r="C53" s="5" t="str">
        <f>IFERROR(__xludf.DUMMYFUNCTION("""COMPUTED_VALUE"""),"purchase")</f>
        <v>purchase</v>
      </c>
      <c r="D53" s="10">
        <f t="shared" si="1"/>
        <v>45301</v>
      </c>
      <c r="E53" s="10">
        <f t="shared" si="2"/>
        <v>45299</v>
      </c>
      <c r="F53" s="10">
        <f t="shared" si="3"/>
        <v>45292</v>
      </c>
      <c r="G53" s="11"/>
    </row>
    <row r="54">
      <c r="A54" s="5">
        <f>IFERROR(__xludf.DUMMYFUNCTION("""COMPUTED_VALUE"""),6920.0)</f>
        <v>6920</v>
      </c>
      <c r="B54" s="9">
        <f>IFERROR(__xludf.DUMMYFUNCTION("""COMPUTED_VALUE"""),45301.59040509259)</f>
        <v>45301.59041</v>
      </c>
      <c r="C54" s="5" t="str">
        <f>IFERROR(__xludf.DUMMYFUNCTION("""COMPUTED_VALUE"""),"purchase")</f>
        <v>purchase</v>
      </c>
      <c r="D54" s="10">
        <f t="shared" si="1"/>
        <v>45301</v>
      </c>
      <c r="E54" s="10">
        <f t="shared" si="2"/>
        <v>45299</v>
      </c>
      <c r="F54" s="10">
        <f t="shared" si="3"/>
        <v>45292</v>
      </c>
      <c r="G54" s="11"/>
    </row>
    <row r="55">
      <c r="A55" s="5">
        <f>IFERROR(__xludf.DUMMYFUNCTION("""COMPUTED_VALUE"""),234.0)</f>
        <v>234</v>
      </c>
      <c r="B55" s="9">
        <f>IFERROR(__xludf.DUMMYFUNCTION("""COMPUTED_VALUE"""),45301.63476851852)</f>
        <v>45301.63477</v>
      </c>
      <c r="C55" s="5" t="str">
        <f>IFERROR(__xludf.DUMMYFUNCTION("""COMPUTED_VALUE"""),"purchase")</f>
        <v>purchase</v>
      </c>
      <c r="D55" s="10">
        <f t="shared" si="1"/>
        <v>45301</v>
      </c>
      <c r="E55" s="10">
        <f t="shared" si="2"/>
        <v>45299</v>
      </c>
      <c r="F55" s="10">
        <f t="shared" si="3"/>
        <v>45292</v>
      </c>
      <c r="G55" s="11"/>
    </row>
    <row r="56">
      <c r="A56" s="5">
        <f>IFERROR(__xludf.DUMMYFUNCTION("""COMPUTED_VALUE"""),2524.0)</f>
        <v>2524</v>
      </c>
      <c r="B56" s="9">
        <f>IFERROR(__xludf.DUMMYFUNCTION("""COMPUTED_VALUE"""),45301.660416666666)</f>
        <v>45301.66042</v>
      </c>
      <c r="C56" s="5" t="str">
        <f>IFERROR(__xludf.DUMMYFUNCTION("""COMPUTED_VALUE"""),"purchase")</f>
        <v>purchase</v>
      </c>
      <c r="D56" s="10">
        <f t="shared" si="1"/>
        <v>45301</v>
      </c>
      <c r="E56" s="10">
        <f t="shared" si="2"/>
        <v>45299</v>
      </c>
      <c r="F56" s="10">
        <f t="shared" si="3"/>
        <v>45292</v>
      </c>
      <c r="G56" s="11"/>
    </row>
    <row r="57">
      <c r="A57" s="5">
        <f>IFERROR(__xludf.DUMMYFUNCTION("""COMPUTED_VALUE"""),1967.0)</f>
        <v>1967</v>
      </c>
      <c r="B57" s="9">
        <f>IFERROR(__xludf.DUMMYFUNCTION("""COMPUTED_VALUE"""),45301.689259259256)</f>
        <v>45301.68926</v>
      </c>
      <c r="C57" s="5" t="str">
        <f>IFERROR(__xludf.DUMMYFUNCTION("""COMPUTED_VALUE"""),"purchase")</f>
        <v>purchase</v>
      </c>
      <c r="D57" s="10">
        <f t="shared" si="1"/>
        <v>45301</v>
      </c>
      <c r="E57" s="10">
        <f t="shared" si="2"/>
        <v>45299</v>
      </c>
      <c r="F57" s="10">
        <f t="shared" si="3"/>
        <v>45292</v>
      </c>
      <c r="G57" s="11"/>
    </row>
    <row r="58">
      <c r="A58" s="5">
        <f>IFERROR(__xludf.DUMMYFUNCTION("""COMPUTED_VALUE"""),577.0)</f>
        <v>577</v>
      </c>
      <c r="B58" s="9">
        <f>IFERROR(__xludf.DUMMYFUNCTION("""COMPUTED_VALUE"""),45301.702511574076)</f>
        <v>45301.70251</v>
      </c>
      <c r="C58" s="5" t="str">
        <f>IFERROR(__xludf.DUMMYFUNCTION("""COMPUTED_VALUE"""),"purchase")</f>
        <v>purchase</v>
      </c>
      <c r="D58" s="10">
        <f t="shared" si="1"/>
        <v>45301</v>
      </c>
      <c r="E58" s="10">
        <f t="shared" si="2"/>
        <v>45299</v>
      </c>
      <c r="F58" s="10">
        <f t="shared" si="3"/>
        <v>45292</v>
      </c>
      <c r="G58" s="11"/>
    </row>
    <row r="59">
      <c r="A59" s="5">
        <f>IFERROR(__xludf.DUMMYFUNCTION("""COMPUTED_VALUE"""),5828.0)</f>
        <v>5828</v>
      </c>
      <c r="B59" s="9">
        <f>IFERROR(__xludf.DUMMYFUNCTION("""COMPUTED_VALUE"""),45301.811423611114)</f>
        <v>45301.81142</v>
      </c>
      <c r="C59" s="5" t="str">
        <f>IFERROR(__xludf.DUMMYFUNCTION("""COMPUTED_VALUE"""),"purchase")</f>
        <v>purchase</v>
      </c>
      <c r="D59" s="10">
        <f t="shared" si="1"/>
        <v>45301</v>
      </c>
      <c r="E59" s="10">
        <f t="shared" si="2"/>
        <v>45299</v>
      </c>
      <c r="F59" s="10">
        <f t="shared" si="3"/>
        <v>45292</v>
      </c>
      <c r="G59" s="11"/>
    </row>
    <row r="60">
      <c r="A60" s="5">
        <f>IFERROR(__xludf.DUMMYFUNCTION("""COMPUTED_VALUE"""),5156.0)</f>
        <v>5156</v>
      </c>
      <c r="B60" s="9">
        <f>IFERROR(__xludf.DUMMYFUNCTION("""COMPUTED_VALUE"""),45301.845821759256)</f>
        <v>45301.84582</v>
      </c>
      <c r="C60" s="5" t="str">
        <f>IFERROR(__xludf.DUMMYFUNCTION("""COMPUTED_VALUE"""),"purchase")</f>
        <v>purchase</v>
      </c>
      <c r="D60" s="10">
        <f t="shared" si="1"/>
        <v>45301</v>
      </c>
      <c r="E60" s="10">
        <f t="shared" si="2"/>
        <v>45299</v>
      </c>
      <c r="F60" s="10">
        <f t="shared" si="3"/>
        <v>45292</v>
      </c>
      <c r="G60" s="11"/>
    </row>
    <row r="61">
      <c r="A61" s="5">
        <f>IFERROR(__xludf.DUMMYFUNCTION("""COMPUTED_VALUE"""),1906.0)</f>
        <v>1906</v>
      </c>
      <c r="B61" s="9">
        <f>IFERROR(__xludf.DUMMYFUNCTION("""COMPUTED_VALUE"""),45301.93478009259)</f>
        <v>45301.93478</v>
      </c>
      <c r="C61" s="5" t="str">
        <f>IFERROR(__xludf.DUMMYFUNCTION("""COMPUTED_VALUE"""),"purchase")</f>
        <v>purchase</v>
      </c>
      <c r="D61" s="10">
        <f t="shared" si="1"/>
        <v>45301</v>
      </c>
      <c r="E61" s="10">
        <f t="shared" si="2"/>
        <v>45299</v>
      </c>
      <c r="F61" s="10">
        <f t="shared" si="3"/>
        <v>45292</v>
      </c>
      <c r="G61" s="11"/>
    </row>
    <row r="62">
      <c r="A62" s="5">
        <f>IFERROR(__xludf.DUMMYFUNCTION("""COMPUTED_VALUE"""),6791.0)</f>
        <v>6791</v>
      </c>
      <c r="B62" s="9">
        <f>IFERROR(__xludf.DUMMYFUNCTION("""COMPUTED_VALUE"""),45302.17167824074)</f>
        <v>45302.17168</v>
      </c>
      <c r="C62" s="5" t="str">
        <f>IFERROR(__xludf.DUMMYFUNCTION("""COMPUTED_VALUE"""),"purchase")</f>
        <v>purchase</v>
      </c>
      <c r="D62" s="10">
        <f t="shared" si="1"/>
        <v>45302</v>
      </c>
      <c r="E62" s="10">
        <f t="shared" si="2"/>
        <v>45299</v>
      </c>
      <c r="F62" s="10">
        <f t="shared" si="3"/>
        <v>45292</v>
      </c>
      <c r="G62" s="11"/>
    </row>
    <row r="63">
      <c r="A63" s="5">
        <f>IFERROR(__xludf.DUMMYFUNCTION("""COMPUTED_VALUE"""),734.0)</f>
        <v>734</v>
      </c>
      <c r="B63" s="9">
        <f>IFERROR(__xludf.DUMMYFUNCTION("""COMPUTED_VALUE"""),45302.25179398148)</f>
        <v>45302.25179</v>
      </c>
      <c r="C63" s="5" t="str">
        <f>IFERROR(__xludf.DUMMYFUNCTION("""COMPUTED_VALUE"""),"purchase")</f>
        <v>purchase</v>
      </c>
      <c r="D63" s="10">
        <f t="shared" si="1"/>
        <v>45302</v>
      </c>
      <c r="E63" s="10">
        <f t="shared" si="2"/>
        <v>45299</v>
      </c>
      <c r="F63" s="10">
        <f t="shared" si="3"/>
        <v>45292</v>
      </c>
      <c r="G63" s="11"/>
    </row>
    <row r="64">
      <c r="A64" s="5">
        <f>IFERROR(__xludf.DUMMYFUNCTION("""COMPUTED_VALUE"""),4120.0)</f>
        <v>4120</v>
      </c>
      <c r="B64" s="9">
        <f>IFERROR(__xludf.DUMMYFUNCTION("""COMPUTED_VALUE"""),45302.34556712963)</f>
        <v>45302.34557</v>
      </c>
      <c r="C64" s="5" t="str">
        <f>IFERROR(__xludf.DUMMYFUNCTION("""COMPUTED_VALUE"""),"purchase")</f>
        <v>purchase</v>
      </c>
      <c r="D64" s="10">
        <f t="shared" si="1"/>
        <v>45302</v>
      </c>
      <c r="E64" s="10">
        <f t="shared" si="2"/>
        <v>45299</v>
      </c>
      <c r="F64" s="10">
        <f t="shared" si="3"/>
        <v>45292</v>
      </c>
      <c r="G64" s="11"/>
    </row>
    <row r="65">
      <c r="A65" s="5">
        <f>IFERROR(__xludf.DUMMYFUNCTION("""COMPUTED_VALUE"""),1587.0)</f>
        <v>1587</v>
      </c>
      <c r="B65" s="9">
        <f>IFERROR(__xludf.DUMMYFUNCTION("""COMPUTED_VALUE"""),45302.3981712963)</f>
        <v>45302.39817</v>
      </c>
      <c r="C65" s="5" t="str">
        <f>IFERROR(__xludf.DUMMYFUNCTION("""COMPUTED_VALUE"""),"purchase")</f>
        <v>purchase</v>
      </c>
      <c r="D65" s="10">
        <f t="shared" si="1"/>
        <v>45302</v>
      </c>
      <c r="E65" s="10">
        <f t="shared" si="2"/>
        <v>45299</v>
      </c>
      <c r="F65" s="10">
        <f t="shared" si="3"/>
        <v>45292</v>
      </c>
      <c r="G65" s="11"/>
    </row>
    <row r="66">
      <c r="A66" s="5">
        <f>IFERROR(__xludf.DUMMYFUNCTION("""COMPUTED_VALUE"""),1455.0)</f>
        <v>1455</v>
      </c>
      <c r="B66" s="9">
        <f>IFERROR(__xludf.DUMMYFUNCTION("""COMPUTED_VALUE"""),45302.53958333333)</f>
        <v>45302.53958</v>
      </c>
      <c r="C66" s="5" t="str">
        <f>IFERROR(__xludf.DUMMYFUNCTION("""COMPUTED_VALUE"""),"purchase")</f>
        <v>purchase</v>
      </c>
      <c r="D66" s="10">
        <f t="shared" si="1"/>
        <v>45302</v>
      </c>
      <c r="E66" s="10">
        <f t="shared" si="2"/>
        <v>45299</v>
      </c>
      <c r="F66" s="10">
        <f t="shared" si="3"/>
        <v>45292</v>
      </c>
      <c r="G66" s="11"/>
    </row>
    <row r="67">
      <c r="A67" s="5">
        <f>IFERROR(__xludf.DUMMYFUNCTION("""COMPUTED_VALUE"""),799.0)</f>
        <v>799</v>
      </c>
      <c r="B67" s="9">
        <f>IFERROR(__xludf.DUMMYFUNCTION("""COMPUTED_VALUE"""),45302.63625)</f>
        <v>45302.63625</v>
      </c>
      <c r="C67" s="5" t="str">
        <f>IFERROR(__xludf.DUMMYFUNCTION("""COMPUTED_VALUE"""),"purchase")</f>
        <v>purchase</v>
      </c>
      <c r="D67" s="10">
        <f t="shared" si="1"/>
        <v>45302</v>
      </c>
      <c r="E67" s="10">
        <f t="shared" si="2"/>
        <v>45299</v>
      </c>
      <c r="F67" s="10">
        <f t="shared" si="3"/>
        <v>45292</v>
      </c>
      <c r="G67" s="11"/>
    </row>
    <row r="68">
      <c r="A68" s="5">
        <f>IFERROR(__xludf.DUMMYFUNCTION("""COMPUTED_VALUE"""),6339.0)</f>
        <v>6339</v>
      </c>
      <c r="B68" s="9">
        <f>IFERROR(__xludf.DUMMYFUNCTION("""COMPUTED_VALUE"""),45302.64204861111)</f>
        <v>45302.64205</v>
      </c>
      <c r="C68" s="5" t="str">
        <f>IFERROR(__xludf.DUMMYFUNCTION("""COMPUTED_VALUE"""),"purchase")</f>
        <v>purchase</v>
      </c>
      <c r="D68" s="10">
        <f t="shared" si="1"/>
        <v>45302</v>
      </c>
      <c r="E68" s="10">
        <f t="shared" si="2"/>
        <v>45299</v>
      </c>
      <c r="F68" s="10">
        <f t="shared" si="3"/>
        <v>45292</v>
      </c>
      <c r="G68" s="11"/>
    </row>
    <row r="69">
      <c r="A69" s="5">
        <f>IFERROR(__xludf.DUMMYFUNCTION("""COMPUTED_VALUE"""),2150.0)</f>
        <v>2150</v>
      </c>
      <c r="B69" s="9">
        <f>IFERROR(__xludf.DUMMYFUNCTION("""COMPUTED_VALUE"""),45302.68719907408)</f>
        <v>45302.6872</v>
      </c>
      <c r="C69" s="5" t="str">
        <f>IFERROR(__xludf.DUMMYFUNCTION("""COMPUTED_VALUE"""),"purchase")</f>
        <v>purchase</v>
      </c>
      <c r="D69" s="10">
        <f t="shared" si="1"/>
        <v>45302</v>
      </c>
      <c r="E69" s="10">
        <f t="shared" si="2"/>
        <v>45299</v>
      </c>
      <c r="F69" s="10">
        <f t="shared" si="3"/>
        <v>45292</v>
      </c>
      <c r="G69" s="11"/>
    </row>
    <row r="70">
      <c r="A70" s="5">
        <f>IFERROR(__xludf.DUMMYFUNCTION("""COMPUTED_VALUE"""),6799.0)</f>
        <v>6799</v>
      </c>
      <c r="B70" s="9">
        <f>IFERROR(__xludf.DUMMYFUNCTION("""COMPUTED_VALUE"""),45302.76644675926)</f>
        <v>45302.76645</v>
      </c>
      <c r="C70" s="5" t="str">
        <f>IFERROR(__xludf.DUMMYFUNCTION("""COMPUTED_VALUE"""),"purchase")</f>
        <v>purchase</v>
      </c>
      <c r="D70" s="10">
        <f t="shared" si="1"/>
        <v>45302</v>
      </c>
      <c r="E70" s="10">
        <f t="shared" si="2"/>
        <v>45299</v>
      </c>
      <c r="F70" s="10">
        <f t="shared" si="3"/>
        <v>45292</v>
      </c>
      <c r="G70" s="11"/>
    </row>
    <row r="71">
      <c r="A71" s="5">
        <f>IFERROR(__xludf.DUMMYFUNCTION("""COMPUTED_VALUE"""),4512.0)</f>
        <v>4512</v>
      </c>
      <c r="B71" s="9">
        <f>IFERROR(__xludf.DUMMYFUNCTION("""COMPUTED_VALUE"""),45302.86561342593)</f>
        <v>45302.86561</v>
      </c>
      <c r="C71" s="5" t="str">
        <f>IFERROR(__xludf.DUMMYFUNCTION("""COMPUTED_VALUE"""),"purchase")</f>
        <v>purchase</v>
      </c>
      <c r="D71" s="10">
        <f t="shared" si="1"/>
        <v>45302</v>
      </c>
      <c r="E71" s="10">
        <f t="shared" si="2"/>
        <v>45299</v>
      </c>
      <c r="F71" s="10">
        <f t="shared" si="3"/>
        <v>45292</v>
      </c>
      <c r="G71" s="11"/>
    </row>
    <row r="72">
      <c r="A72" s="5">
        <f>IFERROR(__xludf.DUMMYFUNCTION("""COMPUTED_VALUE"""),2620.0)</f>
        <v>2620</v>
      </c>
      <c r="B72" s="9">
        <f>IFERROR(__xludf.DUMMYFUNCTION("""COMPUTED_VALUE"""),45302.953576388885)</f>
        <v>45302.95358</v>
      </c>
      <c r="C72" s="5" t="str">
        <f>IFERROR(__xludf.DUMMYFUNCTION("""COMPUTED_VALUE"""),"purchase")</f>
        <v>purchase</v>
      </c>
      <c r="D72" s="10">
        <f t="shared" si="1"/>
        <v>45302</v>
      </c>
      <c r="E72" s="10">
        <f t="shared" si="2"/>
        <v>45299</v>
      </c>
      <c r="F72" s="10">
        <f t="shared" si="3"/>
        <v>45292</v>
      </c>
      <c r="G72" s="11"/>
    </row>
    <row r="73">
      <c r="A73" s="5">
        <f>IFERROR(__xludf.DUMMYFUNCTION("""COMPUTED_VALUE"""),1058.0)</f>
        <v>1058</v>
      </c>
      <c r="B73" s="9">
        <f>IFERROR(__xludf.DUMMYFUNCTION("""COMPUTED_VALUE"""),45302.963784722226)</f>
        <v>45302.96378</v>
      </c>
      <c r="C73" s="5" t="str">
        <f>IFERROR(__xludf.DUMMYFUNCTION("""COMPUTED_VALUE"""),"purchase")</f>
        <v>purchase</v>
      </c>
      <c r="D73" s="10">
        <f t="shared" si="1"/>
        <v>45302</v>
      </c>
      <c r="E73" s="10">
        <f t="shared" si="2"/>
        <v>45299</v>
      </c>
      <c r="F73" s="10">
        <f t="shared" si="3"/>
        <v>45292</v>
      </c>
      <c r="G73" s="11"/>
    </row>
    <row r="74">
      <c r="A74" s="5">
        <f>IFERROR(__xludf.DUMMYFUNCTION("""COMPUTED_VALUE"""),5489.0)</f>
        <v>5489</v>
      </c>
      <c r="B74" s="9">
        <f>IFERROR(__xludf.DUMMYFUNCTION("""COMPUTED_VALUE"""),45302.994988425926)</f>
        <v>45302.99499</v>
      </c>
      <c r="C74" s="5" t="str">
        <f>IFERROR(__xludf.DUMMYFUNCTION("""COMPUTED_VALUE"""),"purchase")</f>
        <v>purchase</v>
      </c>
      <c r="D74" s="10">
        <f t="shared" si="1"/>
        <v>45302</v>
      </c>
      <c r="E74" s="10">
        <f t="shared" si="2"/>
        <v>45299</v>
      </c>
      <c r="F74" s="10">
        <f t="shared" si="3"/>
        <v>45292</v>
      </c>
      <c r="G74" s="11"/>
    </row>
    <row r="75">
      <c r="A75" s="5">
        <f>IFERROR(__xludf.DUMMYFUNCTION("""COMPUTED_VALUE"""),3616.0)</f>
        <v>3616</v>
      </c>
      <c r="B75" s="9">
        <f>IFERROR(__xludf.DUMMYFUNCTION("""COMPUTED_VALUE"""),45303.00393518519)</f>
        <v>45303.00394</v>
      </c>
      <c r="C75" s="5" t="str">
        <f>IFERROR(__xludf.DUMMYFUNCTION("""COMPUTED_VALUE"""),"purchase")</f>
        <v>purchase</v>
      </c>
      <c r="D75" s="10">
        <f t="shared" si="1"/>
        <v>45303</v>
      </c>
      <c r="E75" s="10">
        <f t="shared" si="2"/>
        <v>45299</v>
      </c>
      <c r="F75" s="10">
        <f t="shared" si="3"/>
        <v>45292</v>
      </c>
      <c r="G75" s="11"/>
    </row>
    <row r="76">
      <c r="A76" s="5">
        <f>IFERROR(__xludf.DUMMYFUNCTION("""COMPUTED_VALUE"""),1128.0)</f>
        <v>1128</v>
      </c>
      <c r="B76" s="9">
        <f>IFERROR(__xludf.DUMMYFUNCTION("""COMPUTED_VALUE"""),45303.04736111111)</f>
        <v>45303.04736</v>
      </c>
      <c r="C76" s="5" t="str">
        <f>IFERROR(__xludf.DUMMYFUNCTION("""COMPUTED_VALUE"""),"purchase")</f>
        <v>purchase</v>
      </c>
      <c r="D76" s="10">
        <f t="shared" si="1"/>
        <v>45303</v>
      </c>
      <c r="E76" s="10">
        <f t="shared" si="2"/>
        <v>45299</v>
      </c>
      <c r="F76" s="10">
        <f t="shared" si="3"/>
        <v>45292</v>
      </c>
      <c r="G76" s="11"/>
    </row>
    <row r="77">
      <c r="A77" s="5">
        <f>IFERROR(__xludf.DUMMYFUNCTION("""COMPUTED_VALUE"""),5367.0)</f>
        <v>5367</v>
      </c>
      <c r="B77" s="9">
        <f>IFERROR(__xludf.DUMMYFUNCTION("""COMPUTED_VALUE"""),45303.18243055556)</f>
        <v>45303.18243</v>
      </c>
      <c r="C77" s="5" t="str">
        <f>IFERROR(__xludf.DUMMYFUNCTION("""COMPUTED_VALUE"""),"purchase")</f>
        <v>purchase</v>
      </c>
      <c r="D77" s="10">
        <f t="shared" si="1"/>
        <v>45303</v>
      </c>
      <c r="E77" s="10">
        <f t="shared" si="2"/>
        <v>45299</v>
      </c>
      <c r="F77" s="10">
        <f t="shared" si="3"/>
        <v>45292</v>
      </c>
      <c r="G77" s="11"/>
    </row>
    <row r="78">
      <c r="A78" s="5">
        <f>IFERROR(__xludf.DUMMYFUNCTION("""COMPUTED_VALUE"""),5390.0)</f>
        <v>5390</v>
      </c>
      <c r="B78" s="9">
        <f>IFERROR(__xludf.DUMMYFUNCTION("""COMPUTED_VALUE"""),45303.18853009259)</f>
        <v>45303.18853</v>
      </c>
      <c r="C78" s="5" t="str">
        <f>IFERROR(__xludf.DUMMYFUNCTION("""COMPUTED_VALUE"""),"purchase")</f>
        <v>purchase</v>
      </c>
      <c r="D78" s="10">
        <f t="shared" si="1"/>
        <v>45303</v>
      </c>
      <c r="E78" s="10">
        <f t="shared" si="2"/>
        <v>45299</v>
      </c>
      <c r="F78" s="10">
        <f t="shared" si="3"/>
        <v>45292</v>
      </c>
      <c r="G78" s="11"/>
    </row>
    <row r="79">
      <c r="A79" s="5">
        <f>IFERROR(__xludf.DUMMYFUNCTION("""COMPUTED_VALUE"""),5633.0)</f>
        <v>5633</v>
      </c>
      <c r="B79" s="9">
        <f>IFERROR(__xludf.DUMMYFUNCTION("""COMPUTED_VALUE"""),45303.24318287037)</f>
        <v>45303.24318</v>
      </c>
      <c r="C79" s="5" t="str">
        <f>IFERROR(__xludf.DUMMYFUNCTION("""COMPUTED_VALUE"""),"purchase")</f>
        <v>purchase</v>
      </c>
      <c r="D79" s="10">
        <f t="shared" si="1"/>
        <v>45303</v>
      </c>
      <c r="E79" s="10">
        <f t="shared" si="2"/>
        <v>45299</v>
      </c>
      <c r="F79" s="10">
        <f t="shared" si="3"/>
        <v>45292</v>
      </c>
      <c r="G79" s="11"/>
    </row>
    <row r="80">
      <c r="A80" s="5">
        <f>IFERROR(__xludf.DUMMYFUNCTION("""COMPUTED_VALUE"""),4772.0)</f>
        <v>4772</v>
      </c>
      <c r="B80" s="9">
        <f>IFERROR(__xludf.DUMMYFUNCTION("""COMPUTED_VALUE"""),45303.30613425926)</f>
        <v>45303.30613</v>
      </c>
      <c r="C80" s="5" t="str">
        <f>IFERROR(__xludf.DUMMYFUNCTION("""COMPUTED_VALUE"""),"purchase")</f>
        <v>purchase</v>
      </c>
      <c r="D80" s="10">
        <f t="shared" si="1"/>
        <v>45303</v>
      </c>
      <c r="E80" s="10">
        <f t="shared" si="2"/>
        <v>45299</v>
      </c>
      <c r="F80" s="10">
        <f t="shared" si="3"/>
        <v>45292</v>
      </c>
      <c r="G80" s="11"/>
    </row>
    <row r="81">
      <c r="A81" s="5">
        <f>IFERROR(__xludf.DUMMYFUNCTION("""COMPUTED_VALUE"""),2852.0)</f>
        <v>2852</v>
      </c>
      <c r="B81" s="9">
        <f>IFERROR(__xludf.DUMMYFUNCTION("""COMPUTED_VALUE"""),45303.49109953704)</f>
        <v>45303.4911</v>
      </c>
      <c r="C81" s="5" t="str">
        <f>IFERROR(__xludf.DUMMYFUNCTION("""COMPUTED_VALUE"""),"purchase")</f>
        <v>purchase</v>
      </c>
      <c r="D81" s="10">
        <f t="shared" si="1"/>
        <v>45303</v>
      </c>
      <c r="E81" s="10">
        <f t="shared" si="2"/>
        <v>45299</v>
      </c>
      <c r="F81" s="10">
        <f t="shared" si="3"/>
        <v>45292</v>
      </c>
      <c r="G81" s="11"/>
    </row>
    <row r="82">
      <c r="A82" s="5">
        <f>IFERROR(__xludf.DUMMYFUNCTION("""COMPUTED_VALUE"""),3718.0)</f>
        <v>3718</v>
      </c>
      <c r="B82" s="9">
        <f>IFERROR(__xludf.DUMMYFUNCTION("""COMPUTED_VALUE"""),45303.627858796295)</f>
        <v>45303.62786</v>
      </c>
      <c r="C82" s="5" t="str">
        <f>IFERROR(__xludf.DUMMYFUNCTION("""COMPUTED_VALUE"""),"purchase")</f>
        <v>purchase</v>
      </c>
      <c r="D82" s="10">
        <f t="shared" si="1"/>
        <v>45303</v>
      </c>
      <c r="E82" s="10">
        <f t="shared" si="2"/>
        <v>45299</v>
      </c>
      <c r="F82" s="10">
        <f t="shared" si="3"/>
        <v>45292</v>
      </c>
      <c r="G82" s="11"/>
    </row>
    <row r="83">
      <c r="A83" s="5">
        <f>IFERROR(__xludf.DUMMYFUNCTION("""COMPUTED_VALUE"""),334.0)</f>
        <v>334</v>
      </c>
      <c r="B83" s="9">
        <f>IFERROR(__xludf.DUMMYFUNCTION("""COMPUTED_VALUE"""),45303.87496527778)</f>
        <v>45303.87497</v>
      </c>
      <c r="C83" s="5" t="str">
        <f>IFERROR(__xludf.DUMMYFUNCTION("""COMPUTED_VALUE"""),"purchase")</f>
        <v>purchase</v>
      </c>
      <c r="D83" s="10">
        <f t="shared" si="1"/>
        <v>45303</v>
      </c>
      <c r="E83" s="10">
        <f t="shared" si="2"/>
        <v>45299</v>
      </c>
      <c r="F83" s="10">
        <f t="shared" si="3"/>
        <v>45292</v>
      </c>
      <c r="G83" s="11"/>
    </row>
    <row r="84">
      <c r="A84" s="5">
        <f>IFERROR(__xludf.DUMMYFUNCTION("""COMPUTED_VALUE"""),1898.0)</f>
        <v>1898</v>
      </c>
      <c r="B84" s="9">
        <f>IFERROR(__xludf.DUMMYFUNCTION("""COMPUTED_VALUE"""),45303.942199074074)</f>
        <v>45303.9422</v>
      </c>
      <c r="C84" s="5" t="str">
        <f>IFERROR(__xludf.DUMMYFUNCTION("""COMPUTED_VALUE"""),"purchase")</f>
        <v>purchase</v>
      </c>
      <c r="D84" s="10">
        <f t="shared" si="1"/>
        <v>45303</v>
      </c>
      <c r="E84" s="10">
        <f t="shared" si="2"/>
        <v>45299</v>
      </c>
      <c r="F84" s="10">
        <f t="shared" si="3"/>
        <v>45292</v>
      </c>
      <c r="G84" s="11"/>
    </row>
    <row r="85">
      <c r="A85" s="5">
        <f>IFERROR(__xludf.DUMMYFUNCTION("""COMPUTED_VALUE"""),4694.0)</f>
        <v>4694</v>
      </c>
      <c r="B85" s="9">
        <f>IFERROR(__xludf.DUMMYFUNCTION("""COMPUTED_VALUE"""),45303.954618055555)</f>
        <v>45303.95462</v>
      </c>
      <c r="C85" s="5" t="str">
        <f>IFERROR(__xludf.DUMMYFUNCTION("""COMPUTED_VALUE"""),"purchase")</f>
        <v>purchase</v>
      </c>
      <c r="D85" s="10">
        <f t="shared" si="1"/>
        <v>45303</v>
      </c>
      <c r="E85" s="10">
        <f t="shared" si="2"/>
        <v>45299</v>
      </c>
      <c r="F85" s="10">
        <f t="shared" si="3"/>
        <v>45292</v>
      </c>
      <c r="G85" s="11"/>
    </row>
    <row r="86">
      <c r="A86" s="5">
        <f>IFERROR(__xludf.DUMMYFUNCTION("""COMPUTED_VALUE"""),6790.0)</f>
        <v>6790</v>
      </c>
      <c r="B86" s="9">
        <f>IFERROR(__xludf.DUMMYFUNCTION("""COMPUTED_VALUE"""),45304.18387731481)</f>
        <v>45304.18388</v>
      </c>
      <c r="C86" s="5" t="str">
        <f>IFERROR(__xludf.DUMMYFUNCTION("""COMPUTED_VALUE"""),"purchase")</f>
        <v>purchase</v>
      </c>
      <c r="D86" s="10">
        <f t="shared" si="1"/>
        <v>45304</v>
      </c>
      <c r="E86" s="10">
        <f t="shared" si="2"/>
        <v>45299</v>
      </c>
      <c r="F86" s="10">
        <f t="shared" si="3"/>
        <v>45292</v>
      </c>
      <c r="G86" s="11"/>
    </row>
    <row r="87">
      <c r="A87" s="5">
        <f>IFERROR(__xludf.DUMMYFUNCTION("""COMPUTED_VALUE"""),1407.0)</f>
        <v>1407</v>
      </c>
      <c r="B87" s="9">
        <f>IFERROR(__xludf.DUMMYFUNCTION("""COMPUTED_VALUE"""),45304.225810185184)</f>
        <v>45304.22581</v>
      </c>
      <c r="C87" s="5" t="str">
        <f>IFERROR(__xludf.DUMMYFUNCTION("""COMPUTED_VALUE"""),"purchase")</f>
        <v>purchase</v>
      </c>
      <c r="D87" s="10">
        <f t="shared" si="1"/>
        <v>45304</v>
      </c>
      <c r="E87" s="10">
        <f t="shared" si="2"/>
        <v>45299</v>
      </c>
      <c r="F87" s="10">
        <f t="shared" si="3"/>
        <v>45292</v>
      </c>
      <c r="G87" s="11"/>
    </row>
    <row r="88">
      <c r="A88" s="5">
        <f>IFERROR(__xludf.DUMMYFUNCTION("""COMPUTED_VALUE"""),5326.0)</f>
        <v>5326</v>
      </c>
      <c r="B88" s="9">
        <f>IFERROR(__xludf.DUMMYFUNCTION("""COMPUTED_VALUE"""),45304.25069444445)</f>
        <v>45304.25069</v>
      </c>
      <c r="C88" s="5" t="str">
        <f>IFERROR(__xludf.DUMMYFUNCTION("""COMPUTED_VALUE"""),"purchase")</f>
        <v>purchase</v>
      </c>
      <c r="D88" s="10">
        <f t="shared" si="1"/>
        <v>45304</v>
      </c>
      <c r="E88" s="10">
        <f t="shared" si="2"/>
        <v>45299</v>
      </c>
      <c r="F88" s="10">
        <f t="shared" si="3"/>
        <v>45292</v>
      </c>
      <c r="G88" s="11"/>
    </row>
    <row r="89">
      <c r="A89" s="5">
        <f>IFERROR(__xludf.DUMMYFUNCTION("""COMPUTED_VALUE"""),665.0)</f>
        <v>665</v>
      </c>
      <c r="B89" s="9">
        <f>IFERROR(__xludf.DUMMYFUNCTION("""COMPUTED_VALUE"""),45304.29802083333)</f>
        <v>45304.29802</v>
      </c>
      <c r="C89" s="5" t="str">
        <f>IFERROR(__xludf.DUMMYFUNCTION("""COMPUTED_VALUE"""),"purchase")</f>
        <v>purchase</v>
      </c>
      <c r="D89" s="10">
        <f t="shared" si="1"/>
        <v>45304</v>
      </c>
      <c r="E89" s="10">
        <f t="shared" si="2"/>
        <v>45299</v>
      </c>
      <c r="F89" s="10">
        <f t="shared" si="3"/>
        <v>45292</v>
      </c>
      <c r="G89" s="11"/>
    </row>
    <row r="90">
      <c r="A90" s="5">
        <f>IFERROR(__xludf.DUMMYFUNCTION("""COMPUTED_VALUE"""),545.0)</f>
        <v>545</v>
      </c>
      <c r="B90" s="9">
        <f>IFERROR(__xludf.DUMMYFUNCTION("""COMPUTED_VALUE"""),45304.31842592593)</f>
        <v>45304.31843</v>
      </c>
      <c r="C90" s="5" t="str">
        <f>IFERROR(__xludf.DUMMYFUNCTION("""COMPUTED_VALUE"""),"purchase")</f>
        <v>purchase</v>
      </c>
      <c r="D90" s="10">
        <f t="shared" si="1"/>
        <v>45304</v>
      </c>
      <c r="E90" s="10">
        <f t="shared" si="2"/>
        <v>45299</v>
      </c>
      <c r="F90" s="10">
        <f t="shared" si="3"/>
        <v>45292</v>
      </c>
      <c r="G90" s="11"/>
    </row>
    <row r="91">
      <c r="A91" s="5">
        <f>IFERROR(__xludf.DUMMYFUNCTION("""COMPUTED_VALUE"""),2796.0)</f>
        <v>2796</v>
      </c>
      <c r="B91" s="9">
        <f>IFERROR(__xludf.DUMMYFUNCTION("""COMPUTED_VALUE"""),45304.32986111111)</f>
        <v>45304.32986</v>
      </c>
      <c r="C91" s="5" t="str">
        <f>IFERROR(__xludf.DUMMYFUNCTION("""COMPUTED_VALUE"""),"purchase")</f>
        <v>purchase</v>
      </c>
      <c r="D91" s="10">
        <f t="shared" si="1"/>
        <v>45304</v>
      </c>
      <c r="E91" s="10">
        <f t="shared" si="2"/>
        <v>45299</v>
      </c>
      <c r="F91" s="10">
        <f t="shared" si="3"/>
        <v>45292</v>
      </c>
      <c r="G91" s="11"/>
    </row>
    <row r="92">
      <c r="A92" s="5">
        <f>IFERROR(__xludf.DUMMYFUNCTION("""COMPUTED_VALUE"""),3772.0)</f>
        <v>3772</v>
      </c>
      <c r="B92" s="9">
        <f>IFERROR(__xludf.DUMMYFUNCTION("""COMPUTED_VALUE"""),45304.3590625)</f>
        <v>45304.35906</v>
      </c>
      <c r="C92" s="5" t="str">
        <f>IFERROR(__xludf.DUMMYFUNCTION("""COMPUTED_VALUE"""),"purchase")</f>
        <v>purchase</v>
      </c>
      <c r="D92" s="10">
        <f t="shared" si="1"/>
        <v>45304</v>
      </c>
      <c r="E92" s="10">
        <f t="shared" si="2"/>
        <v>45299</v>
      </c>
      <c r="F92" s="10">
        <f t="shared" si="3"/>
        <v>45292</v>
      </c>
      <c r="G92" s="11"/>
    </row>
    <row r="93">
      <c r="A93" s="5">
        <f>IFERROR(__xludf.DUMMYFUNCTION("""COMPUTED_VALUE"""),248.0)</f>
        <v>248</v>
      </c>
      <c r="B93" s="9">
        <f>IFERROR(__xludf.DUMMYFUNCTION("""COMPUTED_VALUE"""),45304.508518518516)</f>
        <v>45304.50852</v>
      </c>
      <c r="C93" s="5" t="str">
        <f>IFERROR(__xludf.DUMMYFUNCTION("""COMPUTED_VALUE"""),"purchase")</f>
        <v>purchase</v>
      </c>
      <c r="D93" s="10">
        <f t="shared" si="1"/>
        <v>45304</v>
      </c>
      <c r="E93" s="10">
        <f t="shared" si="2"/>
        <v>45299</v>
      </c>
      <c r="F93" s="10">
        <f t="shared" si="3"/>
        <v>45292</v>
      </c>
      <c r="G93" s="11"/>
    </row>
    <row r="94">
      <c r="A94" s="5">
        <f>IFERROR(__xludf.DUMMYFUNCTION("""COMPUTED_VALUE"""),3906.0)</f>
        <v>3906</v>
      </c>
      <c r="B94" s="9">
        <f>IFERROR(__xludf.DUMMYFUNCTION("""COMPUTED_VALUE"""),45304.53695601852)</f>
        <v>45304.53696</v>
      </c>
      <c r="C94" s="5" t="str">
        <f>IFERROR(__xludf.DUMMYFUNCTION("""COMPUTED_VALUE"""),"purchase")</f>
        <v>purchase</v>
      </c>
      <c r="D94" s="10">
        <f t="shared" si="1"/>
        <v>45304</v>
      </c>
      <c r="E94" s="10">
        <f t="shared" si="2"/>
        <v>45299</v>
      </c>
      <c r="F94" s="10">
        <f t="shared" si="3"/>
        <v>45292</v>
      </c>
      <c r="G94" s="11"/>
    </row>
    <row r="95">
      <c r="A95" s="5">
        <f>IFERROR(__xludf.DUMMYFUNCTION("""COMPUTED_VALUE"""),702.0)</f>
        <v>702</v>
      </c>
      <c r="B95" s="9">
        <f>IFERROR(__xludf.DUMMYFUNCTION("""COMPUTED_VALUE"""),45304.546793981484)</f>
        <v>45304.54679</v>
      </c>
      <c r="C95" s="5" t="str">
        <f>IFERROR(__xludf.DUMMYFUNCTION("""COMPUTED_VALUE"""),"purchase")</f>
        <v>purchase</v>
      </c>
      <c r="D95" s="10">
        <f t="shared" si="1"/>
        <v>45304</v>
      </c>
      <c r="E95" s="10">
        <f t="shared" si="2"/>
        <v>45299</v>
      </c>
      <c r="F95" s="10">
        <f t="shared" si="3"/>
        <v>45292</v>
      </c>
      <c r="G95" s="11"/>
    </row>
    <row r="96">
      <c r="A96" s="5">
        <f>IFERROR(__xludf.DUMMYFUNCTION("""COMPUTED_VALUE"""),394.0)</f>
        <v>394</v>
      </c>
      <c r="B96" s="9">
        <f>IFERROR(__xludf.DUMMYFUNCTION("""COMPUTED_VALUE"""),45304.6596875)</f>
        <v>45304.65969</v>
      </c>
      <c r="C96" s="5" t="str">
        <f>IFERROR(__xludf.DUMMYFUNCTION("""COMPUTED_VALUE"""),"purchase")</f>
        <v>purchase</v>
      </c>
      <c r="D96" s="10">
        <f t="shared" si="1"/>
        <v>45304</v>
      </c>
      <c r="E96" s="10">
        <f t="shared" si="2"/>
        <v>45299</v>
      </c>
      <c r="F96" s="10">
        <f t="shared" si="3"/>
        <v>45292</v>
      </c>
      <c r="G96" s="11"/>
    </row>
    <row r="97">
      <c r="A97" s="5">
        <f>IFERROR(__xludf.DUMMYFUNCTION("""COMPUTED_VALUE"""),5485.0)</f>
        <v>5485</v>
      </c>
      <c r="B97" s="9">
        <f>IFERROR(__xludf.DUMMYFUNCTION("""COMPUTED_VALUE"""),45304.81375)</f>
        <v>45304.81375</v>
      </c>
      <c r="C97" s="5" t="str">
        <f>IFERROR(__xludf.DUMMYFUNCTION("""COMPUTED_VALUE"""),"purchase")</f>
        <v>purchase</v>
      </c>
      <c r="D97" s="10">
        <f t="shared" si="1"/>
        <v>45304</v>
      </c>
      <c r="E97" s="10">
        <f t="shared" si="2"/>
        <v>45299</v>
      </c>
      <c r="F97" s="10">
        <f t="shared" si="3"/>
        <v>45292</v>
      </c>
      <c r="G97" s="11"/>
    </row>
    <row r="98">
      <c r="A98" s="5">
        <f>IFERROR(__xludf.DUMMYFUNCTION("""COMPUTED_VALUE"""),707.0)</f>
        <v>707</v>
      </c>
      <c r="B98" s="9">
        <f>IFERROR(__xludf.DUMMYFUNCTION("""COMPUTED_VALUE"""),45304.96655092593)</f>
        <v>45304.96655</v>
      </c>
      <c r="C98" s="5" t="str">
        <f>IFERROR(__xludf.DUMMYFUNCTION("""COMPUTED_VALUE"""),"purchase")</f>
        <v>purchase</v>
      </c>
      <c r="D98" s="10">
        <f t="shared" si="1"/>
        <v>45304</v>
      </c>
      <c r="E98" s="10">
        <f t="shared" si="2"/>
        <v>45299</v>
      </c>
      <c r="F98" s="10">
        <f t="shared" si="3"/>
        <v>45292</v>
      </c>
      <c r="G98" s="11"/>
    </row>
    <row r="99">
      <c r="A99" s="5">
        <f>IFERROR(__xludf.DUMMYFUNCTION("""COMPUTED_VALUE"""),3165.0)</f>
        <v>3165</v>
      </c>
      <c r="B99" s="9">
        <f>IFERROR(__xludf.DUMMYFUNCTION("""COMPUTED_VALUE"""),45305.08322916667)</f>
        <v>45305.08323</v>
      </c>
      <c r="C99" s="5" t="str">
        <f>IFERROR(__xludf.DUMMYFUNCTION("""COMPUTED_VALUE"""),"purchase")</f>
        <v>purchase</v>
      </c>
      <c r="D99" s="10">
        <f t="shared" si="1"/>
        <v>45305</v>
      </c>
      <c r="E99" s="10">
        <f t="shared" si="2"/>
        <v>45299</v>
      </c>
      <c r="F99" s="10">
        <f t="shared" si="3"/>
        <v>45292</v>
      </c>
      <c r="G99" s="11"/>
    </row>
    <row r="100">
      <c r="A100" s="5">
        <f>IFERROR(__xludf.DUMMYFUNCTION("""COMPUTED_VALUE"""),4716.0)</f>
        <v>4716</v>
      </c>
      <c r="B100" s="9">
        <f>IFERROR(__xludf.DUMMYFUNCTION("""COMPUTED_VALUE"""),45305.16033564815)</f>
        <v>45305.16034</v>
      </c>
      <c r="C100" s="5" t="str">
        <f>IFERROR(__xludf.DUMMYFUNCTION("""COMPUTED_VALUE"""),"purchase")</f>
        <v>purchase</v>
      </c>
      <c r="D100" s="10">
        <f t="shared" si="1"/>
        <v>45305</v>
      </c>
      <c r="E100" s="10">
        <f t="shared" si="2"/>
        <v>45299</v>
      </c>
      <c r="F100" s="10">
        <f t="shared" si="3"/>
        <v>45292</v>
      </c>
      <c r="G100" s="11"/>
    </row>
    <row r="101">
      <c r="A101" s="5">
        <f>IFERROR(__xludf.DUMMYFUNCTION("""COMPUTED_VALUE"""),7274.0)</f>
        <v>7274</v>
      </c>
      <c r="B101" s="9">
        <f>IFERROR(__xludf.DUMMYFUNCTION("""COMPUTED_VALUE"""),45305.162627314814)</f>
        <v>45305.16263</v>
      </c>
      <c r="C101" s="5" t="str">
        <f>IFERROR(__xludf.DUMMYFUNCTION("""COMPUTED_VALUE"""),"purchase")</f>
        <v>purchase</v>
      </c>
      <c r="D101" s="10">
        <f t="shared" si="1"/>
        <v>45305</v>
      </c>
      <c r="E101" s="10">
        <f t="shared" si="2"/>
        <v>45299</v>
      </c>
      <c r="F101" s="10">
        <f t="shared" si="3"/>
        <v>45292</v>
      </c>
      <c r="G101" s="11"/>
    </row>
    <row r="102">
      <c r="A102" s="5">
        <f>IFERROR(__xludf.DUMMYFUNCTION("""COMPUTED_VALUE"""),5200.0)</f>
        <v>5200</v>
      </c>
      <c r="B102" s="9">
        <f>IFERROR(__xludf.DUMMYFUNCTION("""COMPUTED_VALUE"""),45305.371712962966)</f>
        <v>45305.37171</v>
      </c>
      <c r="C102" s="5" t="str">
        <f>IFERROR(__xludf.DUMMYFUNCTION("""COMPUTED_VALUE"""),"purchase")</f>
        <v>purchase</v>
      </c>
      <c r="D102" s="10">
        <f t="shared" si="1"/>
        <v>45305</v>
      </c>
      <c r="E102" s="10">
        <f t="shared" si="2"/>
        <v>45299</v>
      </c>
      <c r="F102" s="10">
        <f t="shared" si="3"/>
        <v>45292</v>
      </c>
      <c r="G102" s="11"/>
    </row>
    <row r="103">
      <c r="A103" s="5">
        <f>IFERROR(__xludf.DUMMYFUNCTION("""COMPUTED_VALUE"""),2292.0)</f>
        <v>2292</v>
      </c>
      <c r="B103" s="9">
        <f>IFERROR(__xludf.DUMMYFUNCTION("""COMPUTED_VALUE"""),45305.430625)</f>
        <v>45305.43063</v>
      </c>
      <c r="C103" s="5" t="str">
        <f>IFERROR(__xludf.DUMMYFUNCTION("""COMPUTED_VALUE"""),"purchase")</f>
        <v>purchase</v>
      </c>
      <c r="D103" s="10">
        <f t="shared" si="1"/>
        <v>45305</v>
      </c>
      <c r="E103" s="10">
        <f t="shared" si="2"/>
        <v>45299</v>
      </c>
      <c r="F103" s="10">
        <f t="shared" si="3"/>
        <v>45292</v>
      </c>
      <c r="G103" s="11"/>
    </row>
    <row r="104">
      <c r="A104" s="5">
        <f>IFERROR(__xludf.DUMMYFUNCTION("""COMPUTED_VALUE"""),492.0)</f>
        <v>492</v>
      </c>
      <c r="B104" s="9">
        <f>IFERROR(__xludf.DUMMYFUNCTION("""COMPUTED_VALUE"""),45305.47010416666)</f>
        <v>45305.4701</v>
      </c>
      <c r="C104" s="5" t="str">
        <f>IFERROR(__xludf.DUMMYFUNCTION("""COMPUTED_VALUE"""),"purchase")</f>
        <v>purchase</v>
      </c>
      <c r="D104" s="10">
        <f t="shared" si="1"/>
        <v>45305</v>
      </c>
      <c r="E104" s="10">
        <f t="shared" si="2"/>
        <v>45299</v>
      </c>
      <c r="F104" s="10">
        <f t="shared" si="3"/>
        <v>45292</v>
      </c>
      <c r="G104" s="11"/>
    </row>
    <row r="105">
      <c r="A105" s="5">
        <f>IFERROR(__xludf.DUMMYFUNCTION("""COMPUTED_VALUE"""),3143.0)</f>
        <v>3143</v>
      </c>
      <c r="B105" s="9">
        <f>IFERROR(__xludf.DUMMYFUNCTION("""COMPUTED_VALUE"""),45305.516747685186)</f>
        <v>45305.51675</v>
      </c>
      <c r="C105" s="5" t="str">
        <f>IFERROR(__xludf.DUMMYFUNCTION("""COMPUTED_VALUE"""),"purchase")</f>
        <v>purchase</v>
      </c>
      <c r="D105" s="10">
        <f t="shared" si="1"/>
        <v>45305</v>
      </c>
      <c r="E105" s="10">
        <f t="shared" si="2"/>
        <v>45299</v>
      </c>
      <c r="F105" s="10">
        <f t="shared" si="3"/>
        <v>45292</v>
      </c>
      <c r="G105" s="11"/>
    </row>
    <row r="106">
      <c r="A106" s="5">
        <f>IFERROR(__xludf.DUMMYFUNCTION("""COMPUTED_VALUE"""),7530.0)</f>
        <v>7530</v>
      </c>
      <c r="B106" s="9">
        <f>IFERROR(__xludf.DUMMYFUNCTION("""COMPUTED_VALUE"""),45305.629745370374)</f>
        <v>45305.62975</v>
      </c>
      <c r="C106" s="5" t="str">
        <f>IFERROR(__xludf.DUMMYFUNCTION("""COMPUTED_VALUE"""),"purchase")</f>
        <v>purchase</v>
      </c>
      <c r="D106" s="10">
        <f t="shared" si="1"/>
        <v>45305</v>
      </c>
      <c r="E106" s="10">
        <f t="shared" si="2"/>
        <v>45299</v>
      </c>
      <c r="F106" s="10">
        <f t="shared" si="3"/>
        <v>45292</v>
      </c>
      <c r="G106" s="11"/>
    </row>
    <row r="107">
      <c r="A107" s="5">
        <f>IFERROR(__xludf.DUMMYFUNCTION("""COMPUTED_VALUE"""),2707.0)</f>
        <v>2707</v>
      </c>
      <c r="B107" s="9">
        <f>IFERROR(__xludf.DUMMYFUNCTION("""COMPUTED_VALUE"""),45305.86804398148)</f>
        <v>45305.86804</v>
      </c>
      <c r="C107" s="5" t="str">
        <f>IFERROR(__xludf.DUMMYFUNCTION("""COMPUTED_VALUE"""),"purchase")</f>
        <v>purchase</v>
      </c>
      <c r="D107" s="10">
        <f t="shared" si="1"/>
        <v>45305</v>
      </c>
      <c r="E107" s="10">
        <f t="shared" si="2"/>
        <v>45299</v>
      </c>
      <c r="F107" s="10">
        <f t="shared" si="3"/>
        <v>45292</v>
      </c>
      <c r="G107" s="11"/>
    </row>
    <row r="108">
      <c r="A108" s="5">
        <f>IFERROR(__xludf.DUMMYFUNCTION("""COMPUTED_VALUE"""),2922.0)</f>
        <v>2922</v>
      </c>
      <c r="B108" s="9">
        <f>IFERROR(__xludf.DUMMYFUNCTION("""COMPUTED_VALUE"""),45306.09868055556)</f>
        <v>45306.09868</v>
      </c>
      <c r="C108" s="5" t="str">
        <f>IFERROR(__xludf.DUMMYFUNCTION("""COMPUTED_VALUE"""),"purchase")</f>
        <v>purchase</v>
      </c>
      <c r="D108" s="10">
        <f t="shared" si="1"/>
        <v>45306</v>
      </c>
      <c r="E108" s="10">
        <f t="shared" si="2"/>
        <v>45306</v>
      </c>
      <c r="F108" s="10">
        <f t="shared" si="3"/>
        <v>45292</v>
      </c>
      <c r="G108" s="11"/>
    </row>
    <row r="109">
      <c r="A109" s="5">
        <f>IFERROR(__xludf.DUMMYFUNCTION("""COMPUTED_VALUE"""),4272.0)</f>
        <v>4272</v>
      </c>
      <c r="B109" s="9">
        <f>IFERROR(__xludf.DUMMYFUNCTION("""COMPUTED_VALUE"""),45306.263506944444)</f>
        <v>45306.26351</v>
      </c>
      <c r="C109" s="5" t="str">
        <f>IFERROR(__xludf.DUMMYFUNCTION("""COMPUTED_VALUE"""),"purchase")</f>
        <v>purchase</v>
      </c>
      <c r="D109" s="10">
        <f t="shared" si="1"/>
        <v>45306</v>
      </c>
      <c r="E109" s="10">
        <f t="shared" si="2"/>
        <v>45306</v>
      </c>
      <c r="F109" s="10">
        <f t="shared" si="3"/>
        <v>45292</v>
      </c>
      <c r="G109" s="11"/>
    </row>
    <row r="110">
      <c r="A110" s="5">
        <f>IFERROR(__xludf.DUMMYFUNCTION("""COMPUTED_VALUE"""),3008.0)</f>
        <v>3008</v>
      </c>
      <c r="B110" s="9">
        <f>IFERROR(__xludf.DUMMYFUNCTION("""COMPUTED_VALUE"""),45306.28873842592)</f>
        <v>45306.28874</v>
      </c>
      <c r="C110" s="5" t="str">
        <f>IFERROR(__xludf.DUMMYFUNCTION("""COMPUTED_VALUE"""),"purchase")</f>
        <v>purchase</v>
      </c>
      <c r="D110" s="10">
        <f t="shared" si="1"/>
        <v>45306</v>
      </c>
      <c r="E110" s="10">
        <f t="shared" si="2"/>
        <v>45306</v>
      </c>
      <c r="F110" s="10">
        <f t="shared" si="3"/>
        <v>45292</v>
      </c>
      <c r="G110" s="11"/>
    </row>
    <row r="111">
      <c r="A111" s="5">
        <f>IFERROR(__xludf.DUMMYFUNCTION("""COMPUTED_VALUE"""),5850.0)</f>
        <v>5850</v>
      </c>
      <c r="B111" s="9">
        <f>IFERROR(__xludf.DUMMYFUNCTION("""COMPUTED_VALUE"""),45306.30840277778)</f>
        <v>45306.3084</v>
      </c>
      <c r="C111" s="5" t="str">
        <f>IFERROR(__xludf.DUMMYFUNCTION("""COMPUTED_VALUE"""),"purchase")</f>
        <v>purchase</v>
      </c>
      <c r="D111" s="10">
        <f t="shared" si="1"/>
        <v>45306</v>
      </c>
      <c r="E111" s="10">
        <f t="shared" si="2"/>
        <v>45306</v>
      </c>
      <c r="F111" s="10">
        <f t="shared" si="3"/>
        <v>45292</v>
      </c>
      <c r="G111" s="11"/>
    </row>
    <row r="112">
      <c r="A112" s="5">
        <f>IFERROR(__xludf.DUMMYFUNCTION("""COMPUTED_VALUE"""),3535.0)</f>
        <v>3535</v>
      </c>
      <c r="B112" s="9">
        <f>IFERROR(__xludf.DUMMYFUNCTION("""COMPUTED_VALUE"""),45306.37087962963)</f>
        <v>45306.37088</v>
      </c>
      <c r="C112" s="5" t="str">
        <f>IFERROR(__xludf.DUMMYFUNCTION("""COMPUTED_VALUE"""),"purchase")</f>
        <v>purchase</v>
      </c>
      <c r="D112" s="10">
        <f t="shared" si="1"/>
        <v>45306</v>
      </c>
      <c r="E112" s="10">
        <f t="shared" si="2"/>
        <v>45306</v>
      </c>
      <c r="F112" s="10">
        <f t="shared" si="3"/>
        <v>45292</v>
      </c>
      <c r="G112" s="11"/>
    </row>
    <row r="113">
      <c r="A113" s="5">
        <f>IFERROR(__xludf.DUMMYFUNCTION("""COMPUTED_VALUE"""),6665.0)</f>
        <v>6665</v>
      </c>
      <c r="B113" s="9">
        <f>IFERROR(__xludf.DUMMYFUNCTION("""COMPUTED_VALUE"""),45306.39818287037)</f>
        <v>45306.39818</v>
      </c>
      <c r="C113" s="5" t="str">
        <f>IFERROR(__xludf.DUMMYFUNCTION("""COMPUTED_VALUE"""),"purchase")</f>
        <v>purchase</v>
      </c>
      <c r="D113" s="10">
        <f t="shared" si="1"/>
        <v>45306</v>
      </c>
      <c r="E113" s="10">
        <f t="shared" si="2"/>
        <v>45306</v>
      </c>
      <c r="F113" s="10">
        <f t="shared" si="3"/>
        <v>45292</v>
      </c>
      <c r="G113" s="11"/>
    </row>
    <row r="114">
      <c r="A114" s="5">
        <f>IFERROR(__xludf.DUMMYFUNCTION("""COMPUTED_VALUE"""),3657.0)</f>
        <v>3657</v>
      </c>
      <c r="B114" s="9">
        <f>IFERROR(__xludf.DUMMYFUNCTION("""COMPUTED_VALUE"""),45306.46554398148)</f>
        <v>45306.46554</v>
      </c>
      <c r="C114" s="5" t="str">
        <f>IFERROR(__xludf.DUMMYFUNCTION("""COMPUTED_VALUE"""),"purchase")</f>
        <v>purchase</v>
      </c>
      <c r="D114" s="10">
        <f t="shared" si="1"/>
        <v>45306</v>
      </c>
      <c r="E114" s="10">
        <f t="shared" si="2"/>
        <v>45306</v>
      </c>
      <c r="F114" s="10">
        <f t="shared" si="3"/>
        <v>45292</v>
      </c>
      <c r="G114" s="11"/>
    </row>
    <row r="115">
      <c r="A115" s="5">
        <f>IFERROR(__xludf.DUMMYFUNCTION("""COMPUTED_VALUE"""),4757.0)</f>
        <v>4757</v>
      </c>
      <c r="B115" s="9">
        <f>IFERROR(__xludf.DUMMYFUNCTION("""COMPUTED_VALUE"""),45306.474282407406)</f>
        <v>45306.47428</v>
      </c>
      <c r="C115" s="5" t="str">
        <f>IFERROR(__xludf.DUMMYFUNCTION("""COMPUTED_VALUE"""),"purchase")</f>
        <v>purchase</v>
      </c>
      <c r="D115" s="10">
        <f t="shared" si="1"/>
        <v>45306</v>
      </c>
      <c r="E115" s="10">
        <f t="shared" si="2"/>
        <v>45306</v>
      </c>
      <c r="F115" s="10">
        <f t="shared" si="3"/>
        <v>45292</v>
      </c>
      <c r="G115" s="11"/>
    </row>
    <row r="116">
      <c r="A116" s="5">
        <f>IFERROR(__xludf.DUMMYFUNCTION("""COMPUTED_VALUE"""),5195.0)</f>
        <v>5195</v>
      </c>
      <c r="B116" s="9">
        <f>IFERROR(__xludf.DUMMYFUNCTION("""COMPUTED_VALUE"""),45306.50686342592)</f>
        <v>45306.50686</v>
      </c>
      <c r="C116" s="5" t="str">
        <f>IFERROR(__xludf.DUMMYFUNCTION("""COMPUTED_VALUE"""),"purchase")</f>
        <v>purchase</v>
      </c>
      <c r="D116" s="10">
        <f t="shared" si="1"/>
        <v>45306</v>
      </c>
      <c r="E116" s="10">
        <f t="shared" si="2"/>
        <v>45306</v>
      </c>
      <c r="F116" s="10">
        <f t="shared" si="3"/>
        <v>45292</v>
      </c>
      <c r="G116" s="11"/>
    </row>
    <row r="117">
      <c r="A117" s="5">
        <f>IFERROR(__xludf.DUMMYFUNCTION("""COMPUTED_VALUE"""),4415.0)</f>
        <v>4415</v>
      </c>
      <c r="B117" s="9">
        <f>IFERROR(__xludf.DUMMYFUNCTION("""COMPUTED_VALUE"""),45306.70877314815)</f>
        <v>45306.70877</v>
      </c>
      <c r="C117" s="5" t="str">
        <f>IFERROR(__xludf.DUMMYFUNCTION("""COMPUTED_VALUE"""),"purchase")</f>
        <v>purchase</v>
      </c>
      <c r="D117" s="10">
        <f t="shared" si="1"/>
        <v>45306</v>
      </c>
      <c r="E117" s="10">
        <f t="shared" si="2"/>
        <v>45306</v>
      </c>
      <c r="F117" s="10">
        <f t="shared" si="3"/>
        <v>45292</v>
      </c>
      <c r="G117" s="11"/>
    </row>
    <row r="118">
      <c r="A118" s="5">
        <f>IFERROR(__xludf.DUMMYFUNCTION("""COMPUTED_VALUE"""),6370.0)</f>
        <v>6370</v>
      </c>
      <c r="B118" s="9">
        <f>IFERROR(__xludf.DUMMYFUNCTION("""COMPUTED_VALUE"""),45306.8747337963)</f>
        <v>45306.87473</v>
      </c>
      <c r="C118" s="5" t="str">
        <f>IFERROR(__xludf.DUMMYFUNCTION("""COMPUTED_VALUE"""),"purchase")</f>
        <v>purchase</v>
      </c>
      <c r="D118" s="10">
        <f t="shared" si="1"/>
        <v>45306</v>
      </c>
      <c r="E118" s="10">
        <f t="shared" si="2"/>
        <v>45306</v>
      </c>
      <c r="F118" s="10">
        <f t="shared" si="3"/>
        <v>45292</v>
      </c>
      <c r="G118" s="11"/>
    </row>
    <row r="119">
      <c r="A119" s="5">
        <f>IFERROR(__xludf.DUMMYFUNCTION("""COMPUTED_VALUE"""),5956.0)</f>
        <v>5956</v>
      </c>
      <c r="B119" s="9">
        <f>IFERROR(__xludf.DUMMYFUNCTION("""COMPUTED_VALUE"""),45306.90630787037)</f>
        <v>45306.90631</v>
      </c>
      <c r="C119" s="5" t="str">
        <f>IFERROR(__xludf.DUMMYFUNCTION("""COMPUTED_VALUE"""),"purchase")</f>
        <v>purchase</v>
      </c>
      <c r="D119" s="10">
        <f t="shared" si="1"/>
        <v>45306</v>
      </c>
      <c r="E119" s="10">
        <f t="shared" si="2"/>
        <v>45306</v>
      </c>
      <c r="F119" s="10">
        <f t="shared" si="3"/>
        <v>45292</v>
      </c>
      <c r="G119" s="11"/>
    </row>
    <row r="120">
      <c r="A120" s="5">
        <f>IFERROR(__xludf.DUMMYFUNCTION("""COMPUTED_VALUE"""),4289.0)</f>
        <v>4289</v>
      </c>
      <c r="B120" s="9">
        <f>IFERROR(__xludf.DUMMYFUNCTION("""COMPUTED_VALUE"""),45307.07534722222)</f>
        <v>45307.07535</v>
      </c>
      <c r="C120" s="5" t="str">
        <f>IFERROR(__xludf.DUMMYFUNCTION("""COMPUTED_VALUE"""),"purchase")</f>
        <v>purchase</v>
      </c>
      <c r="D120" s="10">
        <f t="shared" si="1"/>
        <v>45307</v>
      </c>
      <c r="E120" s="10">
        <f t="shared" si="2"/>
        <v>45306</v>
      </c>
      <c r="F120" s="10">
        <f t="shared" si="3"/>
        <v>45292</v>
      </c>
      <c r="G120" s="11"/>
    </row>
    <row r="121">
      <c r="A121" s="5">
        <f>IFERROR(__xludf.DUMMYFUNCTION("""COMPUTED_VALUE"""),6689.0)</f>
        <v>6689</v>
      </c>
      <c r="B121" s="9">
        <f>IFERROR(__xludf.DUMMYFUNCTION("""COMPUTED_VALUE"""),45307.10430555556)</f>
        <v>45307.10431</v>
      </c>
      <c r="C121" s="5" t="str">
        <f>IFERROR(__xludf.DUMMYFUNCTION("""COMPUTED_VALUE"""),"purchase")</f>
        <v>purchase</v>
      </c>
      <c r="D121" s="10">
        <f t="shared" si="1"/>
        <v>45307</v>
      </c>
      <c r="E121" s="10">
        <f t="shared" si="2"/>
        <v>45306</v>
      </c>
      <c r="F121" s="10">
        <f t="shared" si="3"/>
        <v>45292</v>
      </c>
      <c r="G121" s="11"/>
    </row>
    <row r="122">
      <c r="A122" s="5">
        <f>IFERROR(__xludf.DUMMYFUNCTION("""COMPUTED_VALUE"""),1730.0)</f>
        <v>1730</v>
      </c>
      <c r="B122" s="9">
        <f>IFERROR(__xludf.DUMMYFUNCTION("""COMPUTED_VALUE"""),45307.13621527778)</f>
        <v>45307.13622</v>
      </c>
      <c r="C122" s="5" t="str">
        <f>IFERROR(__xludf.DUMMYFUNCTION("""COMPUTED_VALUE"""),"purchase")</f>
        <v>purchase</v>
      </c>
      <c r="D122" s="10">
        <f t="shared" si="1"/>
        <v>45307</v>
      </c>
      <c r="E122" s="10">
        <f t="shared" si="2"/>
        <v>45306</v>
      </c>
      <c r="F122" s="10">
        <f t="shared" si="3"/>
        <v>45292</v>
      </c>
      <c r="G122" s="11"/>
    </row>
    <row r="123">
      <c r="A123" s="5">
        <f>IFERROR(__xludf.DUMMYFUNCTION("""COMPUTED_VALUE"""),7679.0)</f>
        <v>7679</v>
      </c>
      <c r="B123" s="9">
        <f>IFERROR(__xludf.DUMMYFUNCTION("""COMPUTED_VALUE"""),45307.29199074074)</f>
        <v>45307.29199</v>
      </c>
      <c r="C123" s="5" t="str">
        <f>IFERROR(__xludf.DUMMYFUNCTION("""COMPUTED_VALUE"""),"purchase")</f>
        <v>purchase</v>
      </c>
      <c r="D123" s="10">
        <f t="shared" si="1"/>
        <v>45307</v>
      </c>
      <c r="E123" s="10">
        <f t="shared" si="2"/>
        <v>45306</v>
      </c>
      <c r="F123" s="10">
        <f t="shared" si="3"/>
        <v>45292</v>
      </c>
      <c r="G123" s="11"/>
    </row>
    <row r="124">
      <c r="A124" s="5">
        <f>IFERROR(__xludf.DUMMYFUNCTION("""COMPUTED_VALUE"""),4609.0)</f>
        <v>4609</v>
      </c>
      <c r="B124" s="9">
        <f>IFERROR(__xludf.DUMMYFUNCTION("""COMPUTED_VALUE"""),45307.41347222222)</f>
        <v>45307.41347</v>
      </c>
      <c r="C124" s="5" t="str">
        <f>IFERROR(__xludf.DUMMYFUNCTION("""COMPUTED_VALUE"""),"purchase")</f>
        <v>purchase</v>
      </c>
      <c r="D124" s="10">
        <f t="shared" si="1"/>
        <v>45307</v>
      </c>
      <c r="E124" s="10">
        <f t="shared" si="2"/>
        <v>45306</v>
      </c>
      <c r="F124" s="10">
        <f t="shared" si="3"/>
        <v>45292</v>
      </c>
      <c r="G124" s="11"/>
    </row>
    <row r="125">
      <c r="A125" s="5">
        <f>IFERROR(__xludf.DUMMYFUNCTION("""COMPUTED_VALUE"""),3756.0)</f>
        <v>3756</v>
      </c>
      <c r="B125" s="9">
        <f>IFERROR(__xludf.DUMMYFUNCTION("""COMPUTED_VALUE"""),45307.42759259259)</f>
        <v>45307.42759</v>
      </c>
      <c r="C125" s="5" t="str">
        <f>IFERROR(__xludf.DUMMYFUNCTION("""COMPUTED_VALUE"""),"purchase")</f>
        <v>purchase</v>
      </c>
      <c r="D125" s="10">
        <f t="shared" si="1"/>
        <v>45307</v>
      </c>
      <c r="E125" s="10">
        <f t="shared" si="2"/>
        <v>45306</v>
      </c>
      <c r="F125" s="10">
        <f t="shared" si="3"/>
        <v>45292</v>
      </c>
      <c r="G125" s="11"/>
    </row>
    <row r="126">
      <c r="A126" s="5">
        <f>IFERROR(__xludf.DUMMYFUNCTION("""COMPUTED_VALUE"""),586.0)</f>
        <v>586</v>
      </c>
      <c r="B126" s="9">
        <f>IFERROR(__xludf.DUMMYFUNCTION("""COMPUTED_VALUE"""),45307.44446759259)</f>
        <v>45307.44447</v>
      </c>
      <c r="C126" s="5" t="str">
        <f>IFERROR(__xludf.DUMMYFUNCTION("""COMPUTED_VALUE"""),"purchase")</f>
        <v>purchase</v>
      </c>
      <c r="D126" s="10">
        <f t="shared" si="1"/>
        <v>45307</v>
      </c>
      <c r="E126" s="10">
        <f t="shared" si="2"/>
        <v>45306</v>
      </c>
      <c r="F126" s="10">
        <f t="shared" si="3"/>
        <v>45292</v>
      </c>
      <c r="G126" s="11"/>
    </row>
    <row r="127">
      <c r="A127" s="5">
        <f>IFERROR(__xludf.DUMMYFUNCTION("""COMPUTED_VALUE"""),3969.0)</f>
        <v>3969</v>
      </c>
      <c r="B127" s="9">
        <f>IFERROR(__xludf.DUMMYFUNCTION("""COMPUTED_VALUE"""),45307.53251157407)</f>
        <v>45307.53251</v>
      </c>
      <c r="C127" s="5" t="str">
        <f>IFERROR(__xludf.DUMMYFUNCTION("""COMPUTED_VALUE"""),"purchase")</f>
        <v>purchase</v>
      </c>
      <c r="D127" s="10">
        <f t="shared" si="1"/>
        <v>45307</v>
      </c>
      <c r="E127" s="10">
        <f t="shared" si="2"/>
        <v>45306</v>
      </c>
      <c r="F127" s="10">
        <f t="shared" si="3"/>
        <v>45292</v>
      </c>
      <c r="G127" s="11"/>
    </row>
    <row r="128">
      <c r="A128" s="5">
        <f>IFERROR(__xludf.DUMMYFUNCTION("""COMPUTED_VALUE"""),1722.0)</f>
        <v>1722</v>
      </c>
      <c r="B128" s="9">
        <f>IFERROR(__xludf.DUMMYFUNCTION("""COMPUTED_VALUE"""),45307.536678240744)</f>
        <v>45307.53668</v>
      </c>
      <c r="C128" s="5" t="str">
        <f>IFERROR(__xludf.DUMMYFUNCTION("""COMPUTED_VALUE"""),"purchase")</f>
        <v>purchase</v>
      </c>
      <c r="D128" s="10">
        <f t="shared" si="1"/>
        <v>45307</v>
      </c>
      <c r="E128" s="10">
        <f t="shared" si="2"/>
        <v>45306</v>
      </c>
      <c r="F128" s="10">
        <f t="shared" si="3"/>
        <v>45292</v>
      </c>
      <c r="G128" s="11"/>
    </row>
    <row r="129">
      <c r="A129" s="5">
        <f>IFERROR(__xludf.DUMMYFUNCTION("""COMPUTED_VALUE"""),541.0)</f>
        <v>541</v>
      </c>
      <c r="B129" s="9">
        <f>IFERROR(__xludf.DUMMYFUNCTION("""COMPUTED_VALUE"""),45307.53807870371)</f>
        <v>45307.53808</v>
      </c>
      <c r="C129" s="5" t="str">
        <f>IFERROR(__xludf.DUMMYFUNCTION("""COMPUTED_VALUE"""),"purchase")</f>
        <v>purchase</v>
      </c>
      <c r="D129" s="10">
        <f t="shared" si="1"/>
        <v>45307</v>
      </c>
      <c r="E129" s="10">
        <f t="shared" si="2"/>
        <v>45306</v>
      </c>
      <c r="F129" s="10">
        <f t="shared" si="3"/>
        <v>45292</v>
      </c>
      <c r="G129" s="11"/>
    </row>
    <row r="130">
      <c r="A130" s="5">
        <f>IFERROR(__xludf.DUMMYFUNCTION("""COMPUTED_VALUE"""),2479.0)</f>
        <v>2479</v>
      </c>
      <c r="B130" s="9">
        <f>IFERROR(__xludf.DUMMYFUNCTION("""COMPUTED_VALUE"""),45307.572916666664)</f>
        <v>45307.57292</v>
      </c>
      <c r="C130" s="5" t="str">
        <f>IFERROR(__xludf.DUMMYFUNCTION("""COMPUTED_VALUE"""),"purchase")</f>
        <v>purchase</v>
      </c>
      <c r="D130" s="10">
        <f t="shared" si="1"/>
        <v>45307</v>
      </c>
      <c r="E130" s="10">
        <f t="shared" si="2"/>
        <v>45306</v>
      </c>
      <c r="F130" s="10">
        <f t="shared" si="3"/>
        <v>45292</v>
      </c>
      <c r="G130" s="11"/>
    </row>
    <row r="131">
      <c r="A131" s="5">
        <f>IFERROR(__xludf.DUMMYFUNCTION("""COMPUTED_VALUE"""),2407.0)</f>
        <v>2407</v>
      </c>
      <c r="B131" s="9">
        <f>IFERROR(__xludf.DUMMYFUNCTION("""COMPUTED_VALUE"""),45307.637083333335)</f>
        <v>45307.63708</v>
      </c>
      <c r="C131" s="5" t="str">
        <f>IFERROR(__xludf.DUMMYFUNCTION("""COMPUTED_VALUE"""),"purchase")</f>
        <v>purchase</v>
      </c>
      <c r="D131" s="10">
        <f t="shared" si="1"/>
        <v>45307</v>
      </c>
      <c r="E131" s="10">
        <f t="shared" si="2"/>
        <v>45306</v>
      </c>
      <c r="F131" s="10">
        <f t="shared" si="3"/>
        <v>45292</v>
      </c>
      <c r="G131" s="11"/>
    </row>
    <row r="132">
      <c r="A132" s="5">
        <f>IFERROR(__xludf.DUMMYFUNCTION("""COMPUTED_VALUE"""),2610.0)</f>
        <v>2610</v>
      </c>
      <c r="B132" s="9">
        <f>IFERROR(__xludf.DUMMYFUNCTION("""COMPUTED_VALUE"""),45307.762094907404)</f>
        <v>45307.76209</v>
      </c>
      <c r="C132" s="5" t="str">
        <f>IFERROR(__xludf.DUMMYFUNCTION("""COMPUTED_VALUE"""),"purchase")</f>
        <v>purchase</v>
      </c>
      <c r="D132" s="10">
        <f t="shared" si="1"/>
        <v>45307</v>
      </c>
      <c r="E132" s="10">
        <f t="shared" si="2"/>
        <v>45306</v>
      </c>
      <c r="F132" s="10">
        <f t="shared" si="3"/>
        <v>45292</v>
      </c>
      <c r="G132" s="11"/>
    </row>
    <row r="133">
      <c r="A133" s="5">
        <f>IFERROR(__xludf.DUMMYFUNCTION("""COMPUTED_VALUE"""),2639.0)</f>
        <v>2639</v>
      </c>
      <c r="B133" s="9">
        <f>IFERROR(__xludf.DUMMYFUNCTION("""COMPUTED_VALUE"""),45307.881574074076)</f>
        <v>45307.88157</v>
      </c>
      <c r="C133" s="5" t="str">
        <f>IFERROR(__xludf.DUMMYFUNCTION("""COMPUTED_VALUE"""),"purchase")</f>
        <v>purchase</v>
      </c>
      <c r="D133" s="10">
        <f t="shared" si="1"/>
        <v>45307</v>
      </c>
      <c r="E133" s="10">
        <f t="shared" si="2"/>
        <v>45306</v>
      </c>
      <c r="F133" s="10">
        <f t="shared" si="3"/>
        <v>45292</v>
      </c>
      <c r="G133" s="11"/>
    </row>
    <row r="134">
      <c r="A134" s="5">
        <f>IFERROR(__xludf.DUMMYFUNCTION("""COMPUTED_VALUE"""),4439.0)</f>
        <v>4439</v>
      </c>
      <c r="B134" s="9">
        <f>IFERROR(__xludf.DUMMYFUNCTION("""COMPUTED_VALUE"""),45307.93763888889)</f>
        <v>45307.93764</v>
      </c>
      <c r="C134" s="5" t="str">
        <f>IFERROR(__xludf.DUMMYFUNCTION("""COMPUTED_VALUE"""),"purchase")</f>
        <v>purchase</v>
      </c>
      <c r="D134" s="10">
        <f t="shared" si="1"/>
        <v>45307</v>
      </c>
      <c r="E134" s="10">
        <f t="shared" si="2"/>
        <v>45306</v>
      </c>
      <c r="F134" s="10">
        <f t="shared" si="3"/>
        <v>45292</v>
      </c>
      <c r="G134" s="11"/>
    </row>
    <row r="135">
      <c r="A135" s="5">
        <f>IFERROR(__xludf.DUMMYFUNCTION("""COMPUTED_VALUE"""),1056.0)</f>
        <v>1056</v>
      </c>
      <c r="B135" s="9">
        <f>IFERROR(__xludf.DUMMYFUNCTION("""COMPUTED_VALUE"""),45307.95712962963)</f>
        <v>45307.95713</v>
      </c>
      <c r="C135" s="5" t="str">
        <f>IFERROR(__xludf.DUMMYFUNCTION("""COMPUTED_VALUE"""),"purchase")</f>
        <v>purchase</v>
      </c>
      <c r="D135" s="10">
        <f t="shared" si="1"/>
        <v>45307</v>
      </c>
      <c r="E135" s="10">
        <f t="shared" si="2"/>
        <v>45306</v>
      </c>
      <c r="F135" s="10">
        <f t="shared" si="3"/>
        <v>45292</v>
      </c>
      <c r="G135" s="11"/>
    </row>
    <row r="136">
      <c r="A136" s="5">
        <f>IFERROR(__xludf.DUMMYFUNCTION("""COMPUTED_VALUE"""),5166.0)</f>
        <v>5166</v>
      </c>
      <c r="B136" s="9">
        <f>IFERROR(__xludf.DUMMYFUNCTION("""COMPUTED_VALUE"""),45308.00543981481)</f>
        <v>45308.00544</v>
      </c>
      <c r="C136" s="5" t="str">
        <f>IFERROR(__xludf.DUMMYFUNCTION("""COMPUTED_VALUE"""),"purchase")</f>
        <v>purchase</v>
      </c>
      <c r="D136" s="10">
        <f t="shared" si="1"/>
        <v>45308</v>
      </c>
      <c r="E136" s="10">
        <f t="shared" si="2"/>
        <v>45306</v>
      </c>
      <c r="F136" s="10">
        <f t="shared" si="3"/>
        <v>45292</v>
      </c>
      <c r="G136" s="11"/>
    </row>
    <row r="137">
      <c r="A137" s="5">
        <f>IFERROR(__xludf.DUMMYFUNCTION("""COMPUTED_VALUE"""),1502.0)</f>
        <v>1502</v>
      </c>
      <c r="B137" s="9">
        <f>IFERROR(__xludf.DUMMYFUNCTION("""COMPUTED_VALUE"""),45308.05079861111)</f>
        <v>45308.0508</v>
      </c>
      <c r="C137" s="5" t="str">
        <f>IFERROR(__xludf.DUMMYFUNCTION("""COMPUTED_VALUE"""),"purchase")</f>
        <v>purchase</v>
      </c>
      <c r="D137" s="10">
        <f t="shared" si="1"/>
        <v>45308</v>
      </c>
      <c r="E137" s="10">
        <f t="shared" si="2"/>
        <v>45306</v>
      </c>
      <c r="F137" s="10">
        <f t="shared" si="3"/>
        <v>45292</v>
      </c>
      <c r="G137" s="11"/>
    </row>
    <row r="138">
      <c r="A138" s="5">
        <f>IFERROR(__xludf.DUMMYFUNCTION("""COMPUTED_VALUE"""),436.0)</f>
        <v>436</v>
      </c>
      <c r="B138" s="9">
        <f>IFERROR(__xludf.DUMMYFUNCTION("""COMPUTED_VALUE"""),45308.05259259259)</f>
        <v>45308.05259</v>
      </c>
      <c r="C138" s="5" t="str">
        <f>IFERROR(__xludf.DUMMYFUNCTION("""COMPUTED_VALUE"""),"purchase")</f>
        <v>purchase</v>
      </c>
      <c r="D138" s="10">
        <f t="shared" si="1"/>
        <v>45308</v>
      </c>
      <c r="E138" s="10">
        <f t="shared" si="2"/>
        <v>45306</v>
      </c>
      <c r="F138" s="10">
        <f t="shared" si="3"/>
        <v>45292</v>
      </c>
      <c r="G138" s="11"/>
    </row>
    <row r="139">
      <c r="A139" s="5">
        <f>IFERROR(__xludf.DUMMYFUNCTION("""COMPUTED_VALUE"""),2389.0)</f>
        <v>2389</v>
      </c>
      <c r="B139" s="9">
        <f>IFERROR(__xludf.DUMMYFUNCTION("""COMPUTED_VALUE"""),45308.07555555556)</f>
        <v>45308.07556</v>
      </c>
      <c r="C139" s="5" t="str">
        <f>IFERROR(__xludf.DUMMYFUNCTION("""COMPUTED_VALUE"""),"purchase")</f>
        <v>purchase</v>
      </c>
      <c r="D139" s="10">
        <f t="shared" si="1"/>
        <v>45308</v>
      </c>
      <c r="E139" s="10">
        <f t="shared" si="2"/>
        <v>45306</v>
      </c>
      <c r="F139" s="10">
        <f t="shared" si="3"/>
        <v>45292</v>
      </c>
      <c r="G139" s="11"/>
    </row>
    <row r="140">
      <c r="A140" s="5">
        <f>IFERROR(__xludf.DUMMYFUNCTION("""COMPUTED_VALUE"""),1173.0)</f>
        <v>1173</v>
      </c>
      <c r="B140" s="9">
        <f>IFERROR(__xludf.DUMMYFUNCTION("""COMPUTED_VALUE"""),45308.07623842593)</f>
        <v>45308.07624</v>
      </c>
      <c r="C140" s="5" t="str">
        <f>IFERROR(__xludf.DUMMYFUNCTION("""COMPUTED_VALUE"""),"purchase")</f>
        <v>purchase</v>
      </c>
      <c r="D140" s="10">
        <f t="shared" si="1"/>
        <v>45308</v>
      </c>
      <c r="E140" s="10">
        <f t="shared" si="2"/>
        <v>45306</v>
      </c>
      <c r="F140" s="10">
        <f t="shared" si="3"/>
        <v>45292</v>
      </c>
      <c r="G140" s="11"/>
    </row>
    <row r="141">
      <c r="A141" s="5">
        <f>IFERROR(__xludf.DUMMYFUNCTION("""COMPUTED_VALUE"""),5971.0)</f>
        <v>5971</v>
      </c>
      <c r="B141" s="9">
        <f>IFERROR(__xludf.DUMMYFUNCTION("""COMPUTED_VALUE"""),45308.39037037037)</f>
        <v>45308.39037</v>
      </c>
      <c r="C141" s="5" t="str">
        <f>IFERROR(__xludf.DUMMYFUNCTION("""COMPUTED_VALUE"""),"purchase")</f>
        <v>purchase</v>
      </c>
      <c r="D141" s="10">
        <f t="shared" si="1"/>
        <v>45308</v>
      </c>
      <c r="E141" s="10">
        <f t="shared" si="2"/>
        <v>45306</v>
      </c>
      <c r="F141" s="10">
        <f t="shared" si="3"/>
        <v>45292</v>
      </c>
      <c r="G141" s="11"/>
    </row>
    <row r="142">
      <c r="A142" s="5">
        <f>IFERROR(__xludf.DUMMYFUNCTION("""COMPUTED_VALUE"""),4882.0)</f>
        <v>4882</v>
      </c>
      <c r="B142" s="9">
        <f>IFERROR(__xludf.DUMMYFUNCTION("""COMPUTED_VALUE"""),45308.46869212963)</f>
        <v>45308.46869</v>
      </c>
      <c r="C142" s="5" t="str">
        <f>IFERROR(__xludf.DUMMYFUNCTION("""COMPUTED_VALUE"""),"purchase")</f>
        <v>purchase</v>
      </c>
      <c r="D142" s="10">
        <f t="shared" si="1"/>
        <v>45308</v>
      </c>
      <c r="E142" s="10">
        <f t="shared" si="2"/>
        <v>45306</v>
      </c>
      <c r="F142" s="10">
        <f t="shared" si="3"/>
        <v>45292</v>
      </c>
      <c r="G142" s="11"/>
    </row>
    <row r="143">
      <c r="A143" s="5">
        <f>IFERROR(__xludf.DUMMYFUNCTION("""COMPUTED_VALUE"""),6809.0)</f>
        <v>6809</v>
      </c>
      <c r="B143" s="9">
        <f>IFERROR(__xludf.DUMMYFUNCTION("""COMPUTED_VALUE"""),45308.48144675926)</f>
        <v>45308.48145</v>
      </c>
      <c r="C143" s="5" t="str">
        <f>IFERROR(__xludf.DUMMYFUNCTION("""COMPUTED_VALUE"""),"purchase")</f>
        <v>purchase</v>
      </c>
      <c r="D143" s="10">
        <f t="shared" si="1"/>
        <v>45308</v>
      </c>
      <c r="E143" s="10">
        <f t="shared" si="2"/>
        <v>45306</v>
      </c>
      <c r="F143" s="10">
        <f t="shared" si="3"/>
        <v>45292</v>
      </c>
      <c r="G143" s="11"/>
    </row>
    <row r="144">
      <c r="A144" s="5">
        <f>IFERROR(__xludf.DUMMYFUNCTION("""COMPUTED_VALUE"""),4263.0)</f>
        <v>4263</v>
      </c>
      <c r="B144" s="9">
        <f>IFERROR(__xludf.DUMMYFUNCTION("""COMPUTED_VALUE"""),45308.5516087963)</f>
        <v>45308.55161</v>
      </c>
      <c r="C144" s="5" t="str">
        <f>IFERROR(__xludf.DUMMYFUNCTION("""COMPUTED_VALUE"""),"purchase")</f>
        <v>purchase</v>
      </c>
      <c r="D144" s="10">
        <f t="shared" si="1"/>
        <v>45308</v>
      </c>
      <c r="E144" s="10">
        <f t="shared" si="2"/>
        <v>45306</v>
      </c>
      <c r="F144" s="10">
        <f t="shared" si="3"/>
        <v>45292</v>
      </c>
      <c r="G144" s="11"/>
    </row>
    <row r="145">
      <c r="A145" s="5">
        <f>IFERROR(__xludf.DUMMYFUNCTION("""COMPUTED_VALUE"""),5124.0)</f>
        <v>5124</v>
      </c>
      <c r="B145" s="9">
        <f>IFERROR(__xludf.DUMMYFUNCTION("""COMPUTED_VALUE"""),45308.60277777778)</f>
        <v>45308.60278</v>
      </c>
      <c r="C145" s="5" t="str">
        <f>IFERROR(__xludf.DUMMYFUNCTION("""COMPUTED_VALUE"""),"purchase")</f>
        <v>purchase</v>
      </c>
      <c r="D145" s="10">
        <f t="shared" si="1"/>
        <v>45308</v>
      </c>
      <c r="E145" s="10">
        <f t="shared" si="2"/>
        <v>45306</v>
      </c>
      <c r="F145" s="10">
        <f t="shared" si="3"/>
        <v>45292</v>
      </c>
      <c r="G145" s="11"/>
    </row>
    <row r="146">
      <c r="A146" s="5">
        <f>IFERROR(__xludf.DUMMYFUNCTION("""COMPUTED_VALUE"""),5831.0)</f>
        <v>5831</v>
      </c>
      <c r="B146" s="9">
        <f>IFERROR(__xludf.DUMMYFUNCTION("""COMPUTED_VALUE"""),45308.74134259259)</f>
        <v>45308.74134</v>
      </c>
      <c r="C146" s="5" t="str">
        <f>IFERROR(__xludf.DUMMYFUNCTION("""COMPUTED_VALUE"""),"purchase")</f>
        <v>purchase</v>
      </c>
      <c r="D146" s="10">
        <f t="shared" si="1"/>
        <v>45308</v>
      </c>
      <c r="E146" s="10">
        <f t="shared" si="2"/>
        <v>45306</v>
      </c>
      <c r="F146" s="10">
        <f t="shared" si="3"/>
        <v>45292</v>
      </c>
      <c r="G146" s="11"/>
    </row>
    <row r="147">
      <c r="A147" s="5">
        <f>IFERROR(__xludf.DUMMYFUNCTION("""COMPUTED_VALUE"""),1729.0)</f>
        <v>1729</v>
      </c>
      <c r="B147" s="9">
        <f>IFERROR(__xludf.DUMMYFUNCTION("""COMPUTED_VALUE"""),45308.79451388889)</f>
        <v>45308.79451</v>
      </c>
      <c r="C147" s="5" t="str">
        <f>IFERROR(__xludf.DUMMYFUNCTION("""COMPUTED_VALUE"""),"purchase")</f>
        <v>purchase</v>
      </c>
      <c r="D147" s="10">
        <f t="shared" si="1"/>
        <v>45308</v>
      </c>
      <c r="E147" s="10">
        <f t="shared" si="2"/>
        <v>45306</v>
      </c>
      <c r="F147" s="10">
        <f t="shared" si="3"/>
        <v>45292</v>
      </c>
      <c r="G147" s="11"/>
    </row>
    <row r="148">
      <c r="A148" s="5">
        <f>IFERROR(__xludf.DUMMYFUNCTION("""COMPUTED_VALUE"""),4795.0)</f>
        <v>4795</v>
      </c>
      <c r="B148" s="9">
        <f>IFERROR(__xludf.DUMMYFUNCTION("""COMPUTED_VALUE"""),45308.86035879629)</f>
        <v>45308.86036</v>
      </c>
      <c r="C148" s="5" t="str">
        <f>IFERROR(__xludf.DUMMYFUNCTION("""COMPUTED_VALUE"""),"purchase")</f>
        <v>purchase</v>
      </c>
      <c r="D148" s="10">
        <f t="shared" si="1"/>
        <v>45308</v>
      </c>
      <c r="E148" s="10">
        <f t="shared" si="2"/>
        <v>45306</v>
      </c>
      <c r="F148" s="10">
        <f t="shared" si="3"/>
        <v>45292</v>
      </c>
      <c r="G148" s="11"/>
    </row>
    <row r="149">
      <c r="A149" s="5">
        <f>IFERROR(__xludf.DUMMYFUNCTION("""COMPUTED_VALUE"""),882.0)</f>
        <v>882</v>
      </c>
      <c r="B149" s="9">
        <f>IFERROR(__xludf.DUMMYFUNCTION("""COMPUTED_VALUE"""),45308.93341435185)</f>
        <v>45308.93341</v>
      </c>
      <c r="C149" s="5" t="str">
        <f>IFERROR(__xludf.DUMMYFUNCTION("""COMPUTED_VALUE"""),"purchase")</f>
        <v>purchase</v>
      </c>
      <c r="D149" s="10">
        <f t="shared" si="1"/>
        <v>45308</v>
      </c>
      <c r="E149" s="10">
        <f t="shared" si="2"/>
        <v>45306</v>
      </c>
      <c r="F149" s="10">
        <f t="shared" si="3"/>
        <v>45292</v>
      </c>
      <c r="G149" s="11"/>
    </row>
    <row r="150">
      <c r="A150" s="5">
        <f>IFERROR(__xludf.DUMMYFUNCTION("""COMPUTED_VALUE"""),2898.0)</f>
        <v>2898</v>
      </c>
      <c r="B150" s="9">
        <f>IFERROR(__xludf.DUMMYFUNCTION("""COMPUTED_VALUE"""),45308.945335648146)</f>
        <v>45308.94534</v>
      </c>
      <c r="C150" s="5" t="str">
        <f>IFERROR(__xludf.DUMMYFUNCTION("""COMPUTED_VALUE"""),"purchase")</f>
        <v>purchase</v>
      </c>
      <c r="D150" s="10">
        <f t="shared" si="1"/>
        <v>45308</v>
      </c>
      <c r="E150" s="10">
        <f t="shared" si="2"/>
        <v>45306</v>
      </c>
      <c r="F150" s="10">
        <f t="shared" si="3"/>
        <v>45292</v>
      </c>
      <c r="G150" s="11"/>
    </row>
    <row r="151">
      <c r="A151" s="5">
        <f>IFERROR(__xludf.DUMMYFUNCTION("""COMPUTED_VALUE"""),7117.0)</f>
        <v>7117</v>
      </c>
      <c r="B151" s="9">
        <f>IFERROR(__xludf.DUMMYFUNCTION("""COMPUTED_VALUE"""),45309.18482638889)</f>
        <v>45309.18483</v>
      </c>
      <c r="C151" s="5" t="str">
        <f>IFERROR(__xludf.DUMMYFUNCTION("""COMPUTED_VALUE"""),"purchase")</f>
        <v>purchase</v>
      </c>
      <c r="D151" s="10">
        <f t="shared" si="1"/>
        <v>45309</v>
      </c>
      <c r="E151" s="10">
        <f t="shared" si="2"/>
        <v>45306</v>
      </c>
      <c r="F151" s="10">
        <f t="shared" si="3"/>
        <v>45292</v>
      </c>
      <c r="G151" s="11"/>
    </row>
    <row r="152">
      <c r="A152" s="5">
        <f>IFERROR(__xludf.DUMMYFUNCTION("""COMPUTED_VALUE"""),4516.0)</f>
        <v>4516</v>
      </c>
      <c r="B152" s="9">
        <f>IFERROR(__xludf.DUMMYFUNCTION("""COMPUTED_VALUE"""),45309.31030092593)</f>
        <v>45309.3103</v>
      </c>
      <c r="C152" s="5" t="str">
        <f>IFERROR(__xludf.DUMMYFUNCTION("""COMPUTED_VALUE"""),"purchase")</f>
        <v>purchase</v>
      </c>
      <c r="D152" s="10">
        <f t="shared" si="1"/>
        <v>45309</v>
      </c>
      <c r="E152" s="10">
        <f t="shared" si="2"/>
        <v>45306</v>
      </c>
      <c r="F152" s="10">
        <f t="shared" si="3"/>
        <v>45292</v>
      </c>
      <c r="G152" s="11"/>
    </row>
    <row r="153">
      <c r="A153" s="5">
        <f>IFERROR(__xludf.DUMMYFUNCTION("""COMPUTED_VALUE"""),1564.0)</f>
        <v>1564</v>
      </c>
      <c r="B153" s="9">
        <f>IFERROR(__xludf.DUMMYFUNCTION("""COMPUTED_VALUE"""),45309.54991898148)</f>
        <v>45309.54992</v>
      </c>
      <c r="C153" s="5" t="str">
        <f>IFERROR(__xludf.DUMMYFUNCTION("""COMPUTED_VALUE"""),"purchase")</f>
        <v>purchase</v>
      </c>
      <c r="D153" s="10">
        <f t="shared" si="1"/>
        <v>45309</v>
      </c>
      <c r="E153" s="10">
        <f t="shared" si="2"/>
        <v>45306</v>
      </c>
      <c r="F153" s="10">
        <f t="shared" si="3"/>
        <v>45292</v>
      </c>
      <c r="G153" s="11"/>
    </row>
    <row r="154">
      <c r="A154" s="5">
        <f>IFERROR(__xludf.DUMMYFUNCTION("""COMPUTED_VALUE"""),6412.0)</f>
        <v>6412</v>
      </c>
      <c r="B154" s="9">
        <f>IFERROR(__xludf.DUMMYFUNCTION("""COMPUTED_VALUE"""),45309.67501157407)</f>
        <v>45309.67501</v>
      </c>
      <c r="C154" s="5" t="str">
        <f>IFERROR(__xludf.DUMMYFUNCTION("""COMPUTED_VALUE"""),"purchase")</f>
        <v>purchase</v>
      </c>
      <c r="D154" s="10">
        <f t="shared" si="1"/>
        <v>45309</v>
      </c>
      <c r="E154" s="10">
        <f t="shared" si="2"/>
        <v>45306</v>
      </c>
      <c r="F154" s="10">
        <f t="shared" si="3"/>
        <v>45292</v>
      </c>
      <c r="G154" s="11"/>
    </row>
    <row r="155">
      <c r="A155" s="5">
        <f>IFERROR(__xludf.DUMMYFUNCTION("""COMPUTED_VALUE"""),324.0)</f>
        <v>324</v>
      </c>
      <c r="B155" s="9">
        <f>IFERROR(__xludf.DUMMYFUNCTION("""COMPUTED_VALUE"""),45309.825474537036)</f>
        <v>45309.82547</v>
      </c>
      <c r="C155" s="5" t="str">
        <f>IFERROR(__xludf.DUMMYFUNCTION("""COMPUTED_VALUE"""),"purchase")</f>
        <v>purchase</v>
      </c>
      <c r="D155" s="10">
        <f t="shared" si="1"/>
        <v>45309</v>
      </c>
      <c r="E155" s="10">
        <f t="shared" si="2"/>
        <v>45306</v>
      </c>
      <c r="F155" s="10">
        <f t="shared" si="3"/>
        <v>45292</v>
      </c>
      <c r="G155" s="11"/>
    </row>
    <row r="156">
      <c r="A156" s="5">
        <f>IFERROR(__xludf.DUMMYFUNCTION("""COMPUTED_VALUE"""),4693.0)</f>
        <v>4693</v>
      </c>
      <c r="B156" s="9">
        <f>IFERROR(__xludf.DUMMYFUNCTION("""COMPUTED_VALUE"""),45309.84515046296)</f>
        <v>45309.84515</v>
      </c>
      <c r="C156" s="5" t="str">
        <f>IFERROR(__xludf.DUMMYFUNCTION("""COMPUTED_VALUE"""),"purchase")</f>
        <v>purchase</v>
      </c>
      <c r="D156" s="10">
        <f t="shared" si="1"/>
        <v>45309</v>
      </c>
      <c r="E156" s="10">
        <f t="shared" si="2"/>
        <v>45306</v>
      </c>
      <c r="F156" s="10">
        <f t="shared" si="3"/>
        <v>45292</v>
      </c>
      <c r="G156" s="11"/>
    </row>
    <row r="157">
      <c r="A157" s="5">
        <f>IFERROR(__xludf.DUMMYFUNCTION("""COMPUTED_VALUE"""),2125.0)</f>
        <v>2125</v>
      </c>
      <c r="B157" s="9">
        <f>IFERROR(__xludf.DUMMYFUNCTION("""COMPUTED_VALUE"""),45309.8484375)</f>
        <v>45309.84844</v>
      </c>
      <c r="C157" s="5" t="str">
        <f>IFERROR(__xludf.DUMMYFUNCTION("""COMPUTED_VALUE"""),"purchase")</f>
        <v>purchase</v>
      </c>
      <c r="D157" s="10">
        <f t="shared" si="1"/>
        <v>45309</v>
      </c>
      <c r="E157" s="10">
        <f t="shared" si="2"/>
        <v>45306</v>
      </c>
      <c r="F157" s="10">
        <f t="shared" si="3"/>
        <v>45292</v>
      </c>
      <c r="G157" s="11"/>
    </row>
    <row r="158">
      <c r="A158" s="5">
        <f>IFERROR(__xludf.DUMMYFUNCTION("""COMPUTED_VALUE"""),2209.0)</f>
        <v>2209</v>
      </c>
      <c r="B158" s="9">
        <f>IFERROR(__xludf.DUMMYFUNCTION("""COMPUTED_VALUE"""),45309.87416666667)</f>
        <v>45309.87417</v>
      </c>
      <c r="C158" s="5" t="str">
        <f>IFERROR(__xludf.DUMMYFUNCTION("""COMPUTED_VALUE"""),"purchase")</f>
        <v>purchase</v>
      </c>
      <c r="D158" s="10">
        <f t="shared" si="1"/>
        <v>45309</v>
      </c>
      <c r="E158" s="10">
        <f t="shared" si="2"/>
        <v>45306</v>
      </c>
      <c r="F158" s="10">
        <f t="shared" si="3"/>
        <v>45292</v>
      </c>
      <c r="G158" s="11"/>
    </row>
    <row r="159">
      <c r="A159" s="5">
        <f>IFERROR(__xludf.DUMMYFUNCTION("""COMPUTED_VALUE"""),3617.0)</f>
        <v>3617</v>
      </c>
      <c r="B159" s="9">
        <f>IFERROR(__xludf.DUMMYFUNCTION("""COMPUTED_VALUE"""),45309.931539351855)</f>
        <v>45309.93154</v>
      </c>
      <c r="C159" s="5" t="str">
        <f>IFERROR(__xludf.DUMMYFUNCTION("""COMPUTED_VALUE"""),"purchase")</f>
        <v>purchase</v>
      </c>
      <c r="D159" s="10">
        <f t="shared" si="1"/>
        <v>45309</v>
      </c>
      <c r="E159" s="10">
        <f t="shared" si="2"/>
        <v>45306</v>
      </c>
      <c r="F159" s="10">
        <f t="shared" si="3"/>
        <v>45292</v>
      </c>
      <c r="G159" s="11"/>
    </row>
    <row r="160">
      <c r="A160" s="5">
        <f>IFERROR(__xludf.DUMMYFUNCTION("""COMPUTED_VALUE"""),2307.0)</f>
        <v>2307</v>
      </c>
      <c r="B160" s="9">
        <f>IFERROR(__xludf.DUMMYFUNCTION("""COMPUTED_VALUE"""),45309.95612268519)</f>
        <v>45309.95612</v>
      </c>
      <c r="C160" s="5" t="str">
        <f>IFERROR(__xludf.DUMMYFUNCTION("""COMPUTED_VALUE"""),"purchase")</f>
        <v>purchase</v>
      </c>
      <c r="D160" s="10">
        <f t="shared" si="1"/>
        <v>45309</v>
      </c>
      <c r="E160" s="10">
        <f t="shared" si="2"/>
        <v>45306</v>
      </c>
      <c r="F160" s="10">
        <f t="shared" si="3"/>
        <v>45292</v>
      </c>
      <c r="G160" s="11"/>
    </row>
    <row r="161">
      <c r="A161" s="5">
        <f>IFERROR(__xludf.DUMMYFUNCTION("""COMPUTED_VALUE"""),1346.0)</f>
        <v>1346</v>
      </c>
      <c r="B161" s="9">
        <f>IFERROR(__xludf.DUMMYFUNCTION("""COMPUTED_VALUE"""),45310.08913194444)</f>
        <v>45310.08913</v>
      </c>
      <c r="C161" s="5" t="str">
        <f>IFERROR(__xludf.DUMMYFUNCTION("""COMPUTED_VALUE"""),"purchase")</f>
        <v>purchase</v>
      </c>
      <c r="D161" s="10">
        <f t="shared" si="1"/>
        <v>45310</v>
      </c>
      <c r="E161" s="10">
        <f t="shared" si="2"/>
        <v>45306</v>
      </c>
      <c r="F161" s="10">
        <f t="shared" si="3"/>
        <v>45292</v>
      </c>
      <c r="G161" s="11"/>
    </row>
    <row r="162">
      <c r="A162" s="5">
        <f>IFERROR(__xludf.DUMMYFUNCTION("""COMPUTED_VALUE"""),3648.0)</f>
        <v>3648</v>
      </c>
      <c r="B162" s="9">
        <f>IFERROR(__xludf.DUMMYFUNCTION("""COMPUTED_VALUE"""),45310.16008101852)</f>
        <v>45310.16008</v>
      </c>
      <c r="C162" s="5" t="str">
        <f>IFERROR(__xludf.DUMMYFUNCTION("""COMPUTED_VALUE"""),"purchase")</f>
        <v>purchase</v>
      </c>
      <c r="D162" s="10">
        <f t="shared" si="1"/>
        <v>45310</v>
      </c>
      <c r="E162" s="10">
        <f t="shared" si="2"/>
        <v>45306</v>
      </c>
      <c r="F162" s="10">
        <f t="shared" si="3"/>
        <v>45292</v>
      </c>
      <c r="G162" s="11"/>
    </row>
    <row r="163">
      <c r="A163" s="5">
        <f>IFERROR(__xludf.DUMMYFUNCTION("""COMPUTED_VALUE"""),2313.0)</f>
        <v>2313</v>
      </c>
      <c r="B163" s="9">
        <f>IFERROR(__xludf.DUMMYFUNCTION("""COMPUTED_VALUE"""),45310.1853125)</f>
        <v>45310.18531</v>
      </c>
      <c r="C163" s="5" t="str">
        <f>IFERROR(__xludf.DUMMYFUNCTION("""COMPUTED_VALUE"""),"purchase")</f>
        <v>purchase</v>
      </c>
      <c r="D163" s="10">
        <f t="shared" si="1"/>
        <v>45310</v>
      </c>
      <c r="E163" s="10">
        <f t="shared" si="2"/>
        <v>45306</v>
      </c>
      <c r="F163" s="10">
        <f t="shared" si="3"/>
        <v>45292</v>
      </c>
      <c r="G163" s="11"/>
    </row>
    <row r="164">
      <c r="A164" s="5">
        <f>IFERROR(__xludf.DUMMYFUNCTION("""COMPUTED_VALUE"""),2599.0)</f>
        <v>2599</v>
      </c>
      <c r="B164" s="9">
        <f>IFERROR(__xludf.DUMMYFUNCTION("""COMPUTED_VALUE"""),45310.34347222222)</f>
        <v>45310.34347</v>
      </c>
      <c r="C164" s="5" t="str">
        <f>IFERROR(__xludf.DUMMYFUNCTION("""COMPUTED_VALUE"""),"purchase")</f>
        <v>purchase</v>
      </c>
      <c r="D164" s="10">
        <f t="shared" si="1"/>
        <v>45310</v>
      </c>
      <c r="E164" s="10">
        <f t="shared" si="2"/>
        <v>45306</v>
      </c>
      <c r="F164" s="10">
        <f t="shared" si="3"/>
        <v>45292</v>
      </c>
      <c r="G164" s="11"/>
    </row>
    <row r="165">
      <c r="A165" s="5">
        <f>IFERROR(__xludf.DUMMYFUNCTION("""COMPUTED_VALUE"""),1766.0)</f>
        <v>1766</v>
      </c>
      <c r="B165" s="9">
        <f>IFERROR(__xludf.DUMMYFUNCTION("""COMPUTED_VALUE"""),45310.379641203705)</f>
        <v>45310.37964</v>
      </c>
      <c r="C165" s="5" t="str">
        <f>IFERROR(__xludf.DUMMYFUNCTION("""COMPUTED_VALUE"""),"purchase")</f>
        <v>purchase</v>
      </c>
      <c r="D165" s="10">
        <f t="shared" si="1"/>
        <v>45310</v>
      </c>
      <c r="E165" s="10">
        <f t="shared" si="2"/>
        <v>45306</v>
      </c>
      <c r="F165" s="10">
        <f t="shared" si="3"/>
        <v>45292</v>
      </c>
      <c r="G165" s="11"/>
    </row>
    <row r="166">
      <c r="A166" s="5">
        <f>IFERROR(__xludf.DUMMYFUNCTION("""COMPUTED_VALUE"""),600.0)</f>
        <v>600</v>
      </c>
      <c r="B166" s="9">
        <f>IFERROR(__xludf.DUMMYFUNCTION("""COMPUTED_VALUE"""),45310.40966435185)</f>
        <v>45310.40966</v>
      </c>
      <c r="C166" s="5" t="str">
        <f>IFERROR(__xludf.DUMMYFUNCTION("""COMPUTED_VALUE"""),"purchase")</f>
        <v>purchase</v>
      </c>
      <c r="D166" s="10">
        <f t="shared" si="1"/>
        <v>45310</v>
      </c>
      <c r="E166" s="10">
        <f t="shared" si="2"/>
        <v>45306</v>
      </c>
      <c r="F166" s="10">
        <f t="shared" si="3"/>
        <v>45292</v>
      </c>
      <c r="G166" s="11"/>
    </row>
    <row r="167">
      <c r="A167" s="5">
        <f>IFERROR(__xludf.DUMMYFUNCTION("""COMPUTED_VALUE"""),3947.0)</f>
        <v>3947</v>
      </c>
      <c r="B167" s="9">
        <f>IFERROR(__xludf.DUMMYFUNCTION("""COMPUTED_VALUE"""),45310.61394675926)</f>
        <v>45310.61395</v>
      </c>
      <c r="C167" s="5" t="str">
        <f>IFERROR(__xludf.DUMMYFUNCTION("""COMPUTED_VALUE"""),"purchase")</f>
        <v>purchase</v>
      </c>
      <c r="D167" s="10">
        <f t="shared" si="1"/>
        <v>45310</v>
      </c>
      <c r="E167" s="10">
        <f t="shared" si="2"/>
        <v>45306</v>
      </c>
      <c r="F167" s="10">
        <f t="shared" si="3"/>
        <v>45292</v>
      </c>
      <c r="G167" s="11"/>
    </row>
    <row r="168">
      <c r="A168" s="5">
        <f>IFERROR(__xludf.DUMMYFUNCTION("""COMPUTED_VALUE"""),6162.0)</f>
        <v>6162</v>
      </c>
      <c r="B168" s="9">
        <f>IFERROR(__xludf.DUMMYFUNCTION("""COMPUTED_VALUE"""),45310.72837962963)</f>
        <v>45310.72838</v>
      </c>
      <c r="C168" s="5" t="str">
        <f>IFERROR(__xludf.DUMMYFUNCTION("""COMPUTED_VALUE"""),"purchase")</f>
        <v>purchase</v>
      </c>
      <c r="D168" s="10">
        <f t="shared" si="1"/>
        <v>45310</v>
      </c>
      <c r="E168" s="10">
        <f t="shared" si="2"/>
        <v>45306</v>
      </c>
      <c r="F168" s="10">
        <f t="shared" si="3"/>
        <v>45292</v>
      </c>
      <c r="G168" s="11"/>
    </row>
    <row r="169">
      <c r="A169" s="5">
        <f>IFERROR(__xludf.DUMMYFUNCTION("""COMPUTED_VALUE"""),5710.0)</f>
        <v>5710</v>
      </c>
      <c r="B169" s="9">
        <f>IFERROR(__xludf.DUMMYFUNCTION("""COMPUTED_VALUE"""),45310.78296296296)</f>
        <v>45310.78296</v>
      </c>
      <c r="C169" s="5" t="str">
        <f>IFERROR(__xludf.DUMMYFUNCTION("""COMPUTED_VALUE"""),"purchase")</f>
        <v>purchase</v>
      </c>
      <c r="D169" s="10">
        <f t="shared" si="1"/>
        <v>45310</v>
      </c>
      <c r="E169" s="10">
        <f t="shared" si="2"/>
        <v>45306</v>
      </c>
      <c r="F169" s="10">
        <f t="shared" si="3"/>
        <v>45292</v>
      </c>
      <c r="G169" s="11"/>
    </row>
    <row r="170">
      <c r="A170" s="5">
        <f>IFERROR(__xludf.DUMMYFUNCTION("""COMPUTED_VALUE"""),2572.0)</f>
        <v>2572</v>
      </c>
      <c r="B170" s="9">
        <f>IFERROR(__xludf.DUMMYFUNCTION("""COMPUTED_VALUE"""),45310.80667824074)</f>
        <v>45310.80668</v>
      </c>
      <c r="C170" s="5" t="str">
        <f>IFERROR(__xludf.DUMMYFUNCTION("""COMPUTED_VALUE"""),"purchase")</f>
        <v>purchase</v>
      </c>
      <c r="D170" s="10">
        <f t="shared" si="1"/>
        <v>45310</v>
      </c>
      <c r="E170" s="10">
        <f t="shared" si="2"/>
        <v>45306</v>
      </c>
      <c r="F170" s="10">
        <f t="shared" si="3"/>
        <v>45292</v>
      </c>
      <c r="G170" s="11"/>
    </row>
    <row r="171">
      <c r="A171" s="5">
        <f>IFERROR(__xludf.DUMMYFUNCTION("""COMPUTED_VALUE"""),6479.0)</f>
        <v>6479</v>
      </c>
      <c r="B171" s="9">
        <f>IFERROR(__xludf.DUMMYFUNCTION("""COMPUTED_VALUE"""),45310.84483796296)</f>
        <v>45310.84484</v>
      </c>
      <c r="C171" s="5" t="str">
        <f>IFERROR(__xludf.DUMMYFUNCTION("""COMPUTED_VALUE"""),"purchase")</f>
        <v>purchase</v>
      </c>
      <c r="D171" s="10">
        <f t="shared" si="1"/>
        <v>45310</v>
      </c>
      <c r="E171" s="10">
        <f t="shared" si="2"/>
        <v>45306</v>
      </c>
      <c r="F171" s="10">
        <f t="shared" si="3"/>
        <v>45292</v>
      </c>
      <c r="G171" s="11"/>
    </row>
    <row r="172">
      <c r="A172" s="5">
        <f>IFERROR(__xludf.DUMMYFUNCTION("""COMPUTED_VALUE"""),2604.0)</f>
        <v>2604</v>
      </c>
      <c r="B172" s="9">
        <f>IFERROR(__xludf.DUMMYFUNCTION("""COMPUTED_VALUE"""),45310.884421296294)</f>
        <v>45310.88442</v>
      </c>
      <c r="C172" s="5" t="str">
        <f>IFERROR(__xludf.DUMMYFUNCTION("""COMPUTED_VALUE"""),"purchase")</f>
        <v>purchase</v>
      </c>
      <c r="D172" s="10">
        <f t="shared" si="1"/>
        <v>45310</v>
      </c>
      <c r="E172" s="10">
        <f t="shared" si="2"/>
        <v>45306</v>
      </c>
      <c r="F172" s="10">
        <f t="shared" si="3"/>
        <v>45292</v>
      </c>
      <c r="G172" s="11"/>
    </row>
    <row r="173">
      <c r="A173" s="5">
        <f>IFERROR(__xludf.DUMMYFUNCTION("""COMPUTED_VALUE"""),4459.0)</f>
        <v>4459</v>
      </c>
      <c r="B173" s="9">
        <f>IFERROR(__xludf.DUMMYFUNCTION("""COMPUTED_VALUE"""),45311.13099537037)</f>
        <v>45311.131</v>
      </c>
      <c r="C173" s="5" t="str">
        <f>IFERROR(__xludf.DUMMYFUNCTION("""COMPUTED_VALUE"""),"purchase")</f>
        <v>purchase</v>
      </c>
      <c r="D173" s="10">
        <f t="shared" si="1"/>
        <v>45311</v>
      </c>
      <c r="E173" s="10">
        <f t="shared" si="2"/>
        <v>45306</v>
      </c>
      <c r="F173" s="10">
        <f t="shared" si="3"/>
        <v>45292</v>
      </c>
      <c r="G173" s="11"/>
    </row>
    <row r="174">
      <c r="A174" s="5">
        <f>IFERROR(__xludf.DUMMYFUNCTION("""COMPUTED_VALUE"""),7497.0)</f>
        <v>7497</v>
      </c>
      <c r="B174" s="9">
        <f>IFERROR(__xludf.DUMMYFUNCTION("""COMPUTED_VALUE"""),45311.256157407406)</f>
        <v>45311.25616</v>
      </c>
      <c r="C174" s="5" t="str">
        <f>IFERROR(__xludf.DUMMYFUNCTION("""COMPUTED_VALUE"""),"purchase")</f>
        <v>purchase</v>
      </c>
      <c r="D174" s="10">
        <f t="shared" si="1"/>
        <v>45311</v>
      </c>
      <c r="E174" s="10">
        <f t="shared" si="2"/>
        <v>45306</v>
      </c>
      <c r="F174" s="10">
        <f t="shared" si="3"/>
        <v>45292</v>
      </c>
      <c r="G174" s="11"/>
    </row>
    <row r="175">
      <c r="A175" s="5">
        <f>IFERROR(__xludf.DUMMYFUNCTION("""COMPUTED_VALUE"""),1566.0)</f>
        <v>1566</v>
      </c>
      <c r="B175" s="9">
        <f>IFERROR(__xludf.DUMMYFUNCTION("""COMPUTED_VALUE"""),45311.26832175926)</f>
        <v>45311.26832</v>
      </c>
      <c r="C175" s="5" t="str">
        <f>IFERROR(__xludf.DUMMYFUNCTION("""COMPUTED_VALUE"""),"purchase")</f>
        <v>purchase</v>
      </c>
      <c r="D175" s="10">
        <f t="shared" si="1"/>
        <v>45311</v>
      </c>
      <c r="E175" s="10">
        <f t="shared" si="2"/>
        <v>45306</v>
      </c>
      <c r="F175" s="10">
        <f t="shared" si="3"/>
        <v>45292</v>
      </c>
      <c r="G175" s="11"/>
    </row>
    <row r="176">
      <c r="A176" s="5">
        <f>IFERROR(__xludf.DUMMYFUNCTION("""COMPUTED_VALUE"""),2938.0)</f>
        <v>2938</v>
      </c>
      <c r="B176" s="9">
        <f>IFERROR(__xludf.DUMMYFUNCTION("""COMPUTED_VALUE"""),45311.45123842593)</f>
        <v>45311.45124</v>
      </c>
      <c r="C176" s="5" t="str">
        <f>IFERROR(__xludf.DUMMYFUNCTION("""COMPUTED_VALUE"""),"purchase")</f>
        <v>purchase</v>
      </c>
      <c r="D176" s="10">
        <f t="shared" si="1"/>
        <v>45311</v>
      </c>
      <c r="E176" s="10">
        <f t="shared" si="2"/>
        <v>45306</v>
      </c>
      <c r="F176" s="10">
        <f t="shared" si="3"/>
        <v>45292</v>
      </c>
      <c r="G176" s="11"/>
    </row>
    <row r="177">
      <c r="A177" s="5">
        <f>IFERROR(__xludf.DUMMYFUNCTION("""COMPUTED_VALUE"""),7475.0)</f>
        <v>7475</v>
      </c>
      <c r="B177" s="9">
        <f>IFERROR(__xludf.DUMMYFUNCTION("""COMPUTED_VALUE"""),45311.47981481482)</f>
        <v>45311.47981</v>
      </c>
      <c r="C177" s="5" t="str">
        <f>IFERROR(__xludf.DUMMYFUNCTION("""COMPUTED_VALUE"""),"purchase")</f>
        <v>purchase</v>
      </c>
      <c r="D177" s="10">
        <f t="shared" si="1"/>
        <v>45311</v>
      </c>
      <c r="E177" s="10">
        <f t="shared" si="2"/>
        <v>45306</v>
      </c>
      <c r="F177" s="10">
        <f t="shared" si="3"/>
        <v>45292</v>
      </c>
      <c r="G177" s="11"/>
    </row>
    <row r="178">
      <c r="A178" s="5">
        <f>IFERROR(__xludf.DUMMYFUNCTION("""COMPUTED_VALUE"""),6341.0)</f>
        <v>6341</v>
      </c>
      <c r="B178" s="9">
        <f>IFERROR(__xludf.DUMMYFUNCTION("""COMPUTED_VALUE"""),45311.624756944446)</f>
        <v>45311.62476</v>
      </c>
      <c r="C178" s="5" t="str">
        <f>IFERROR(__xludf.DUMMYFUNCTION("""COMPUTED_VALUE"""),"purchase")</f>
        <v>purchase</v>
      </c>
      <c r="D178" s="10">
        <f t="shared" si="1"/>
        <v>45311</v>
      </c>
      <c r="E178" s="10">
        <f t="shared" si="2"/>
        <v>45306</v>
      </c>
      <c r="F178" s="10">
        <f t="shared" si="3"/>
        <v>45292</v>
      </c>
      <c r="G178" s="11"/>
    </row>
    <row r="179">
      <c r="A179" s="5">
        <f>IFERROR(__xludf.DUMMYFUNCTION("""COMPUTED_VALUE"""),1347.0)</f>
        <v>1347</v>
      </c>
      <c r="B179" s="9">
        <f>IFERROR(__xludf.DUMMYFUNCTION("""COMPUTED_VALUE"""),45311.62778935185)</f>
        <v>45311.62779</v>
      </c>
      <c r="C179" s="5" t="str">
        <f>IFERROR(__xludf.DUMMYFUNCTION("""COMPUTED_VALUE"""),"purchase")</f>
        <v>purchase</v>
      </c>
      <c r="D179" s="10">
        <f t="shared" si="1"/>
        <v>45311</v>
      </c>
      <c r="E179" s="10">
        <f t="shared" si="2"/>
        <v>45306</v>
      </c>
      <c r="F179" s="10">
        <f t="shared" si="3"/>
        <v>45292</v>
      </c>
      <c r="G179" s="11"/>
    </row>
    <row r="180">
      <c r="A180" s="5">
        <f>IFERROR(__xludf.DUMMYFUNCTION("""COMPUTED_VALUE"""),5068.0)</f>
        <v>5068</v>
      </c>
      <c r="B180" s="9">
        <f>IFERROR(__xludf.DUMMYFUNCTION("""COMPUTED_VALUE"""),45311.72219907407)</f>
        <v>45311.7222</v>
      </c>
      <c r="C180" s="5" t="str">
        <f>IFERROR(__xludf.DUMMYFUNCTION("""COMPUTED_VALUE"""),"purchase")</f>
        <v>purchase</v>
      </c>
      <c r="D180" s="10">
        <f t="shared" si="1"/>
        <v>45311</v>
      </c>
      <c r="E180" s="10">
        <f t="shared" si="2"/>
        <v>45306</v>
      </c>
      <c r="F180" s="10">
        <f t="shared" si="3"/>
        <v>45292</v>
      </c>
      <c r="G180" s="11"/>
    </row>
    <row r="181">
      <c r="A181" s="5">
        <f>IFERROR(__xludf.DUMMYFUNCTION("""COMPUTED_VALUE"""),5313.0)</f>
        <v>5313</v>
      </c>
      <c r="B181" s="9">
        <f>IFERROR(__xludf.DUMMYFUNCTION("""COMPUTED_VALUE"""),45311.741631944446)</f>
        <v>45311.74163</v>
      </c>
      <c r="C181" s="5" t="str">
        <f>IFERROR(__xludf.DUMMYFUNCTION("""COMPUTED_VALUE"""),"purchase")</f>
        <v>purchase</v>
      </c>
      <c r="D181" s="10">
        <f t="shared" si="1"/>
        <v>45311</v>
      </c>
      <c r="E181" s="10">
        <f t="shared" si="2"/>
        <v>45306</v>
      </c>
      <c r="F181" s="10">
        <f t="shared" si="3"/>
        <v>45292</v>
      </c>
      <c r="G181" s="11"/>
    </row>
    <row r="182">
      <c r="A182" s="5">
        <f>IFERROR(__xludf.DUMMYFUNCTION("""COMPUTED_VALUE"""),2134.0)</f>
        <v>2134</v>
      </c>
      <c r="B182" s="9">
        <f>IFERROR(__xludf.DUMMYFUNCTION("""COMPUTED_VALUE"""),45311.753217592595)</f>
        <v>45311.75322</v>
      </c>
      <c r="C182" s="5" t="str">
        <f>IFERROR(__xludf.DUMMYFUNCTION("""COMPUTED_VALUE"""),"purchase")</f>
        <v>purchase</v>
      </c>
      <c r="D182" s="10">
        <f t="shared" si="1"/>
        <v>45311</v>
      </c>
      <c r="E182" s="10">
        <f t="shared" si="2"/>
        <v>45306</v>
      </c>
      <c r="F182" s="10">
        <f t="shared" si="3"/>
        <v>45292</v>
      </c>
      <c r="G182" s="11"/>
    </row>
    <row r="183">
      <c r="A183" s="5">
        <f>IFERROR(__xludf.DUMMYFUNCTION("""COMPUTED_VALUE"""),7665.0)</f>
        <v>7665</v>
      </c>
      <c r="B183" s="9">
        <f>IFERROR(__xludf.DUMMYFUNCTION("""COMPUTED_VALUE"""),45311.79225694444)</f>
        <v>45311.79226</v>
      </c>
      <c r="C183" s="5" t="str">
        <f>IFERROR(__xludf.DUMMYFUNCTION("""COMPUTED_VALUE"""),"purchase")</f>
        <v>purchase</v>
      </c>
      <c r="D183" s="10">
        <f t="shared" si="1"/>
        <v>45311</v>
      </c>
      <c r="E183" s="10">
        <f t="shared" si="2"/>
        <v>45306</v>
      </c>
      <c r="F183" s="10">
        <f t="shared" si="3"/>
        <v>45292</v>
      </c>
      <c r="G183" s="11"/>
    </row>
    <row r="184">
      <c r="A184" s="5">
        <f>IFERROR(__xludf.DUMMYFUNCTION("""COMPUTED_VALUE"""),507.0)</f>
        <v>507</v>
      </c>
      <c r="B184" s="9">
        <f>IFERROR(__xludf.DUMMYFUNCTION("""COMPUTED_VALUE"""),45311.91400462963)</f>
        <v>45311.914</v>
      </c>
      <c r="C184" s="5" t="str">
        <f>IFERROR(__xludf.DUMMYFUNCTION("""COMPUTED_VALUE"""),"purchase")</f>
        <v>purchase</v>
      </c>
      <c r="D184" s="10">
        <f t="shared" si="1"/>
        <v>45311</v>
      </c>
      <c r="E184" s="10">
        <f t="shared" si="2"/>
        <v>45306</v>
      </c>
      <c r="F184" s="10">
        <f t="shared" si="3"/>
        <v>45292</v>
      </c>
      <c r="G184" s="11"/>
    </row>
    <row r="185">
      <c r="A185" s="5">
        <f>IFERROR(__xludf.DUMMYFUNCTION("""COMPUTED_VALUE"""),2304.0)</f>
        <v>2304</v>
      </c>
      <c r="B185" s="9">
        <f>IFERROR(__xludf.DUMMYFUNCTION("""COMPUTED_VALUE"""),45311.93560185185)</f>
        <v>45311.9356</v>
      </c>
      <c r="C185" s="5" t="str">
        <f>IFERROR(__xludf.DUMMYFUNCTION("""COMPUTED_VALUE"""),"purchase")</f>
        <v>purchase</v>
      </c>
      <c r="D185" s="10">
        <f t="shared" si="1"/>
        <v>45311</v>
      </c>
      <c r="E185" s="10">
        <f t="shared" si="2"/>
        <v>45306</v>
      </c>
      <c r="F185" s="10">
        <f t="shared" si="3"/>
        <v>45292</v>
      </c>
      <c r="G185" s="11"/>
    </row>
    <row r="186">
      <c r="A186" s="5">
        <f>IFERROR(__xludf.DUMMYFUNCTION("""COMPUTED_VALUE"""),7039.0)</f>
        <v>7039</v>
      </c>
      <c r="B186" s="9">
        <f>IFERROR(__xludf.DUMMYFUNCTION("""COMPUTED_VALUE"""),45312.33642361111)</f>
        <v>45312.33642</v>
      </c>
      <c r="C186" s="5" t="str">
        <f>IFERROR(__xludf.DUMMYFUNCTION("""COMPUTED_VALUE"""),"purchase")</f>
        <v>purchase</v>
      </c>
      <c r="D186" s="10">
        <f t="shared" si="1"/>
        <v>45312</v>
      </c>
      <c r="E186" s="10">
        <f t="shared" si="2"/>
        <v>45306</v>
      </c>
      <c r="F186" s="10">
        <f t="shared" si="3"/>
        <v>45292</v>
      </c>
      <c r="G186" s="11"/>
    </row>
    <row r="187">
      <c r="A187" s="5">
        <f>IFERROR(__xludf.DUMMYFUNCTION("""COMPUTED_VALUE"""),5529.0)</f>
        <v>5529</v>
      </c>
      <c r="B187" s="9">
        <f>IFERROR(__xludf.DUMMYFUNCTION("""COMPUTED_VALUE"""),45312.35170138889)</f>
        <v>45312.3517</v>
      </c>
      <c r="C187" s="5" t="str">
        <f>IFERROR(__xludf.DUMMYFUNCTION("""COMPUTED_VALUE"""),"purchase")</f>
        <v>purchase</v>
      </c>
      <c r="D187" s="10">
        <f t="shared" si="1"/>
        <v>45312</v>
      </c>
      <c r="E187" s="10">
        <f t="shared" si="2"/>
        <v>45306</v>
      </c>
      <c r="F187" s="10">
        <f t="shared" si="3"/>
        <v>45292</v>
      </c>
      <c r="G187" s="11"/>
    </row>
    <row r="188">
      <c r="A188" s="5">
        <f>IFERROR(__xludf.DUMMYFUNCTION("""COMPUTED_VALUE"""),4374.0)</f>
        <v>4374</v>
      </c>
      <c r="B188" s="9">
        <f>IFERROR(__xludf.DUMMYFUNCTION("""COMPUTED_VALUE"""),45312.478113425925)</f>
        <v>45312.47811</v>
      </c>
      <c r="C188" s="5" t="str">
        <f>IFERROR(__xludf.DUMMYFUNCTION("""COMPUTED_VALUE"""),"purchase")</f>
        <v>purchase</v>
      </c>
      <c r="D188" s="10">
        <f t="shared" si="1"/>
        <v>45312</v>
      </c>
      <c r="E188" s="10">
        <f t="shared" si="2"/>
        <v>45306</v>
      </c>
      <c r="F188" s="10">
        <f t="shared" si="3"/>
        <v>45292</v>
      </c>
      <c r="G188" s="11"/>
    </row>
    <row r="189">
      <c r="A189" s="5">
        <f>IFERROR(__xludf.DUMMYFUNCTION("""COMPUTED_VALUE"""),6798.0)</f>
        <v>6798</v>
      </c>
      <c r="B189" s="9">
        <f>IFERROR(__xludf.DUMMYFUNCTION("""COMPUTED_VALUE"""),45312.72678240741)</f>
        <v>45312.72678</v>
      </c>
      <c r="C189" s="5" t="str">
        <f>IFERROR(__xludf.DUMMYFUNCTION("""COMPUTED_VALUE"""),"purchase")</f>
        <v>purchase</v>
      </c>
      <c r="D189" s="10">
        <f t="shared" si="1"/>
        <v>45312</v>
      </c>
      <c r="E189" s="10">
        <f t="shared" si="2"/>
        <v>45306</v>
      </c>
      <c r="F189" s="10">
        <f t="shared" si="3"/>
        <v>45292</v>
      </c>
      <c r="G189" s="11"/>
    </row>
    <row r="190">
      <c r="A190" s="5">
        <f>IFERROR(__xludf.DUMMYFUNCTION("""COMPUTED_VALUE"""),684.0)</f>
        <v>684</v>
      </c>
      <c r="B190" s="9">
        <f>IFERROR(__xludf.DUMMYFUNCTION("""COMPUTED_VALUE"""),45312.728171296294)</f>
        <v>45312.72817</v>
      </c>
      <c r="C190" s="5" t="str">
        <f>IFERROR(__xludf.DUMMYFUNCTION("""COMPUTED_VALUE"""),"purchase")</f>
        <v>purchase</v>
      </c>
      <c r="D190" s="10">
        <f t="shared" si="1"/>
        <v>45312</v>
      </c>
      <c r="E190" s="10">
        <f t="shared" si="2"/>
        <v>45306</v>
      </c>
      <c r="F190" s="10">
        <f t="shared" si="3"/>
        <v>45292</v>
      </c>
      <c r="G190" s="11"/>
    </row>
    <row r="191">
      <c r="A191" s="5">
        <f>IFERROR(__xludf.DUMMYFUNCTION("""COMPUTED_VALUE"""),3384.0)</f>
        <v>3384</v>
      </c>
      <c r="B191" s="9">
        <f>IFERROR(__xludf.DUMMYFUNCTION("""COMPUTED_VALUE"""),45312.99340277778)</f>
        <v>45312.9934</v>
      </c>
      <c r="C191" s="5" t="str">
        <f>IFERROR(__xludf.DUMMYFUNCTION("""COMPUTED_VALUE"""),"purchase")</f>
        <v>purchase</v>
      </c>
      <c r="D191" s="10">
        <f t="shared" si="1"/>
        <v>45312</v>
      </c>
      <c r="E191" s="10">
        <f t="shared" si="2"/>
        <v>45306</v>
      </c>
      <c r="F191" s="10">
        <f t="shared" si="3"/>
        <v>45292</v>
      </c>
      <c r="G191" s="11"/>
    </row>
    <row r="192">
      <c r="A192" s="5">
        <f>IFERROR(__xludf.DUMMYFUNCTION("""COMPUTED_VALUE"""),7988.0)</f>
        <v>7988</v>
      </c>
      <c r="B192" s="9">
        <f>IFERROR(__xludf.DUMMYFUNCTION("""COMPUTED_VALUE"""),45313.01596064815)</f>
        <v>45313.01596</v>
      </c>
      <c r="C192" s="5" t="str">
        <f>IFERROR(__xludf.DUMMYFUNCTION("""COMPUTED_VALUE"""),"purchase")</f>
        <v>purchase</v>
      </c>
      <c r="D192" s="10">
        <f t="shared" si="1"/>
        <v>45313</v>
      </c>
      <c r="E192" s="10">
        <f t="shared" si="2"/>
        <v>45313</v>
      </c>
      <c r="F192" s="10">
        <f t="shared" si="3"/>
        <v>45292</v>
      </c>
      <c r="G192" s="11"/>
    </row>
    <row r="193">
      <c r="A193" s="5">
        <f>IFERROR(__xludf.DUMMYFUNCTION("""COMPUTED_VALUE"""),7109.0)</f>
        <v>7109</v>
      </c>
      <c r="B193" s="9">
        <f>IFERROR(__xludf.DUMMYFUNCTION("""COMPUTED_VALUE"""),45313.09307870371)</f>
        <v>45313.09308</v>
      </c>
      <c r="C193" s="5" t="str">
        <f>IFERROR(__xludf.DUMMYFUNCTION("""COMPUTED_VALUE"""),"purchase")</f>
        <v>purchase</v>
      </c>
      <c r="D193" s="10">
        <f t="shared" si="1"/>
        <v>45313</v>
      </c>
      <c r="E193" s="10">
        <f t="shared" si="2"/>
        <v>45313</v>
      </c>
      <c r="F193" s="10">
        <f t="shared" si="3"/>
        <v>45292</v>
      </c>
      <c r="G193" s="11"/>
    </row>
    <row r="194">
      <c r="A194" s="5">
        <f>IFERROR(__xludf.DUMMYFUNCTION("""COMPUTED_VALUE"""),612.0)</f>
        <v>612</v>
      </c>
      <c r="B194" s="9">
        <f>IFERROR(__xludf.DUMMYFUNCTION("""COMPUTED_VALUE"""),45313.166493055556)</f>
        <v>45313.16649</v>
      </c>
      <c r="C194" s="5" t="str">
        <f>IFERROR(__xludf.DUMMYFUNCTION("""COMPUTED_VALUE"""),"purchase")</f>
        <v>purchase</v>
      </c>
      <c r="D194" s="10">
        <f t="shared" si="1"/>
        <v>45313</v>
      </c>
      <c r="E194" s="10">
        <f t="shared" si="2"/>
        <v>45313</v>
      </c>
      <c r="F194" s="10">
        <f t="shared" si="3"/>
        <v>45292</v>
      </c>
      <c r="G194" s="11"/>
    </row>
    <row r="195">
      <c r="A195" s="5">
        <f>IFERROR(__xludf.DUMMYFUNCTION("""COMPUTED_VALUE"""),325.0)</f>
        <v>325</v>
      </c>
      <c r="B195" s="9">
        <f>IFERROR(__xludf.DUMMYFUNCTION("""COMPUTED_VALUE"""),45313.20515046296)</f>
        <v>45313.20515</v>
      </c>
      <c r="C195" s="5" t="str">
        <f>IFERROR(__xludf.DUMMYFUNCTION("""COMPUTED_VALUE"""),"purchase")</f>
        <v>purchase</v>
      </c>
      <c r="D195" s="10">
        <f t="shared" si="1"/>
        <v>45313</v>
      </c>
      <c r="E195" s="10">
        <f t="shared" si="2"/>
        <v>45313</v>
      </c>
      <c r="F195" s="10">
        <f t="shared" si="3"/>
        <v>45292</v>
      </c>
      <c r="G195" s="11"/>
    </row>
    <row r="196">
      <c r="A196" s="5">
        <f>IFERROR(__xludf.DUMMYFUNCTION("""COMPUTED_VALUE"""),5465.0)</f>
        <v>5465</v>
      </c>
      <c r="B196" s="9">
        <f>IFERROR(__xludf.DUMMYFUNCTION("""COMPUTED_VALUE"""),45313.226435185185)</f>
        <v>45313.22644</v>
      </c>
      <c r="C196" s="5" t="str">
        <f>IFERROR(__xludf.DUMMYFUNCTION("""COMPUTED_VALUE"""),"purchase")</f>
        <v>purchase</v>
      </c>
      <c r="D196" s="10">
        <f t="shared" si="1"/>
        <v>45313</v>
      </c>
      <c r="E196" s="10">
        <f t="shared" si="2"/>
        <v>45313</v>
      </c>
      <c r="F196" s="10">
        <f t="shared" si="3"/>
        <v>45292</v>
      </c>
      <c r="G196" s="11"/>
    </row>
    <row r="197">
      <c r="A197" s="5">
        <f>IFERROR(__xludf.DUMMYFUNCTION("""COMPUTED_VALUE"""),3769.0)</f>
        <v>3769</v>
      </c>
      <c r="B197" s="9">
        <f>IFERROR(__xludf.DUMMYFUNCTION("""COMPUTED_VALUE"""),45313.2953125)</f>
        <v>45313.29531</v>
      </c>
      <c r="C197" s="5" t="str">
        <f>IFERROR(__xludf.DUMMYFUNCTION("""COMPUTED_VALUE"""),"purchase")</f>
        <v>purchase</v>
      </c>
      <c r="D197" s="10">
        <f t="shared" si="1"/>
        <v>45313</v>
      </c>
      <c r="E197" s="10">
        <f t="shared" si="2"/>
        <v>45313</v>
      </c>
      <c r="F197" s="10">
        <f t="shared" si="3"/>
        <v>45292</v>
      </c>
      <c r="G197" s="11"/>
    </row>
    <row r="198">
      <c r="A198" s="5">
        <f>IFERROR(__xludf.DUMMYFUNCTION("""COMPUTED_VALUE"""),6218.0)</f>
        <v>6218</v>
      </c>
      <c r="B198" s="9">
        <f>IFERROR(__xludf.DUMMYFUNCTION("""COMPUTED_VALUE"""),45313.30703703704)</f>
        <v>45313.30704</v>
      </c>
      <c r="C198" s="5" t="str">
        <f>IFERROR(__xludf.DUMMYFUNCTION("""COMPUTED_VALUE"""),"purchase")</f>
        <v>purchase</v>
      </c>
      <c r="D198" s="10">
        <f t="shared" si="1"/>
        <v>45313</v>
      </c>
      <c r="E198" s="10">
        <f t="shared" si="2"/>
        <v>45313</v>
      </c>
      <c r="F198" s="10">
        <f t="shared" si="3"/>
        <v>45292</v>
      </c>
      <c r="G198" s="11"/>
    </row>
    <row r="199">
      <c r="A199" s="5">
        <f>IFERROR(__xludf.DUMMYFUNCTION("""COMPUTED_VALUE"""),6192.0)</f>
        <v>6192</v>
      </c>
      <c r="B199" s="9">
        <f>IFERROR(__xludf.DUMMYFUNCTION("""COMPUTED_VALUE"""),45313.71126157408)</f>
        <v>45313.71126</v>
      </c>
      <c r="C199" s="5" t="str">
        <f>IFERROR(__xludf.DUMMYFUNCTION("""COMPUTED_VALUE"""),"purchase")</f>
        <v>purchase</v>
      </c>
      <c r="D199" s="10">
        <f t="shared" si="1"/>
        <v>45313</v>
      </c>
      <c r="E199" s="10">
        <f t="shared" si="2"/>
        <v>45313</v>
      </c>
      <c r="F199" s="10">
        <f t="shared" si="3"/>
        <v>45292</v>
      </c>
      <c r="G199" s="11"/>
    </row>
    <row r="200">
      <c r="A200" s="5">
        <f>IFERROR(__xludf.DUMMYFUNCTION("""COMPUTED_VALUE"""),853.0)</f>
        <v>853</v>
      </c>
      <c r="B200" s="9">
        <f>IFERROR(__xludf.DUMMYFUNCTION("""COMPUTED_VALUE"""),45313.78824074074)</f>
        <v>45313.78824</v>
      </c>
      <c r="C200" s="5" t="str">
        <f>IFERROR(__xludf.DUMMYFUNCTION("""COMPUTED_VALUE"""),"purchase")</f>
        <v>purchase</v>
      </c>
      <c r="D200" s="10">
        <f t="shared" si="1"/>
        <v>45313</v>
      </c>
      <c r="E200" s="10">
        <f t="shared" si="2"/>
        <v>45313</v>
      </c>
      <c r="F200" s="10">
        <f t="shared" si="3"/>
        <v>45292</v>
      </c>
      <c r="G200" s="11"/>
    </row>
    <row r="201">
      <c r="A201" s="5">
        <f>IFERROR(__xludf.DUMMYFUNCTION("""COMPUTED_VALUE"""),5857.0)</f>
        <v>5857</v>
      </c>
      <c r="B201" s="9">
        <f>IFERROR(__xludf.DUMMYFUNCTION("""COMPUTED_VALUE"""),45313.79383101852)</f>
        <v>45313.79383</v>
      </c>
      <c r="C201" s="5" t="str">
        <f>IFERROR(__xludf.DUMMYFUNCTION("""COMPUTED_VALUE"""),"purchase")</f>
        <v>purchase</v>
      </c>
      <c r="D201" s="10">
        <f t="shared" si="1"/>
        <v>45313</v>
      </c>
      <c r="E201" s="10">
        <f t="shared" si="2"/>
        <v>45313</v>
      </c>
      <c r="F201" s="10">
        <f t="shared" si="3"/>
        <v>45292</v>
      </c>
      <c r="G201" s="11"/>
    </row>
    <row r="202">
      <c r="A202" s="5">
        <f>IFERROR(__xludf.DUMMYFUNCTION("""COMPUTED_VALUE"""),1260.0)</f>
        <v>1260</v>
      </c>
      <c r="B202" s="9">
        <f>IFERROR(__xludf.DUMMYFUNCTION("""COMPUTED_VALUE"""),45313.8055787037)</f>
        <v>45313.80558</v>
      </c>
      <c r="C202" s="5" t="str">
        <f>IFERROR(__xludf.DUMMYFUNCTION("""COMPUTED_VALUE"""),"purchase")</f>
        <v>purchase</v>
      </c>
      <c r="D202" s="10">
        <f t="shared" si="1"/>
        <v>45313</v>
      </c>
      <c r="E202" s="10">
        <f t="shared" si="2"/>
        <v>45313</v>
      </c>
      <c r="F202" s="10">
        <f t="shared" si="3"/>
        <v>45292</v>
      </c>
      <c r="G202" s="11"/>
    </row>
    <row r="203">
      <c r="A203" s="5">
        <f>IFERROR(__xludf.DUMMYFUNCTION("""COMPUTED_VALUE"""),5715.0)</f>
        <v>5715</v>
      </c>
      <c r="B203" s="9">
        <f>IFERROR(__xludf.DUMMYFUNCTION("""COMPUTED_VALUE"""),45313.82635416667)</f>
        <v>45313.82635</v>
      </c>
      <c r="C203" s="5" t="str">
        <f>IFERROR(__xludf.DUMMYFUNCTION("""COMPUTED_VALUE"""),"purchase")</f>
        <v>purchase</v>
      </c>
      <c r="D203" s="10">
        <f t="shared" si="1"/>
        <v>45313</v>
      </c>
      <c r="E203" s="10">
        <f t="shared" si="2"/>
        <v>45313</v>
      </c>
      <c r="F203" s="10">
        <f t="shared" si="3"/>
        <v>45292</v>
      </c>
      <c r="G203" s="11"/>
    </row>
    <row r="204">
      <c r="A204" s="5">
        <f>IFERROR(__xludf.DUMMYFUNCTION("""COMPUTED_VALUE"""),3361.0)</f>
        <v>3361</v>
      </c>
      <c r="B204" s="9">
        <f>IFERROR(__xludf.DUMMYFUNCTION("""COMPUTED_VALUE"""),45313.956412037034)</f>
        <v>45313.95641</v>
      </c>
      <c r="C204" s="5" t="str">
        <f>IFERROR(__xludf.DUMMYFUNCTION("""COMPUTED_VALUE"""),"purchase")</f>
        <v>purchase</v>
      </c>
      <c r="D204" s="10">
        <f t="shared" si="1"/>
        <v>45313</v>
      </c>
      <c r="E204" s="10">
        <f t="shared" si="2"/>
        <v>45313</v>
      </c>
      <c r="F204" s="10">
        <f t="shared" si="3"/>
        <v>45292</v>
      </c>
      <c r="G204" s="11"/>
    </row>
    <row r="205">
      <c r="A205" s="5">
        <f>IFERROR(__xludf.DUMMYFUNCTION("""COMPUTED_VALUE"""),3721.0)</f>
        <v>3721</v>
      </c>
      <c r="B205" s="9">
        <f>IFERROR(__xludf.DUMMYFUNCTION("""COMPUTED_VALUE"""),45314.11844907407)</f>
        <v>45314.11845</v>
      </c>
      <c r="C205" s="5" t="str">
        <f>IFERROR(__xludf.DUMMYFUNCTION("""COMPUTED_VALUE"""),"purchase")</f>
        <v>purchase</v>
      </c>
      <c r="D205" s="10">
        <f t="shared" si="1"/>
        <v>45314</v>
      </c>
      <c r="E205" s="10">
        <f t="shared" si="2"/>
        <v>45313</v>
      </c>
      <c r="F205" s="10">
        <f t="shared" si="3"/>
        <v>45292</v>
      </c>
      <c r="G205" s="11"/>
    </row>
    <row r="206">
      <c r="A206" s="5">
        <f>IFERROR(__xludf.DUMMYFUNCTION("""COMPUTED_VALUE"""),3353.0)</f>
        <v>3353</v>
      </c>
      <c r="B206" s="9">
        <f>IFERROR(__xludf.DUMMYFUNCTION("""COMPUTED_VALUE"""),45314.18818287037)</f>
        <v>45314.18818</v>
      </c>
      <c r="C206" s="5" t="str">
        <f>IFERROR(__xludf.DUMMYFUNCTION("""COMPUTED_VALUE"""),"purchase")</f>
        <v>purchase</v>
      </c>
      <c r="D206" s="10">
        <f t="shared" si="1"/>
        <v>45314</v>
      </c>
      <c r="E206" s="10">
        <f t="shared" si="2"/>
        <v>45313</v>
      </c>
      <c r="F206" s="10">
        <f t="shared" si="3"/>
        <v>45292</v>
      </c>
      <c r="G206" s="11"/>
    </row>
    <row r="207">
      <c r="A207" s="5">
        <f>IFERROR(__xludf.DUMMYFUNCTION("""COMPUTED_VALUE"""),519.0)</f>
        <v>519</v>
      </c>
      <c r="B207" s="9">
        <f>IFERROR(__xludf.DUMMYFUNCTION("""COMPUTED_VALUE"""),45314.25686342592)</f>
        <v>45314.25686</v>
      </c>
      <c r="C207" s="5" t="str">
        <f>IFERROR(__xludf.DUMMYFUNCTION("""COMPUTED_VALUE"""),"purchase")</f>
        <v>purchase</v>
      </c>
      <c r="D207" s="10">
        <f t="shared" si="1"/>
        <v>45314</v>
      </c>
      <c r="E207" s="10">
        <f t="shared" si="2"/>
        <v>45313</v>
      </c>
      <c r="F207" s="10">
        <f t="shared" si="3"/>
        <v>45292</v>
      </c>
      <c r="G207" s="11"/>
    </row>
    <row r="208">
      <c r="A208" s="5">
        <f>IFERROR(__xludf.DUMMYFUNCTION("""COMPUTED_VALUE"""),4247.0)</f>
        <v>4247</v>
      </c>
      <c r="B208" s="9">
        <f>IFERROR(__xludf.DUMMYFUNCTION("""COMPUTED_VALUE"""),45314.29167824074)</f>
        <v>45314.29168</v>
      </c>
      <c r="C208" s="5" t="str">
        <f>IFERROR(__xludf.DUMMYFUNCTION("""COMPUTED_VALUE"""),"purchase")</f>
        <v>purchase</v>
      </c>
      <c r="D208" s="10">
        <f t="shared" si="1"/>
        <v>45314</v>
      </c>
      <c r="E208" s="10">
        <f t="shared" si="2"/>
        <v>45313</v>
      </c>
      <c r="F208" s="10">
        <f t="shared" si="3"/>
        <v>45292</v>
      </c>
      <c r="G208" s="11"/>
    </row>
    <row r="209">
      <c r="A209" s="5">
        <f>IFERROR(__xludf.DUMMYFUNCTION("""COMPUTED_VALUE"""),4640.0)</f>
        <v>4640</v>
      </c>
      <c r="B209" s="9">
        <f>IFERROR(__xludf.DUMMYFUNCTION("""COMPUTED_VALUE"""),45314.36053240741)</f>
        <v>45314.36053</v>
      </c>
      <c r="C209" s="5" t="str">
        <f>IFERROR(__xludf.DUMMYFUNCTION("""COMPUTED_VALUE"""),"purchase")</f>
        <v>purchase</v>
      </c>
      <c r="D209" s="10">
        <f t="shared" si="1"/>
        <v>45314</v>
      </c>
      <c r="E209" s="10">
        <f t="shared" si="2"/>
        <v>45313</v>
      </c>
      <c r="F209" s="10">
        <f t="shared" si="3"/>
        <v>45292</v>
      </c>
      <c r="G209" s="11"/>
    </row>
    <row r="210">
      <c r="A210" s="5">
        <f>IFERROR(__xludf.DUMMYFUNCTION("""COMPUTED_VALUE"""),3393.0)</f>
        <v>3393</v>
      </c>
      <c r="B210" s="9">
        <f>IFERROR(__xludf.DUMMYFUNCTION("""COMPUTED_VALUE"""),45314.54760416667)</f>
        <v>45314.5476</v>
      </c>
      <c r="C210" s="5" t="str">
        <f>IFERROR(__xludf.DUMMYFUNCTION("""COMPUTED_VALUE"""),"purchase")</f>
        <v>purchase</v>
      </c>
      <c r="D210" s="10">
        <f t="shared" si="1"/>
        <v>45314</v>
      </c>
      <c r="E210" s="10">
        <f t="shared" si="2"/>
        <v>45313</v>
      </c>
      <c r="F210" s="10">
        <f t="shared" si="3"/>
        <v>45292</v>
      </c>
      <c r="G210" s="11"/>
    </row>
    <row r="211">
      <c r="A211" s="5">
        <f>IFERROR(__xludf.DUMMYFUNCTION("""COMPUTED_VALUE"""),6528.0)</f>
        <v>6528</v>
      </c>
      <c r="B211" s="9">
        <f>IFERROR(__xludf.DUMMYFUNCTION("""COMPUTED_VALUE"""),45314.58513888889)</f>
        <v>45314.58514</v>
      </c>
      <c r="C211" s="5" t="str">
        <f>IFERROR(__xludf.DUMMYFUNCTION("""COMPUTED_VALUE"""),"purchase")</f>
        <v>purchase</v>
      </c>
      <c r="D211" s="10">
        <f t="shared" si="1"/>
        <v>45314</v>
      </c>
      <c r="E211" s="10">
        <f t="shared" si="2"/>
        <v>45313</v>
      </c>
      <c r="F211" s="10">
        <f t="shared" si="3"/>
        <v>45292</v>
      </c>
      <c r="G211" s="11"/>
    </row>
    <row r="212">
      <c r="A212" s="5">
        <f>IFERROR(__xludf.DUMMYFUNCTION("""COMPUTED_VALUE"""),7574.0)</f>
        <v>7574</v>
      </c>
      <c r="B212" s="9">
        <f>IFERROR(__xludf.DUMMYFUNCTION("""COMPUTED_VALUE"""),45314.92349537037)</f>
        <v>45314.9235</v>
      </c>
      <c r="C212" s="5" t="str">
        <f>IFERROR(__xludf.DUMMYFUNCTION("""COMPUTED_VALUE"""),"purchase")</f>
        <v>purchase</v>
      </c>
      <c r="D212" s="10">
        <f t="shared" si="1"/>
        <v>45314</v>
      </c>
      <c r="E212" s="10">
        <f t="shared" si="2"/>
        <v>45313</v>
      </c>
      <c r="F212" s="10">
        <f t="shared" si="3"/>
        <v>45292</v>
      </c>
      <c r="G212" s="11"/>
    </row>
    <row r="213">
      <c r="A213" s="5">
        <f>IFERROR(__xludf.DUMMYFUNCTION("""COMPUTED_VALUE"""),756.0)</f>
        <v>756</v>
      </c>
      <c r="B213" s="9">
        <f>IFERROR(__xludf.DUMMYFUNCTION("""COMPUTED_VALUE"""),45315.25931712963)</f>
        <v>45315.25932</v>
      </c>
      <c r="C213" s="5" t="str">
        <f>IFERROR(__xludf.DUMMYFUNCTION("""COMPUTED_VALUE"""),"purchase")</f>
        <v>purchase</v>
      </c>
      <c r="D213" s="10">
        <f t="shared" si="1"/>
        <v>45315</v>
      </c>
      <c r="E213" s="10">
        <f t="shared" si="2"/>
        <v>45313</v>
      </c>
      <c r="F213" s="10">
        <f t="shared" si="3"/>
        <v>45292</v>
      </c>
      <c r="G213" s="11"/>
    </row>
    <row r="214">
      <c r="A214" s="5">
        <f>IFERROR(__xludf.DUMMYFUNCTION("""COMPUTED_VALUE"""),5935.0)</f>
        <v>5935</v>
      </c>
      <c r="B214" s="9">
        <f>IFERROR(__xludf.DUMMYFUNCTION("""COMPUTED_VALUE"""),45315.34737268519)</f>
        <v>45315.34737</v>
      </c>
      <c r="C214" s="5" t="str">
        <f>IFERROR(__xludf.DUMMYFUNCTION("""COMPUTED_VALUE"""),"purchase")</f>
        <v>purchase</v>
      </c>
      <c r="D214" s="10">
        <f t="shared" si="1"/>
        <v>45315</v>
      </c>
      <c r="E214" s="10">
        <f t="shared" si="2"/>
        <v>45313</v>
      </c>
      <c r="F214" s="10">
        <f t="shared" si="3"/>
        <v>45292</v>
      </c>
      <c r="G214" s="11"/>
    </row>
    <row r="215">
      <c r="A215" s="5">
        <f>IFERROR(__xludf.DUMMYFUNCTION("""COMPUTED_VALUE"""),4464.0)</f>
        <v>4464</v>
      </c>
      <c r="B215" s="9">
        <f>IFERROR(__xludf.DUMMYFUNCTION("""COMPUTED_VALUE"""),45315.44938657407)</f>
        <v>45315.44939</v>
      </c>
      <c r="C215" s="5" t="str">
        <f>IFERROR(__xludf.DUMMYFUNCTION("""COMPUTED_VALUE"""),"purchase")</f>
        <v>purchase</v>
      </c>
      <c r="D215" s="10">
        <f t="shared" si="1"/>
        <v>45315</v>
      </c>
      <c r="E215" s="10">
        <f t="shared" si="2"/>
        <v>45313</v>
      </c>
      <c r="F215" s="10">
        <f t="shared" si="3"/>
        <v>45292</v>
      </c>
      <c r="G215" s="11"/>
    </row>
    <row r="216">
      <c r="A216" s="5">
        <f>IFERROR(__xludf.DUMMYFUNCTION("""COMPUTED_VALUE"""),1288.0)</f>
        <v>1288</v>
      </c>
      <c r="B216" s="9">
        <f>IFERROR(__xludf.DUMMYFUNCTION("""COMPUTED_VALUE"""),45315.556666666664)</f>
        <v>45315.55667</v>
      </c>
      <c r="C216" s="5" t="str">
        <f>IFERROR(__xludf.DUMMYFUNCTION("""COMPUTED_VALUE"""),"purchase")</f>
        <v>purchase</v>
      </c>
      <c r="D216" s="10">
        <f t="shared" si="1"/>
        <v>45315</v>
      </c>
      <c r="E216" s="10">
        <f t="shared" si="2"/>
        <v>45313</v>
      </c>
      <c r="F216" s="10">
        <f t="shared" si="3"/>
        <v>45292</v>
      </c>
      <c r="G216" s="11"/>
    </row>
    <row r="217">
      <c r="A217" s="5">
        <f>IFERROR(__xludf.DUMMYFUNCTION("""COMPUTED_VALUE"""),7098.0)</f>
        <v>7098</v>
      </c>
      <c r="B217" s="9">
        <f>IFERROR(__xludf.DUMMYFUNCTION("""COMPUTED_VALUE"""),45315.653391203705)</f>
        <v>45315.65339</v>
      </c>
      <c r="C217" s="5" t="str">
        <f>IFERROR(__xludf.DUMMYFUNCTION("""COMPUTED_VALUE"""),"purchase")</f>
        <v>purchase</v>
      </c>
      <c r="D217" s="10">
        <f t="shared" si="1"/>
        <v>45315</v>
      </c>
      <c r="E217" s="10">
        <f t="shared" si="2"/>
        <v>45313</v>
      </c>
      <c r="F217" s="10">
        <f t="shared" si="3"/>
        <v>45292</v>
      </c>
      <c r="G217" s="11"/>
    </row>
    <row r="218">
      <c r="A218" s="5">
        <f>IFERROR(__xludf.DUMMYFUNCTION("""COMPUTED_VALUE"""),7881.0)</f>
        <v>7881</v>
      </c>
      <c r="B218" s="9">
        <f>IFERROR(__xludf.DUMMYFUNCTION("""COMPUTED_VALUE"""),45315.73059027778)</f>
        <v>45315.73059</v>
      </c>
      <c r="C218" s="5" t="str">
        <f>IFERROR(__xludf.DUMMYFUNCTION("""COMPUTED_VALUE"""),"purchase")</f>
        <v>purchase</v>
      </c>
      <c r="D218" s="10">
        <f t="shared" si="1"/>
        <v>45315</v>
      </c>
      <c r="E218" s="10">
        <f t="shared" si="2"/>
        <v>45313</v>
      </c>
      <c r="F218" s="10">
        <f t="shared" si="3"/>
        <v>45292</v>
      </c>
      <c r="G218" s="11"/>
    </row>
    <row r="219">
      <c r="A219" s="5">
        <f>IFERROR(__xludf.DUMMYFUNCTION("""COMPUTED_VALUE"""),316.0)</f>
        <v>316</v>
      </c>
      <c r="B219" s="9">
        <f>IFERROR(__xludf.DUMMYFUNCTION("""COMPUTED_VALUE"""),45315.75398148148)</f>
        <v>45315.75398</v>
      </c>
      <c r="C219" s="5" t="str">
        <f>IFERROR(__xludf.DUMMYFUNCTION("""COMPUTED_VALUE"""),"purchase")</f>
        <v>purchase</v>
      </c>
      <c r="D219" s="10">
        <f t="shared" si="1"/>
        <v>45315</v>
      </c>
      <c r="E219" s="10">
        <f t="shared" si="2"/>
        <v>45313</v>
      </c>
      <c r="F219" s="10">
        <f t="shared" si="3"/>
        <v>45292</v>
      </c>
      <c r="G219" s="11"/>
    </row>
    <row r="220">
      <c r="A220" s="5">
        <f>IFERROR(__xludf.DUMMYFUNCTION("""COMPUTED_VALUE"""),6189.0)</f>
        <v>6189</v>
      </c>
      <c r="B220" s="9">
        <f>IFERROR(__xludf.DUMMYFUNCTION("""COMPUTED_VALUE"""),45315.760925925926)</f>
        <v>45315.76093</v>
      </c>
      <c r="C220" s="5" t="str">
        <f>IFERROR(__xludf.DUMMYFUNCTION("""COMPUTED_VALUE"""),"purchase")</f>
        <v>purchase</v>
      </c>
      <c r="D220" s="10">
        <f t="shared" si="1"/>
        <v>45315</v>
      </c>
      <c r="E220" s="10">
        <f t="shared" si="2"/>
        <v>45313</v>
      </c>
      <c r="F220" s="10">
        <f t="shared" si="3"/>
        <v>45292</v>
      </c>
      <c r="G220" s="11"/>
    </row>
    <row r="221">
      <c r="A221" s="5">
        <f>IFERROR(__xludf.DUMMYFUNCTION("""COMPUTED_VALUE"""),5323.0)</f>
        <v>5323</v>
      </c>
      <c r="B221" s="9">
        <f>IFERROR(__xludf.DUMMYFUNCTION("""COMPUTED_VALUE"""),45315.82519675926)</f>
        <v>45315.8252</v>
      </c>
      <c r="C221" s="5" t="str">
        <f>IFERROR(__xludf.DUMMYFUNCTION("""COMPUTED_VALUE"""),"purchase")</f>
        <v>purchase</v>
      </c>
      <c r="D221" s="10">
        <f t="shared" si="1"/>
        <v>45315</v>
      </c>
      <c r="E221" s="10">
        <f t="shared" si="2"/>
        <v>45313</v>
      </c>
      <c r="F221" s="10">
        <f t="shared" si="3"/>
        <v>45292</v>
      </c>
      <c r="G221" s="11"/>
    </row>
    <row r="222">
      <c r="A222" s="5">
        <f>IFERROR(__xludf.DUMMYFUNCTION("""COMPUTED_VALUE"""),3442.0)</f>
        <v>3442</v>
      </c>
      <c r="B222" s="9">
        <f>IFERROR(__xludf.DUMMYFUNCTION("""COMPUTED_VALUE"""),45315.84001157407)</f>
        <v>45315.84001</v>
      </c>
      <c r="C222" s="5" t="str">
        <f>IFERROR(__xludf.DUMMYFUNCTION("""COMPUTED_VALUE"""),"purchase")</f>
        <v>purchase</v>
      </c>
      <c r="D222" s="10">
        <f t="shared" si="1"/>
        <v>45315</v>
      </c>
      <c r="E222" s="10">
        <f t="shared" si="2"/>
        <v>45313</v>
      </c>
      <c r="F222" s="10">
        <f t="shared" si="3"/>
        <v>45292</v>
      </c>
      <c r="G222" s="11"/>
    </row>
    <row r="223">
      <c r="A223" s="5">
        <f>IFERROR(__xludf.DUMMYFUNCTION("""COMPUTED_VALUE"""),2472.0)</f>
        <v>2472</v>
      </c>
      <c r="B223" s="9">
        <f>IFERROR(__xludf.DUMMYFUNCTION("""COMPUTED_VALUE"""),45315.91994212963)</f>
        <v>45315.91994</v>
      </c>
      <c r="C223" s="5" t="str">
        <f>IFERROR(__xludf.DUMMYFUNCTION("""COMPUTED_VALUE"""),"purchase")</f>
        <v>purchase</v>
      </c>
      <c r="D223" s="10">
        <f t="shared" si="1"/>
        <v>45315</v>
      </c>
      <c r="E223" s="10">
        <f t="shared" si="2"/>
        <v>45313</v>
      </c>
      <c r="F223" s="10">
        <f t="shared" si="3"/>
        <v>45292</v>
      </c>
      <c r="G223" s="11"/>
    </row>
    <row r="224">
      <c r="A224" s="5">
        <f>IFERROR(__xludf.DUMMYFUNCTION("""COMPUTED_VALUE"""),1282.0)</f>
        <v>1282</v>
      </c>
      <c r="B224" s="9">
        <f>IFERROR(__xludf.DUMMYFUNCTION("""COMPUTED_VALUE"""),45315.992256944446)</f>
        <v>45315.99226</v>
      </c>
      <c r="C224" s="5" t="str">
        <f>IFERROR(__xludf.DUMMYFUNCTION("""COMPUTED_VALUE"""),"purchase")</f>
        <v>purchase</v>
      </c>
      <c r="D224" s="10">
        <f t="shared" si="1"/>
        <v>45315</v>
      </c>
      <c r="E224" s="10">
        <f t="shared" si="2"/>
        <v>45313</v>
      </c>
      <c r="F224" s="10">
        <f t="shared" si="3"/>
        <v>45292</v>
      </c>
      <c r="G224" s="11"/>
    </row>
    <row r="225">
      <c r="A225" s="5">
        <f>IFERROR(__xludf.DUMMYFUNCTION("""COMPUTED_VALUE"""),2677.0)</f>
        <v>2677</v>
      </c>
      <c r="B225" s="9">
        <f>IFERROR(__xludf.DUMMYFUNCTION("""COMPUTED_VALUE"""),45316.01115740741)</f>
        <v>45316.01116</v>
      </c>
      <c r="C225" s="5" t="str">
        <f>IFERROR(__xludf.DUMMYFUNCTION("""COMPUTED_VALUE"""),"purchase")</f>
        <v>purchase</v>
      </c>
      <c r="D225" s="10">
        <f t="shared" si="1"/>
        <v>45316</v>
      </c>
      <c r="E225" s="10">
        <f t="shared" si="2"/>
        <v>45313</v>
      </c>
      <c r="F225" s="10">
        <f t="shared" si="3"/>
        <v>45292</v>
      </c>
      <c r="G225" s="11"/>
    </row>
    <row r="226">
      <c r="A226" s="5">
        <f>IFERROR(__xludf.DUMMYFUNCTION("""COMPUTED_VALUE"""),5196.0)</f>
        <v>5196</v>
      </c>
      <c r="B226" s="9">
        <f>IFERROR(__xludf.DUMMYFUNCTION("""COMPUTED_VALUE"""),45316.02255787037)</f>
        <v>45316.02256</v>
      </c>
      <c r="C226" s="5" t="str">
        <f>IFERROR(__xludf.DUMMYFUNCTION("""COMPUTED_VALUE"""),"purchase")</f>
        <v>purchase</v>
      </c>
      <c r="D226" s="10">
        <f t="shared" si="1"/>
        <v>45316</v>
      </c>
      <c r="E226" s="10">
        <f t="shared" si="2"/>
        <v>45313</v>
      </c>
      <c r="F226" s="10">
        <f t="shared" si="3"/>
        <v>45292</v>
      </c>
      <c r="G226" s="11"/>
    </row>
    <row r="227">
      <c r="A227" s="5">
        <f>IFERROR(__xludf.DUMMYFUNCTION("""COMPUTED_VALUE"""),4158.0)</f>
        <v>4158</v>
      </c>
      <c r="B227" s="9">
        <f>IFERROR(__xludf.DUMMYFUNCTION("""COMPUTED_VALUE"""),45316.07443287037)</f>
        <v>45316.07443</v>
      </c>
      <c r="C227" s="5" t="str">
        <f>IFERROR(__xludf.DUMMYFUNCTION("""COMPUTED_VALUE"""),"purchase")</f>
        <v>purchase</v>
      </c>
      <c r="D227" s="10">
        <f t="shared" si="1"/>
        <v>45316</v>
      </c>
      <c r="E227" s="10">
        <f t="shared" si="2"/>
        <v>45313</v>
      </c>
      <c r="F227" s="10">
        <f t="shared" si="3"/>
        <v>45292</v>
      </c>
      <c r="G227" s="11"/>
    </row>
    <row r="228">
      <c r="A228" s="5">
        <f>IFERROR(__xludf.DUMMYFUNCTION("""COMPUTED_VALUE"""),2663.0)</f>
        <v>2663</v>
      </c>
      <c r="B228" s="9">
        <f>IFERROR(__xludf.DUMMYFUNCTION("""COMPUTED_VALUE"""),45316.10901620371)</f>
        <v>45316.10902</v>
      </c>
      <c r="C228" s="5" t="str">
        <f>IFERROR(__xludf.DUMMYFUNCTION("""COMPUTED_VALUE"""),"purchase")</f>
        <v>purchase</v>
      </c>
      <c r="D228" s="10">
        <f t="shared" si="1"/>
        <v>45316</v>
      </c>
      <c r="E228" s="10">
        <f t="shared" si="2"/>
        <v>45313</v>
      </c>
      <c r="F228" s="10">
        <f t="shared" si="3"/>
        <v>45292</v>
      </c>
      <c r="G228" s="11"/>
    </row>
    <row r="229">
      <c r="A229" s="5">
        <f>IFERROR(__xludf.DUMMYFUNCTION("""COMPUTED_VALUE"""),4141.0)</f>
        <v>4141</v>
      </c>
      <c r="B229" s="9">
        <f>IFERROR(__xludf.DUMMYFUNCTION("""COMPUTED_VALUE"""),45316.217824074076)</f>
        <v>45316.21782</v>
      </c>
      <c r="C229" s="5" t="str">
        <f>IFERROR(__xludf.DUMMYFUNCTION("""COMPUTED_VALUE"""),"purchase")</f>
        <v>purchase</v>
      </c>
      <c r="D229" s="10">
        <f t="shared" si="1"/>
        <v>45316</v>
      </c>
      <c r="E229" s="10">
        <f t="shared" si="2"/>
        <v>45313</v>
      </c>
      <c r="F229" s="10">
        <f t="shared" si="3"/>
        <v>45292</v>
      </c>
      <c r="G229" s="11"/>
    </row>
    <row r="230">
      <c r="A230" s="5">
        <f>IFERROR(__xludf.DUMMYFUNCTION("""COMPUTED_VALUE"""),7250.0)</f>
        <v>7250</v>
      </c>
      <c r="B230" s="9">
        <f>IFERROR(__xludf.DUMMYFUNCTION("""COMPUTED_VALUE"""),45316.31851851852)</f>
        <v>45316.31852</v>
      </c>
      <c r="C230" s="5" t="str">
        <f>IFERROR(__xludf.DUMMYFUNCTION("""COMPUTED_VALUE"""),"purchase")</f>
        <v>purchase</v>
      </c>
      <c r="D230" s="10">
        <f t="shared" si="1"/>
        <v>45316</v>
      </c>
      <c r="E230" s="10">
        <f t="shared" si="2"/>
        <v>45313</v>
      </c>
      <c r="F230" s="10">
        <f t="shared" si="3"/>
        <v>45292</v>
      </c>
      <c r="G230" s="11"/>
    </row>
    <row r="231">
      <c r="A231" s="5">
        <f>IFERROR(__xludf.DUMMYFUNCTION("""COMPUTED_VALUE"""),1043.0)</f>
        <v>1043</v>
      </c>
      <c r="B231" s="9">
        <f>IFERROR(__xludf.DUMMYFUNCTION("""COMPUTED_VALUE"""),45316.325949074075)</f>
        <v>45316.32595</v>
      </c>
      <c r="C231" s="5" t="str">
        <f>IFERROR(__xludf.DUMMYFUNCTION("""COMPUTED_VALUE"""),"purchase")</f>
        <v>purchase</v>
      </c>
      <c r="D231" s="10">
        <f t="shared" si="1"/>
        <v>45316</v>
      </c>
      <c r="E231" s="10">
        <f t="shared" si="2"/>
        <v>45313</v>
      </c>
      <c r="F231" s="10">
        <f t="shared" si="3"/>
        <v>45292</v>
      </c>
      <c r="G231" s="11"/>
    </row>
    <row r="232">
      <c r="A232" s="5">
        <f>IFERROR(__xludf.DUMMYFUNCTION("""COMPUTED_VALUE"""),4728.0)</f>
        <v>4728</v>
      </c>
      <c r="B232" s="9">
        <f>IFERROR(__xludf.DUMMYFUNCTION("""COMPUTED_VALUE"""),45316.53240740741)</f>
        <v>45316.53241</v>
      </c>
      <c r="C232" s="5" t="str">
        <f>IFERROR(__xludf.DUMMYFUNCTION("""COMPUTED_VALUE"""),"purchase")</f>
        <v>purchase</v>
      </c>
      <c r="D232" s="10">
        <f t="shared" si="1"/>
        <v>45316</v>
      </c>
      <c r="E232" s="10">
        <f t="shared" si="2"/>
        <v>45313</v>
      </c>
      <c r="F232" s="10">
        <f t="shared" si="3"/>
        <v>45292</v>
      </c>
      <c r="G232" s="11"/>
    </row>
    <row r="233">
      <c r="A233" s="5">
        <f>IFERROR(__xludf.DUMMYFUNCTION("""COMPUTED_VALUE"""),4680.0)</f>
        <v>4680</v>
      </c>
      <c r="B233" s="9">
        <f>IFERROR(__xludf.DUMMYFUNCTION("""COMPUTED_VALUE"""),45316.70170138889)</f>
        <v>45316.7017</v>
      </c>
      <c r="C233" s="5" t="str">
        <f>IFERROR(__xludf.DUMMYFUNCTION("""COMPUTED_VALUE"""),"purchase")</f>
        <v>purchase</v>
      </c>
      <c r="D233" s="10">
        <f t="shared" si="1"/>
        <v>45316</v>
      </c>
      <c r="E233" s="10">
        <f t="shared" si="2"/>
        <v>45313</v>
      </c>
      <c r="F233" s="10">
        <f t="shared" si="3"/>
        <v>45292</v>
      </c>
      <c r="G233" s="11"/>
    </row>
    <row r="234">
      <c r="A234" s="5">
        <f>IFERROR(__xludf.DUMMYFUNCTION("""COMPUTED_VALUE"""),695.0)</f>
        <v>695</v>
      </c>
      <c r="B234" s="9">
        <f>IFERROR(__xludf.DUMMYFUNCTION("""COMPUTED_VALUE"""),45316.812523148146)</f>
        <v>45316.81252</v>
      </c>
      <c r="C234" s="5" t="str">
        <f>IFERROR(__xludf.DUMMYFUNCTION("""COMPUTED_VALUE"""),"purchase")</f>
        <v>purchase</v>
      </c>
      <c r="D234" s="10">
        <f t="shared" si="1"/>
        <v>45316</v>
      </c>
      <c r="E234" s="10">
        <f t="shared" si="2"/>
        <v>45313</v>
      </c>
      <c r="F234" s="10">
        <f t="shared" si="3"/>
        <v>45292</v>
      </c>
      <c r="G234" s="11"/>
    </row>
    <row r="235">
      <c r="A235" s="5">
        <f>IFERROR(__xludf.DUMMYFUNCTION("""COMPUTED_VALUE"""),4571.0)</f>
        <v>4571</v>
      </c>
      <c r="B235" s="9">
        <f>IFERROR(__xludf.DUMMYFUNCTION("""COMPUTED_VALUE"""),45316.83431712963)</f>
        <v>45316.83432</v>
      </c>
      <c r="C235" s="5" t="str">
        <f>IFERROR(__xludf.DUMMYFUNCTION("""COMPUTED_VALUE"""),"purchase")</f>
        <v>purchase</v>
      </c>
      <c r="D235" s="10">
        <f t="shared" si="1"/>
        <v>45316</v>
      </c>
      <c r="E235" s="10">
        <f t="shared" si="2"/>
        <v>45313</v>
      </c>
      <c r="F235" s="10">
        <f t="shared" si="3"/>
        <v>45292</v>
      </c>
      <c r="G235" s="11"/>
    </row>
    <row r="236">
      <c r="A236" s="5">
        <f>IFERROR(__xludf.DUMMYFUNCTION("""COMPUTED_VALUE"""),2989.0)</f>
        <v>2989</v>
      </c>
      <c r="B236" s="9">
        <f>IFERROR(__xludf.DUMMYFUNCTION("""COMPUTED_VALUE"""),45316.888020833336)</f>
        <v>45316.88802</v>
      </c>
      <c r="C236" s="5" t="str">
        <f>IFERROR(__xludf.DUMMYFUNCTION("""COMPUTED_VALUE"""),"purchase")</f>
        <v>purchase</v>
      </c>
      <c r="D236" s="10">
        <f t="shared" si="1"/>
        <v>45316</v>
      </c>
      <c r="E236" s="10">
        <f t="shared" si="2"/>
        <v>45313</v>
      </c>
      <c r="F236" s="10">
        <f t="shared" si="3"/>
        <v>45292</v>
      </c>
      <c r="G236" s="11"/>
    </row>
    <row r="237">
      <c r="A237" s="5">
        <f>IFERROR(__xludf.DUMMYFUNCTION("""COMPUTED_VALUE"""),5770.0)</f>
        <v>5770</v>
      </c>
      <c r="B237" s="9">
        <f>IFERROR(__xludf.DUMMYFUNCTION("""COMPUTED_VALUE"""),45317.01332175926)</f>
        <v>45317.01332</v>
      </c>
      <c r="C237" s="5" t="str">
        <f>IFERROR(__xludf.DUMMYFUNCTION("""COMPUTED_VALUE"""),"purchase")</f>
        <v>purchase</v>
      </c>
      <c r="D237" s="10">
        <f t="shared" si="1"/>
        <v>45317</v>
      </c>
      <c r="E237" s="10">
        <f t="shared" si="2"/>
        <v>45313</v>
      </c>
      <c r="F237" s="10">
        <f t="shared" si="3"/>
        <v>45292</v>
      </c>
      <c r="G237" s="11"/>
    </row>
    <row r="238">
      <c r="A238" s="5">
        <f>IFERROR(__xludf.DUMMYFUNCTION("""COMPUTED_VALUE"""),7473.0)</f>
        <v>7473</v>
      </c>
      <c r="B238" s="9">
        <f>IFERROR(__xludf.DUMMYFUNCTION("""COMPUTED_VALUE"""),45317.12111111111)</f>
        <v>45317.12111</v>
      </c>
      <c r="C238" s="5" t="str">
        <f>IFERROR(__xludf.DUMMYFUNCTION("""COMPUTED_VALUE"""),"purchase")</f>
        <v>purchase</v>
      </c>
      <c r="D238" s="10">
        <f t="shared" si="1"/>
        <v>45317</v>
      </c>
      <c r="E238" s="10">
        <f t="shared" si="2"/>
        <v>45313</v>
      </c>
      <c r="F238" s="10">
        <f t="shared" si="3"/>
        <v>45292</v>
      </c>
      <c r="G238" s="11"/>
    </row>
    <row r="239">
      <c r="A239" s="5">
        <f>IFERROR(__xludf.DUMMYFUNCTION("""COMPUTED_VALUE"""),753.0)</f>
        <v>753</v>
      </c>
      <c r="B239" s="9">
        <f>IFERROR(__xludf.DUMMYFUNCTION("""COMPUTED_VALUE"""),45317.18645833333)</f>
        <v>45317.18646</v>
      </c>
      <c r="C239" s="5" t="str">
        <f>IFERROR(__xludf.DUMMYFUNCTION("""COMPUTED_VALUE"""),"purchase")</f>
        <v>purchase</v>
      </c>
      <c r="D239" s="10">
        <f t="shared" si="1"/>
        <v>45317</v>
      </c>
      <c r="E239" s="10">
        <f t="shared" si="2"/>
        <v>45313</v>
      </c>
      <c r="F239" s="10">
        <f t="shared" si="3"/>
        <v>45292</v>
      </c>
      <c r="G239" s="11"/>
    </row>
    <row r="240">
      <c r="A240" s="5">
        <f>IFERROR(__xludf.DUMMYFUNCTION("""COMPUTED_VALUE"""),4447.0)</f>
        <v>4447</v>
      </c>
      <c r="B240" s="9">
        <f>IFERROR(__xludf.DUMMYFUNCTION("""COMPUTED_VALUE"""),45317.253125)</f>
        <v>45317.25313</v>
      </c>
      <c r="C240" s="5" t="str">
        <f>IFERROR(__xludf.DUMMYFUNCTION("""COMPUTED_VALUE"""),"purchase")</f>
        <v>purchase</v>
      </c>
      <c r="D240" s="10">
        <f t="shared" si="1"/>
        <v>45317</v>
      </c>
      <c r="E240" s="10">
        <f t="shared" si="2"/>
        <v>45313</v>
      </c>
      <c r="F240" s="10">
        <f t="shared" si="3"/>
        <v>45292</v>
      </c>
      <c r="G240" s="11"/>
    </row>
    <row r="241">
      <c r="A241" s="5">
        <f>IFERROR(__xludf.DUMMYFUNCTION("""COMPUTED_VALUE"""),1784.0)</f>
        <v>1784</v>
      </c>
      <c r="B241" s="9">
        <f>IFERROR(__xludf.DUMMYFUNCTION("""COMPUTED_VALUE"""),45317.269212962965)</f>
        <v>45317.26921</v>
      </c>
      <c r="C241" s="5" t="str">
        <f>IFERROR(__xludf.DUMMYFUNCTION("""COMPUTED_VALUE"""),"purchase")</f>
        <v>purchase</v>
      </c>
      <c r="D241" s="10">
        <f t="shared" si="1"/>
        <v>45317</v>
      </c>
      <c r="E241" s="10">
        <f t="shared" si="2"/>
        <v>45313</v>
      </c>
      <c r="F241" s="10">
        <f t="shared" si="3"/>
        <v>45292</v>
      </c>
      <c r="G241" s="11"/>
    </row>
    <row r="242">
      <c r="A242" s="5">
        <f>IFERROR(__xludf.DUMMYFUNCTION("""COMPUTED_VALUE"""),2914.0)</f>
        <v>2914</v>
      </c>
      <c r="B242" s="9">
        <f>IFERROR(__xludf.DUMMYFUNCTION("""COMPUTED_VALUE"""),45317.3365625)</f>
        <v>45317.33656</v>
      </c>
      <c r="C242" s="5" t="str">
        <f>IFERROR(__xludf.DUMMYFUNCTION("""COMPUTED_VALUE"""),"purchase")</f>
        <v>purchase</v>
      </c>
      <c r="D242" s="10">
        <f t="shared" si="1"/>
        <v>45317</v>
      </c>
      <c r="E242" s="10">
        <f t="shared" si="2"/>
        <v>45313</v>
      </c>
      <c r="F242" s="10">
        <f t="shared" si="3"/>
        <v>45292</v>
      </c>
      <c r="G242" s="11"/>
    </row>
    <row r="243">
      <c r="A243" s="5">
        <f>IFERROR(__xludf.DUMMYFUNCTION("""COMPUTED_VALUE"""),1420.0)</f>
        <v>1420</v>
      </c>
      <c r="B243" s="9">
        <f>IFERROR(__xludf.DUMMYFUNCTION("""COMPUTED_VALUE"""),45317.394791666666)</f>
        <v>45317.39479</v>
      </c>
      <c r="C243" s="5" t="str">
        <f>IFERROR(__xludf.DUMMYFUNCTION("""COMPUTED_VALUE"""),"purchase")</f>
        <v>purchase</v>
      </c>
      <c r="D243" s="10">
        <f t="shared" si="1"/>
        <v>45317</v>
      </c>
      <c r="E243" s="10">
        <f t="shared" si="2"/>
        <v>45313</v>
      </c>
      <c r="F243" s="10">
        <f t="shared" si="3"/>
        <v>45292</v>
      </c>
      <c r="G243" s="11"/>
    </row>
    <row r="244">
      <c r="A244" s="5">
        <f>IFERROR(__xludf.DUMMYFUNCTION("""COMPUTED_VALUE"""),1427.0)</f>
        <v>1427</v>
      </c>
      <c r="B244" s="9">
        <f>IFERROR(__xludf.DUMMYFUNCTION("""COMPUTED_VALUE"""),45317.41123842593)</f>
        <v>45317.41124</v>
      </c>
      <c r="C244" s="5" t="str">
        <f>IFERROR(__xludf.DUMMYFUNCTION("""COMPUTED_VALUE"""),"purchase")</f>
        <v>purchase</v>
      </c>
      <c r="D244" s="10">
        <f t="shared" si="1"/>
        <v>45317</v>
      </c>
      <c r="E244" s="10">
        <f t="shared" si="2"/>
        <v>45313</v>
      </c>
      <c r="F244" s="10">
        <f t="shared" si="3"/>
        <v>45292</v>
      </c>
      <c r="G244" s="11"/>
    </row>
    <row r="245">
      <c r="A245" s="5">
        <f>IFERROR(__xludf.DUMMYFUNCTION("""COMPUTED_VALUE"""),1303.0)</f>
        <v>1303</v>
      </c>
      <c r="B245" s="9">
        <f>IFERROR(__xludf.DUMMYFUNCTION("""COMPUTED_VALUE"""),45317.54802083333)</f>
        <v>45317.54802</v>
      </c>
      <c r="C245" s="5" t="str">
        <f>IFERROR(__xludf.DUMMYFUNCTION("""COMPUTED_VALUE"""),"purchase")</f>
        <v>purchase</v>
      </c>
      <c r="D245" s="10">
        <f t="shared" si="1"/>
        <v>45317</v>
      </c>
      <c r="E245" s="10">
        <f t="shared" si="2"/>
        <v>45313</v>
      </c>
      <c r="F245" s="10">
        <f t="shared" si="3"/>
        <v>45292</v>
      </c>
      <c r="G245" s="11"/>
    </row>
    <row r="246">
      <c r="A246" s="5">
        <f>IFERROR(__xludf.DUMMYFUNCTION("""COMPUTED_VALUE"""),5924.0)</f>
        <v>5924</v>
      </c>
      <c r="B246" s="9">
        <f>IFERROR(__xludf.DUMMYFUNCTION("""COMPUTED_VALUE"""),45317.656180555554)</f>
        <v>45317.65618</v>
      </c>
      <c r="C246" s="5" t="str">
        <f>IFERROR(__xludf.DUMMYFUNCTION("""COMPUTED_VALUE"""),"purchase")</f>
        <v>purchase</v>
      </c>
      <c r="D246" s="10">
        <f t="shared" si="1"/>
        <v>45317</v>
      </c>
      <c r="E246" s="10">
        <f t="shared" si="2"/>
        <v>45313</v>
      </c>
      <c r="F246" s="10">
        <f t="shared" si="3"/>
        <v>45292</v>
      </c>
      <c r="G246" s="11"/>
    </row>
    <row r="247">
      <c r="A247" s="5">
        <f>IFERROR(__xludf.DUMMYFUNCTION("""COMPUTED_VALUE"""),6216.0)</f>
        <v>6216</v>
      </c>
      <c r="B247" s="9">
        <f>IFERROR(__xludf.DUMMYFUNCTION("""COMPUTED_VALUE"""),45317.813726851855)</f>
        <v>45317.81373</v>
      </c>
      <c r="C247" s="5" t="str">
        <f>IFERROR(__xludf.DUMMYFUNCTION("""COMPUTED_VALUE"""),"purchase")</f>
        <v>purchase</v>
      </c>
      <c r="D247" s="10">
        <f t="shared" si="1"/>
        <v>45317</v>
      </c>
      <c r="E247" s="10">
        <f t="shared" si="2"/>
        <v>45313</v>
      </c>
      <c r="F247" s="10">
        <f t="shared" si="3"/>
        <v>45292</v>
      </c>
      <c r="G247" s="11"/>
    </row>
    <row r="248">
      <c r="A248" s="5">
        <f>IFERROR(__xludf.DUMMYFUNCTION("""COMPUTED_VALUE"""),5051.0)</f>
        <v>5051</v>
      </c>
      <c r="B248" s="9">
        <f>IFERROR(__xludf.DUMMYFUNCTION("""COMPUTED_VALUE"""),45317.92743055556)</f>
        <v>45317.92743</v>
      </c>
      <c r="C248" s="5" t="str">
        <f>IFERROR(__xludf.DUMMYFUNCTION("""COMPUTED_VALUE"""),"purchase")</f>
        <v>purchase</v>
      </c>
      <c r="D248" s="10">
        <f t="shared" si="1"/>
        <v>45317</v>
      </c>
      <c r="E248" s="10">
        <f t="shared" si="2"/>
        <v>45313</v>
      </c>
      <c r="F248" s="10">
        <f t="shared" si="3"/>
        <v>45292</v>
      </c>
      <c r="G248" s="11"/>
    </row>
    <row r="249">
      <c r="A249" s="5">
        <f>IFERROR(__xludf.DUMMYFUNCTION("""COMPUTED_VALUE"""),7993.0)</f>
        <v>7993</v>
      </c>
      <c r="B249" s="9">
        <f>IFERROR(__xludf.DUMMYFUNCTION("""COMPUTED_VALUE"""),45317.93363425926)</f>
        <v>45317.93363</v>
      </c>
      <c r="C249" s="5" t="str">
        <f>IFERROR(__xludf.DUMMYFUNCTION("""COMPUTED_VALUE"""),"purchase")</f>
        <v>purchase</v>
      </c>
      <c r="D249" s="10">
        <f t="shared" si="1"/>
        <v>45317</v>
      </c>
      <c r="E249" s="10">
        <f t="shared" si="2"/>
        <v>45313</v>
      </c>
      <c r="F249" s="10">
        <f t="shared" si="3"/>
        <v>45292</v>
      </c>
      <c r="G249" s="11"/>
    </row>
    <row r="250">
      <c r="A250" s="5">
        <f>IFERROR(__xludf.DUMMYFUNCTION("""COMPUTED_VALUE"""),1980.0)</f>
        <v>1980</v>
      </c>
      <c r="B250" s="9">
        <f>IFERROR(__xludf.DUMMYFUNCTION("""COMPUTED_VALUE"""),45317.97615740741)</f>
        <v>45317.97616</v>
      </c>
      <c r="C250" s="5" t="str">
        <f>IFERROR(__xludf.DUMMYFUNCTION("""COMPUTED_VALUE"""),"purchase")</f>
        <v>purchase</v>
      </c>
      <c r="D250" s="10">
        <f t="shared" si="1"/>
        <v>45317</v>
      </c>
      <c r="E250" s="10">
        <f t="shared" si="2"/>
        <v>45313</v>
      </c>
      <c r="F250" s="10">
        <f t="shared" si="3"/>
        <v>45292</v>
      </c>
      <c r="G250" s="11"/>
    </row>
    <row r="251">
      <c r="A251" s="5">
        <f>IFERROR(__xludf.DUMMYFUNCTION("""COMPUTED_VALUE"""),1375.0)</f>
        <v>1375</v>
      </c>
      <c r="B251" s="9">
        <f>IFERROR(__xludf.DUMMYFUNCTION("""COMPUTED_VALUE"""),45318.04004629629)</f>
        <v>45318.04005</v>
      </c>
      <c r="C251" s="5" t="str">
        <f>IFERROR(__xludf.DUMMYFUNCTION("""COMPUTED_VALUE"""),"purchase")</f>
        <v>purchase</v>
      </c>
      <c r="D251" s="10">
        <f t="shared" si="1"/>
        <v>45318</v>
      </c>
      <c r="E251" s="10">
        <f t="shared" si="2"/>
        <v>45313</v>
      </c>
      <c r="F251" s="10">
        <f t="shared" si="3"/>
        <v>45292</v>
      </c>
      <c r="G251" s="11"/>
    </row>
    <row r="252">
      <c r="A252" s="5">
        <f>IFERROR(__xludf.DUMMYFUNCTION("""COMPUTED_VALUE"""),2652.0)</f>
        <v>2652</v>
      </c>
      <c r="B252" s="9">
        <f>IFERROR(__xludf.DUMMYFUNCTION("""COMPUTED_VALUE"""),45318.265393518515)</f>
        <v>45318.26539</v>
      </c>
      <c r="C252" s="5" t="str">
        <f>IFERROR(__xludf.DUMMYFUNCTION("""COMPUTED_VALUE"""),"purchase")</f>
        <v>purchase</v>
      </c>
      <c r="D252" s="10">
        <f t="shared" si="1"/>
        <v>45318</v>
      </c>
      <c r="E252" s="10">
        <f t="shared" si="2"/>
        <v>45313</v>
      </c>
      <c r="F252" s="10">
        <f t="shared" si="3"/>
        <v>45292</v>
      </c>
      <c r="G252" s="11"/>
    </row>
    <row r="253">
      <c r="A253" s="5">
        <f>IFERROR(__xludf.DUMMYFUNCTION("""COMPUTED_VALUE"""),5749.0)</f>
        <v>5749</v>
      </c>
      <c r="B253" s="9">
        <f>IFERROR(__xludf.DUMMYFUNCTION("""COMPUTED_VALUE"""),45318.269594907404)</f>
        <v>45318.26959</v>
      </c>
      <c r="C253" s="5" t="str">
        <f>IFERROR(__xludf.DUMMYFUNCTION("""COMPUTED_VALUE"""),"purchase")</f>
        <v>purchase</v>
      </c>
      <c r="D253" s="10">
        <f t="shared" si="1"/>
        <v>45318</v>
      </c>
      <c r="E253" s="10">
        <f t="shared" si="2"/>
        <v>45313</v>
      </c>
      <c r="F253" s="10">
        <f t="shared" si="3"/>
        <v>45292</v>
      </c>
      <c r="G253" s="11"/>
    </row>
    <row r="254">
      <c r="A254" s="5">
        <f>IFERROR(__xludf.DUMMYFUNCTION("""COMPUTED_VALUE"""),6873.0)</f>
        <v>6873</v>
      </c>
      <c r="B254" s="9">
        <f>IFERROR(__xludf.DUMMYFUNCTION("""COMPUTED_VALUE"""),45318.34584490741)</f>
        <v>45318.34584</v>
      </c>
      <c r="C254" s="5" t="str">
        <f>IFERROR(__xludf.DUMMYFUNCTION("""COMPUTED_VALUE"""),"purchase")</f>
        <v>purchase</v>
      </c>
      <c r="D254" s="10">
        <f t="shared" si="1"/>
        <v>45318</v>
      </c>
      <c r="E254" s="10">
        <f t="shared" si="2"/>
        <v>45313</v>
      </c>
      <c r="F254" s="10">
        <f t="shared" si="3"/>
        <v>45292</v>
      </c>
      <c r="G254" s="11"/>
    </row>
    <row r="255">
      <c r="A255" s="5">
        <f>IFERROR(__xludf.DUMMYFUNCTION("""COMPUTED_VALUE"""),787.0)</f>
        <v>787</v>
      </c>
      <c r="B255" s="9">
        <f>IFERROR(__xludf.DUMMYFUNCTION("""COMPUTED_VALUE"""),45318.63077546296)</f>
        <v>45318.63078</v>
      </c>
      <c r="C255" s="5" t="str">
        <f>IFERROR(__xludf.DUMMYFUNCTION("""COMPUTED_VALUE"""),"purchase")</f>
        <v>purchase</v>
      </c>
      <c r="D255" s="10">
        <f t="shared" si="1"/>
        <v>45318</v>
      </c>
      <c r="E255" s="10">
        <f t="shared" si="2"/>
        <v>45313</v>
      </c>
      <c r="F255" s="10">
        <f t="shared" si="3"/>
        <v>45292</v>
      </c>
      <c r="G255" s="11"/>
    </row>
    <row r="256">
      <c r="A256" s="5">
        <f>IFERROR(__xludf.DUMMYFUNCTION("""COMPUTED_VALUE"""),1430.0)</f>
        <v>1430</v>
      </c>
      <c r="B256" s="9">
        <f>IFERROR(__xludf.DUMMYFUNCTION("""COMPUTED_VALUE"""),45318.67403935185)</f>
        <v>45318.67404</v>
      </c>
      <c r="C256" s="5" t="str">
        <f>IFERROR(__xludf.DUMMYFUNCTION("""COMPUTED_VALUE"""),"purchase")</f>
        <v>purchase</v>
      </c>
      <c r="D256" s="10">
        <f t="shared" si="1"/>
        <v>45318</v>
      </c>
      <c r="E256" s="10">
        <f t="shared" si="2"/>
        <v>45313</v>
      </c>
      <c r="F256" s="10">
        <f t="shared" si="3"/>
        <v>45292</v>
      </c>
      <c r="G256" s="11"/>
    </row>
    <row r="257">
      <c r="A257" s="5">
        <f>IFERROR(__xludf.DUMMYFUNCTION("""COMPUTED_VALUE"""),6716.0)</f>
        <v>6716</v>
      </c>
      <c r="B257" s="9">
        <f>IFERROR(__xludf.DUMMYFUNCTION("""COMPUTED_VALUE"""),45318.68349537037)</f>
        <v>45318.6835</v>
      </c>
      <c r="C257" s="5" t="str">
        <f>IFERROR(__xludf.DUMMYFUNCTION("""COMPUTED_VALUE"""),"purchase")</f>
        <v>purchase</v>
      </c>
      <c r="D257" s="10">
        <f t="shared" si="1"/>
        <v>45318</v>
      </c>
      <c r="E257" s="10">
        <f t="shared" si="2"/>
        <v>45313</v>
      </c>
      <c r="F257" s="10">
        <f t="shared" si="3"/>
        <v>45292</v>
      </c>
      <c r="G257" s="11"/>
    </row>
    <row r="258">
      <c r="A258" s="5">
        <f>IFERROR(__xludf.DUMMYFUNCTION("""COMPUTED_VALUE"""),5232.0)</f>
        <v>5232</v>
      </c>
      <c r="B258" s="9">
        <f>IFERROR(__xludf.DUMMYFUNCTION("""COMPUTED_VALUE"""),45318.73605324074)</f>
        <v>45318.73605</v>
      </c>
      <c r="C258" s="5" t="str">
        <f>IFERROR(__xludf.DUMMYFUNCTION("""COMPUTED_VALUE"""),"purchase")</f>
        <v>purchase</v>
      </c>
      <c r="D258" s="10">
        <f t="shared" si="1"/>
        <v>45318</v>
      </c>
      <c r="E258" s="10">
        <f t="shared" si="2"/>
        <v>45313</v>
      </c>
      <c r="F258" s="10">
        <f t="shared" si="3"/>
        <v>45292</v>
      </c>
      <c r="G258" s="11"/>
    </row>
    <row r="259">
      <c r="A259" s="5">
        <f>IFERROR(__xludf.DUMMYFUNCTION("""COMPUTED_VALUE"""),1.0)</f>
        <v>1</v>
      </c>
      <c r="B259" s="9">
        <f>IFERROR(__xludf.DUMMYFUNCTION("""COMPUTED_VALUE"""),45318.793657407405)</f>
        <v>45318.79366</v>
      </c>
      <c r="C259" s="5" t="str">
        <f>IFERROR(__xludf.DUMMYFUNCTION("""COMPUTED_VALUE"""),"purchase")</f>
        <v>purchase</v>
      </c>
      <c r="D259" s="10">
        <f t="shared" si="1"/>
        <v>45318</v>
      </c>
      <c r="E259" s="10">
        <f t="shared" si="2"/>
        <v>45313</v>
      </c>
      <c r="F259" s="10">
        <f t="shared" si="3"/>
        <v>45292</v>
      </c>
      <c r="G259" s="11"/>
    </row>
    <row r="260">
      <c r="A260" s="5">
        <f>IFERROR(__xludf.DUMMYFUNCTION("""COMPUTED_VALUE"""),6914.0)</f>
        <v>6914</v>
      </c>
      <c r="B260" s="9">
        <f>IFERROR(__xludf.DUMMYFUNCTION("""COMPUTED_VALUE"""),45318.87045138889)</f>
        <v>45318.87045</v>
      </c>
      <c r="C260" s="5" t="str">
        <f>IFERROR(__xludf.DUMMYFUNCTION("""COMPUTED_VALUE"""),"purchase")</f>
        <v>purchase</v>
      </c>
      <c r="D260" s="10">
        <f t="shared" si="1"/>
        <v>45318</v>
      </c>
      <c r="E260" s="10">
        <f t="shared" si="2"/>
        <v>45313</v>
      </c>
      <c r="F260" s="10">
        <f t="shared" si="3"/>
        <v>45292</v>
      </c>
      <c r="G260" s="11"/>
    </row>
    <row r="261">
      <c r="A261" s="5">
        <f>IFERROR(__xludf.DUMMYFUNCTION("""COMPUTED_VALUE"""),4951.0)</f>
        <v>4951</v>
      </c>
      <c r="B261" s="9">
        <f>IFERROR(__xludf.DUMMYFUNCTION("""COMPUTED_VALUE"""),45319.00891203704)</f>
        <v>45319.00891</v>
      </c>
      <c r="C261" s="5" t="str">
        <f>IFERROR(__xludf.DUMMYFUNCTION("""COMPUTED_VALUE"""),"purchase")</f>
        <v>purchase</v>
      </c>
      <c r="D261" s="10">
        <f t="shared" si="1"/>
        <v>45319</v>
      </c>
      <c r="E261" s="10">
        <f t="shared" si="2"/>
        <v>45313</v>
      </c>
      <c r="F261" s="10">
        <f t="shared" si="3"/>
        <v>45292</v>
      </c>
      <c r="G261" s="11"/>
    </row>
    <row r="262">
      <c r="A262" s="5">
        <f>IFERROR(__xludf.DUMMYFUNCTION("""COMPUTED_VALUE"""),1278.0)</f>
        <v>1278</v>
      </c>
      <c r="B262" s="9">
        <f>IFERROR(__xludf.DUMMYFUNCTION("""COMPUTED_VALUE"""),45319.22306712963)</f>
        <v>45319.22307</v>
      </c>
      <c r="C262" s="5" t="str">
        <f>IFERROR(__xludf.DUMMYFUNCTION("""COMPUTED_VALUE"""),"purchase")</f>
        <v>purchase</v>
      </c>
      <c r="D262" s="10">
        <f t="shared" si="1"/>
        <v>45319</v>
      </c>
      <c r="E262" s="10">
        <f t="shared" si="2"/>
        <v>45313</v>
      </c>
      <c r="F262" s="10">
        <f t="shared" si="3"/>
        <v>45292</v>
      </c>
      <c r="G262" s="11"/>
    </row>
    <row r="263">
      <c r="A263" s="5">
        <f>IFERROR(__xludf.DUMMYFUNCTION("""COMPUTED_VALUE"""),7731.0)</f>
        <v>7731</v>
      </c>
      <c r="B263" s="9">
        <f>IFERROR(__xludf.DUMMYFUNCTION("""COMPUTED_VALUE"""),45319.301354166666)</f>
        <v>45319.30135</v>
      </c>
      <c r="C263" s="5" t="str">
        <f>IFERROR(__xludf.DUMMYFUNCTION("""COMPUTED_VALUE"""),"purchase")</f>
        <v>purchase</v>
      </c>
      <c r="D263" s="10">
        <f t="shared" si="1"/>
        <v>45319</v>
      </c>
      <c r="E263" s="10">
        <f t="shared" si="2"/>
        <v>45313</v>
      </c>
      <c r="F263" s="10">
        <f t="shared" si="3"/>
        <v>45292</v>
      </c>
      <c r="G263" s="11"/>
    </row>
    <row r="264">
      <c r="A264" s="5">
        <f>IFERROR(__xludf.DUMMYFUNCTION("""COMPUTED_VALUE"""),4140.0)</f>
        <v>4140</v>
      </c>
      <c r="B264" s="9">
        <f>IFERROR(__xludf.DUMMYFUNCTION("""COMPUTED_VALUE"""),45319.765335648146)</f>
        <v>45319.76534</v>
      </c>
      <c r="C264" s="5" t="str">
        <f>IFERROR(__xludf.DUMMYFUNCTION("""COMPUTED_VALUE"""),"purchase")</f>
        <v>purchase</v>
      </c>
      <c r="D264" s="10">
        <f t="shared" si="1"/>
        <v>45319</v>
      </c>
      <c r="E264" s="10">
        <f t="shared" si="2"/>
        <v>45313</v>
      </c>
      <c r="F264" s="10">
        <f t="shared" si="3"/>
        <v>45292</v>
      </c>
      <c r="G264" s="11"/>
    </row>
    <row r="265">
      <c r="A265" s="5">
        <f>IFERROR(__xludf.DUMMYFUNCTION("""COMPUTED_VALUE"""),4605.0)</f>
        <v>4605</v>
      </c>
      <c r="B265" s="9">
        <f>IFERROR(__xludf.DUMMYFUNCTION("""COMPUTED_VALUE"""),45320.009884259256)</f>
        <v>45320.00988</v>
      </c>
      <c r="C265" s="5" t="str">
        <f>IFERROR(__xludf.DUMMYFUNCTION("""COMPUTED_VALUE"""),"purchase")</f>
        <v>purchase</v>
      </c>
      <c r="D265" s="10">
        <f t="shared" si="1"/>
        <v>45320</v>
      </c>
      <c r="E265" s="10">
        <f t="shared" si="2"/>
        <v>45320</v>
      </c>
      <c r="F265" s="10">
        <f t="shared" si="3"/>
        <v>45292</v>
      </c>
      <c r="G265" s="11"/>
    </row>
    <row r="266">
      <c r="A266" s="5">
        <f>IFERROR(__xludf.DUMMYFUNCTION("""COMPUTED_VALUE"""),6756.0)</f>
        <v>6756</v>
      </c>
      <c r="B266" s="9">
        <f>IFERROR(__xludf.DUMMYFUNCTION("""COMPUTED_VALUE"""),45320.03885416667)</f>
        <v>45320.03885</v>
      </c>
      <c r="C266" s="5" t="str">
        <f>IFERROR(__xludf.DUMMYFUNCTION("""COMPUTED_VALUE"""),"purchase")</f>
        <v>purchase</v>
      </c>
      <c r="D266" s="10">
        <f t="shared" si="1"/>
        <v>45320</v>
      </c>
      <c r="E266" s="10">
        <f t="shared" si="2"/>
        <v>45320</v>
      </c>
      <c r="F266" s="10">
        <f t="shared" si="3"/>
        <v>45292</v>
      </c>
      <c r="G266" s="11"/>
    </row>
    <row r="267">
      <c r="A267" s="5">
        <f>IFERROR(__xludf.DUMMYFUNCTION("""COMPUTED_VALUE"""),2550.0)</f>
        <v>2550</v>
      </c>
      <c r="B267" s="9">
        <f>IFERROR(__xludf.DUMMYFUNCTION("""COMPUTED_VALUE"""),45320.17626157407)</f>
        <v>45320.17626</v>
      </c>
      <c r="C267" s="5" t="str">
        <f>IFERROR(__xludf.DUMMYFUNCTION("""COMPUTED_VALUE"""),"purchase")</f>
        <v>purchase</v>
      </c>
      <c r="D267" s="10">
        <f t="shared" si="1"/>
        <v>45320</v>
      </c>
      <c r="E267" s="10">
        <f t="shared" si="2"/>
        <v>45320</v>
      </c>
      <c r="F267" s="10">
        <f t="shared" si="3"/>
        <v>45292</v>
      </c>
      <c r="G267" s="11"/>
    </row>
    <row r="268">
      <c r="A268" s="5">
        <f>IFERROR(__xludf.DUMMYFUNCTION("""COMPUTED_VALUE"""),1176.0)</f>
        <v>1176</v>
      </c>
      <c r="B268" s="9">
        <f>IFERROR(__xludf.DUMMYFUNCTION("""COMPUTED_VALUE"""),45320.193553240744)</f>
        <v>45320.19355</v>
      </c>
      <c r="C268" s="5" t="str">
        <f>IFERROR(__xludf.DUMMYFUNCTION("""COMPUTED_VALUE"""),"purchase")</f>
        <v>purchase</v>
      </c>
      <c r="D268" s="10">
        <f t="shared" si="1"/>
        <v>45320</v>
      </c>
      <c r="E268" s="10">
        <f t="shared" si="2"/>
        <v>45320</v>
      </c>
      <c r="F268" s="10">
        <f t="shared" si="3"/>
        <v>45292</v>
      </c>
      <c r="G268" s="11"/>
    </row>
    <row r="269">
      <c r="A269" s="5">
        <f>IFERROR(__xludf.DUMMYFUNCTION("""COMPUTED_VALUE"""),3407.0)</f>
        <v>3407</v>
      </c>
      <c r="B269" s="9">
        <f>IFERROR(__xludf.DUMMYFUNCTION("""COMPUTED_VALUE"""),45320.23337962963)</f>
        <v>45320.23338</v>
      </c>
      <c r="C269" s="5" t="str">
        <f>IFERROR(__xludf.DUMMYFUNCTION("""COMPUTED_VALUE"""),"purchase")</f>
        <v>purchase</v>
      </c>
      <c r="D269" s="10">
        <f t="shared" si="1"/>
        <v>45320</v>
      </c>
      <c r="E269" s="10">
        <f t="shared" si="2"/>
        <v>45320</v>
      </c>
      <c r="F269" s="10">
        <f t="shared" si="3"/>
        <v>45292</v>
      </c>
      <c r="G269" s="11"/>
    </row>
    <row r="270">
      <c r="A270" s="5">
        <f>IFERROR(__xludf.DUMMYFUNCTION("""COMPUTED_VALUE"""),4205.0)</f>
        <v>4205</v>
      </c>
      <c r="B270" s="9">
        <f>IFERROR(__xludf.DUMMYFUNCTION("""COMPUTED_VALUE"""),45320.24277777778)</f>
        <v>45320.24278</v>
      </c>
      <c r="C270" s="5" t="str">
        <f>IFERROR(__xludf.DUMMYFUNCTION("""COMPUTED_VALUE"""),"purchase")</f>
        <v>purchase</v>
      </c>
      <c r="D270" s="10">
        <f t="shared" si="1"/>
        <v>45320</v>
      </c>
      <c r="E270" s="10">
        <f t="shared" si="2"/>
        <v>45320</v>
      </c>
      <c r="F270" s="10">
        <f t="shared" si="3"/>
        <v>45292</v>
      </c>
      <c r="G270" s="11"/>
    </row>
    <row r="271">
      <c r="A271" s="5">
        <f>IFERROR(__xludf.DUMMYFUNCTION("""COMPUTED_VALUE"""),7955.0)</f>
        <v>7955</v>
      </c>
      <c r="B271" s="9">
        <f>IFERROR(__xludf.DUMMYFUNCTION("""COMPUTED_VALUE"""),45320.270462962966)</f>
        <v>45320.27046</v>
      </c>
      <c r="C271" s="5" t="str">
        <f>IFERROR(__xludf.DUMMYFUNCTION("""COMPUTED_VALUE"""),"purchase")</f>
        <v>purchase</v>
      </c>
      <c r="D271" s="10">
        <f t="shared" si="1"/>
        <v>45320</v>
      </c>
      <c r="E271" s="10">
        <f t="shared" si="2"/>
        <v>45320</v>
      </c>
      <c r="F271" s="10">
        <f t="shared" si="3"/>
        <v>45292</v>
      </c>
      <c r="G271" s="11"/>
    </row>
    <row r="272">
      <c r="A272" s="5">
        <f>IFERROR(__xludf.DUMMYFUNCTION("""COMPUTED_VALUE"""),2267.0)</f>
        <v>2267</v>
      </c>
      <c r="B272" s="9">
        <f>IFERROR(__xludf.DUMMYFUNCTION("""COMPUTED_VALUE"""),45320.33421296296)</f>
        <v>45320.33421</v>
      </c>
      <c r="C272" s="5" t="str">
        <f>IFERROR(__xludf.DUMMYFUNCTION("""COMPUTED_VALUE"""),"purchase")</f>
        <v>purchase</v>
      </c>
      <c r="D272" s="10">
        <f t="shared" si="1"/>
        <v>45320</v>
      </c>
      <c r="E272" s="10">
        <f t="shared" si="2"/>
        <v>45320</v>
      </c>
      <c r="F272" s="10">
        <f t="shared" si="3"/>
        <v>45292</v>
      </c>
      <c r="G272" s="11"/>
    </row>
    <row r="273">
      <c r="A273" s="5">
        <f>IFERROR(__xludf.DUMMYFUNCTION("""COMPUTED_VALUE"""),757.0)</f>
        <v>757</v>
      </c>
      <c r="B273" s="9">
        <f>IFERROR(__xludf.DUMMYFUNCTION("""COMPUTED_VALUE"""),45320.36633101852)</f>
        <v>45320.36633</v>
      </c>
      <c r="C273" s="5" t="str">
        <f>IFERROR(__xludf.DUMMYFUNCTION("""COMPUTED_VALUE"""),"purchase")</f>
        <v>purchase</v>
      </c>
      <c r="D273" s="10">
        <f t="shared" si="1"/>
        <v>45320</v>
      </c>
      <c r="E273" s="10">
        <f t="shared" si="2"/>
        <v>45320</v>
      </c>
      <c r="F273" s="10">
        <f t="shared" si="3"/>
        <v>45292</v>
      </c>
      <c r="G273" s="11"/>
    </row>
    <row r="274">
      <c r="A274" s="5">
        <f>IFERROR(__xludf.DUMMYFUNCTION("""COMPUTED_VALUE"""),7283.0)</f>
        <v>7283</v>
      </c>
      <c r="B274" s="9">
        <f>IFERROR(__xludf.DUMMYFUNCTION("""COMPUTED_VALUE"""),45320.489965277775)</f>
        <v>45320.48997</v>
      </c>
      <c r="C274" s="5" t="str">
        <f>IFERROR(__xludf.DUMMYFUNCTION("""COMPUTED_VALUE"""),"purchase")</f>
        <v>purchase</v>
      </c>
      <c r="D274" s="10">
        <f t="shared" si="1"/>
        <v>45320</v>
      </c>
      <c r="E274" s="10">
        <f t="shared" si="2"/>
        <v>45320</v>
      </c>
      <c r="F274" s="10">
        <f t="shared" si="3"/>
        <v>45292</v>
      </c>
      <c r="G274" s="11"/>
    </row>
    <row r="275">
      <c r="A275" s="5">
        <f>IFERROR(__xludf.DUMMYFUNCTION("""COMPUTED_VALUE"""),6352.0)</f>
        <v>6352</v>
      </c>
      <c r="B275" s="9">
        <f>IFERROR(__xludf.DUMMYFUNCTION("""COMPUTED_VALUE"""),45320.49125)</f>
        <v>45320.49125</v>
      </c>
      <c r="C275" s="5" t="str">
        <f>IFERROR(__xludf.DUMMYFUNCTION("""COMPUTED_VALUE"""),"purchase")</f>
        <v>purchase</v>
      </c>
      <c r="D275" s="10">
        <f t="shared" si="1"/>
        <v>45320</v>
      </c>
      <c r="E275" s="10">
        <f t="shared" si="2"/>
        <v>45320</v>
      </c>
      <c r="F275" s="10">
        <f t="shared" si="3"/>
        <v>45292</v>
      </c>
      <c r="G275" s="11"/>
    </row>
    <row r="276">
      <c r="A276" s="5">
        <f>IFERROR(__xludf.DUMMYFUNCTION("""COMPUTED_VALUE"""),7803.0)</f>
        <v>7803</v>
      </c>
      <c r="B276" s="9">
        <f>IFERROR(__xludf.DUMMYFUNCTION("""COMPUTED_VALUE"""),45320.579675925925)</f>
        <v>45320.57968</v>
      </c>
      <c r="C276" s="5" t="str">
        <f>IFERROR(__xludf.DUMMYFUNCTION("""COMPUTED_VALUE"""),"purchase")</f>
        <v>purchase</v>
      </c>
      <c r="D276" s="10">
        <f t="shared" si="1"/>
        <v>45320</v>
      </c>
      <c r="E276" s="10">
        <f t="shared" si="2"/>
        <v>45320</v>
      </c>
      <c r="F276" s="10">
        <f t="shared" si="3"/>
        <v>45292</v>
      </c>
      <c r="G276" s="11"/>
    </row>
    <row r="277">
      <c r="A277" s="5">
        <f>IFERROR(__xludf.DUMMYFUNCTION("""COMPUTED_VALUE"""),5533.0)</f>
        <v>5533</v>
      </c>
      <c r="B277" s="9">
        <f>IFERROR(__xludf.DUMMYFUNCTION("""COMPUTED_VALUE"""),45320.58893518519)</f>
        <v>45320.58894</v>
      </c>
      <c r="C277" s="5" t="str">
        <f>IFERROR(__xludf.DUMMYFUNCTION("""COMPUTED_VALUE"""),"purchase")</f>
        <v>purchase</v>
      </c>
      <c r="D277" s="10">
        <f t="shared" si="1"/>
        <v>45320</v>
      </c>
      <c r="E277" s="10">
        <f t="shared" si="2"/>
        <v>45320</v>
      </c>
      <c r="F277" s="10">
        <f t="shared" si="3"/>
        <v>45292</v>
      </c>
      <c r="G277" s="11"/>
    </row>
    <row r="278">
      <c r="A278" s="5">
        <f>IFERROR(__xludf.DUMMYFUNCTION("""COMPUTED_VALUE"""),2816.0)</f>
        <v>2816</v>
      </c>
      <c r="B278" s="9">
        <f>IFERROR(__xludf.DUMMYFUNCTION("""COMPUTED_VALUE"""),45320.593564814815)</f>
        <v>45320.59356</v>
      </c>
      <c r="C278" s="5" t="str">
        <f>IFERROR(__xludf.DUMMYFUNCTION("""COMPUTED_VALUE"""),"purchase")</f>
        <v>purchase</v>
      </c>
      <c r="D278" s="10">
        <f t="shared" si="1"/>
        <v>45320</v>
      </c>
      <c r="E278" s="10">
        <f t="shared" si="2"/>
        <v>45320</v>
      </c>
      <c r="F278" s="10">
        <f t="shared" si="3"/>
        <v>45292</v>
      </c>
      <c r="G278" s="11"/>
    </row>
    <row r="279">
      <c r="A279" s="5">
        <f>IFERROR(__xludf.DUMMYFUNCTION("""COMPUTED_VALUE"""),3007.0)</f>
        <v>3007</v>
      </c>
      <c r="B279" s="9">
        <f>IFERROR(__xludf.DUMMYFUNCTION("""COMPUTED_VALUE"""),45320.61019675926)</f>
        <v>45320.6102</v>
      </c>
      <c r="C279" s="5" t="str">
        <f>IFERROR(__xludf.DUMMYFUNCTION("""COMPUTED_VALUE"""),"purchase")</f>
        <v>purchase</v>
      </c>
      <c r="D279" s="10">
        <f t="shared" si="1"/>
        <v>45320</v>
      </c>
      <c r="E279" s="10">
        <f t="shared" si="2"/>
        <v>45320</v>
      </c>
      <c r="F279" s="10">
        <f t="shared" si="3"/>
        <v>45292</v>
      </c>
      <c r="G279" s="11"/>
    </row>
    <row r="280">
      <c r="A280" s="5">
        <f>IFERROR(__xludf.DUMMYFUNCTION("""COMPUTED_VALUE"""),5611.0)</f>
        <v>5611</v>
      </c>
      <c r="B280" s="9">
        <f>IFERROR(__xludf.DUMMYFUNCTION("""COMPUTED_VALUE"""),45320.615578703706)</f>
        <v>45320.61558</v>
      </c>
      <c r="C280" s="5" t="str">
        <f>IFERROR(__xludf.DUMMYFUNCTION("""COMPUTED_VALUE"""),"purchase")</f>
        <v>purchase</v>
      </c>
      <c r="D280" s="10">
        <f t="shared" si="1"/>
        <v>45320</v>
      </c>
      <c r="E280" s="10">
        <f t="shared" si="2"/>
        <v>45320</v>
      </c>
      <c r="F280" s="10">
        <f t="shared" si="3"/>
        <v>45292</v>
      </c>
      <c r="G280" s="11"/>
    </row>
    <row r="281">
      <c r="A281" s="5">
        <f>IFERROR(__xludf.DUMMYFUNCTION("""COMPUTED_VALUE"""),5036.0)</f>
        <v>5036</v>
      </c>
      <c r="B281" s="9">
        <f>IFERROR(__xludf.DUMMYFUNCTION("""COMPUTED_VALUE"""),45320.6571412037)</f>
        <v>45320.65714</v>
      </c>
      <c r="C281" s="5" t="str">
        <f>IFERROR(__xludf.DUMMYFUNCTION("""COMPUTED_VALUE"""),"purchase")</f>
        <v>purchase</v>
      </c>
      <c r="D281" s="10">
        <f t="shared" si="1"/>
        <v>45320</v>
      </c>
      <c r="E281" s="10">
        <f t="shared" si="2"/>
        <v>45320</v>
      </c>
      <c r="F281" s="10">
        <f t="shared" si="3"/>
        <v>45292</v>
      </c>
      <c r="G281" s="11"/>
    </row>
    <row r="282">
      <c r="A282" s="5">
        <f>IFERROR(__xludf.DUMMYFUNCTION("""COMPUTED_VALUE"""),2955.0)</f>
        <v>2955</v>
      </c>
      <c r="B282" s="9">
        <f>IFERROR(__xludf.DUMMYFUNCTION("""COMPUTED_VALUE"""),45320.672581018516)</f>
        <v>45320.67258</v>
      </c>
      <c r="C282" s="5" t="str">
        <f>IFERROR(__xludf.DUMMYFUNCTION("""COMPUTED_VALUE"""),"purchase")</f>
        <v>purchase</v>
      </c>
      <c r="D282" s="10">
        <f t="shared" si="1"/>
        <v>45320</v>
      </c>
      <c r="E282" s="10">
        <f t="shared" si="2"/>
        <v>45320</v>
      </c>
      <c r="F282" s="10">
        <f t="shared" si="3"/>
        <v>45292</v>
      </c>
      <c r="G282" s="11"/>
    </row>
    <row r="283">
      <c r="A283" s="5">
        <f>IFERROR(__xludf.DUMMYFUNCTION("""COMPUTED_VALUE"""),2037.0)</f>
        <v>2037</v>
      </c>
      <c r="B283" s="9">
        <f>IFERROR(__xludf.DUMMYFUNCTION("""COMPUTED_VALUE"""),45320.73998842593)</f>
        <v>45320.73999</v>
      </c>
      <c r="C283" s="5" t="str">
        <f>IFERROR(__xludf.DUMMYFUNCTION("""COMPUTED_VALUE"""),"purchase")</f>
        <v>purchase</v>
      </c>
      <c r="D283" s="10">
        <f t="shared" si="1"/>
        <v>45320</v>
      </c>
      <c r="E283" s="10">
        <f t="shared" si="2"/>
        <v>45320</v>
      </c>
      <c r="F283" s="10">
        <f t="shared" si="3"/>
        <v>45292</v>
      </c>
      <c r="G283" s="11"/>
    </row>
    <row r="284">
      <c r="A284" s="5">
        <f>IFERROR(__xludf.DUMMYFUNCTION("""COMPUTED_VALUE"""),6619.0)</f>
        <v>6619</v>
      </c>
      <c r="B284" s="9">
        <f>IFERROR(__xludf.DUMMYFUNCTION("""COMPUTED_VALUE"""),45320.8250462963)</f>
        <v>45320.82505</v>
      </c>
      <c r="C284" s="5" t="str">
        <f>IFERROR(__xludf.DUMMYFUNCTION("""COMPUTED_VALUE"""),"purchase")</f>
        <v>purchase</v>
      </c>
      <c r="D284" s="10">
        <f t="shared" si="1"/>
        <v>45320</v>
      </c>
      <c r="E284" s="10">
        <f t="shared" si="2"/>
        <v>45320</v>
      </c>
      <c r="F284" s="10">
        <f t="shared" si="3"/>
        <v>45292</v>
      </c>
      <c r="G284" s="11"/>
    </row>
    <row r="285">
      <c r="A285" s="5">
        <f>IFERROR(__xludf.DUMMYFUNCTION("""COMPUTED_VALUE"""),4553.0)</f>
        <v>4553</v>
      </c>
      <c r="B285" s="9">
        <f>IFERROR(__xludf.DUMMYFUNCTION("""COMPUTED_VALUE"""),45320.93274305556)</f>
        <v>45320.93274</v>
      </c>
      <c r="C285" s="5" t="str">
        <f>IFERROR(__xludf.DUMMYFUNCTION("""COMPUTED_VALUE"""),"purchase")</f>
        <v>purchase</v>
      </c>
      <c r="D285" s="10">
        <f t="shared" si="1"/>
        <v>45320</v>
      </c>
      <c r="E285" s="10">
        <f t="shared" si="2"/>
        <v>45320</v>
      </c>
      <c r="F285" s="10">
        <f t="shared" si="3"/>
        <v>45292</v>
      </c>
      <c r="G285" s="11"/>
    </row>
    <row r="286">
      <c r="A286" s="5">
        <f>IFERROR(__xludf.DUMMYFUNCTION("""COMPUTED_VALUE"""),5134.0)</f>
        <v>5134</v>
      </c>
      <c r="B286" s="9">
        <f>IFERROR(__xludf.DUMMYFUNCTION("""COMPUTED_VALUE"""),45321.001747685186)</f>
        <v>45321.00175</v>
      </c>
      <c r="C286" s="5" t="str">
        <f>IFERROR(__xludf.DUMMYFUNCTION("""COMPUTED_VALUE"""),"purchase")</f>
        <v>purchase</v>
      </c>
      <c r="D286" s="10">
        <f t="shared" si="1"/>
        <v>45321</v>
      </c>
      <c r="E286" s="10">
        <f t="shared" si="2"/>
        <v>45320</v>
      </c>
      <c r="F286" s="10">
        <f t="shared" si="3"/>
        <v>45292</v>
      </c>
      <c r="G286" s="11"/>
    </row>
    <row r="287">
      <c r="A287" s="5">
        <f>IFERROR(__xludf.DUMMYFUNCTION("""COMPUTED_VALUE"""),7951.0)</f>
        <v>7951</v>
      </c>
      <c r="B287" s="9">
        <f>IFERROR(__xludf.DUMMYFUNCTION("""COMPUTED_VALUE"""),45321.10302083333)</f>
        <v>45321.10302</v>
      </c>
      <c r="C287" s="5" t="str">
        <f>IFERROR(__xludf.DUMMYFUNCTION("""COMPUTED_VALUE"""),"purchase")</f>
        <v>purchase</v>
      </c>
      <c r="D287" s="10">
        <f t="shared" si="1"/>
        <v>45321</v>
      </c>
      <c r="E287" s="10">
        <f t="shared" si="2"/>
        <v>45320</v>
      </c>
      <c r="F287" s="10">
        <f t="shared" si="3"/>
        <v>45292</v>
      </c>
      <c r="G287" s="11"/>
    </row>
    <row r="288">
      <c r="A288" s="5">
        <f>IFERROR(__xludf.DUMMYFUNCTION("""COMPUTED_VALUE"""),6034.0)</f>
        <v>6034</v>
      </c>
      <c r="B288" s="9">
        <f>IFERROR(__xludf.DUMMYFUNCTION("""COMPUTED_VALUE"""),45321.22960648148)</f>
        <v>45321.22961</v>
      </c>
      <c r="C288" s="5" t="str">
        <f>IFERROR(__xludf.DUMMYFUNCTION("""COMPUTED_VALUE"""),"purchase")</f>
        <v>purchase</v>
      </c>
      <c r="D288" s="10">
        <f t="shared" si="1"/>
        <v>45321</v>
      </c>
      <c r="E288" s="10">
        <f t="shared" si="2"/>
        <v>45320</v>
      </c>
      <c r="F288" s="10">
        <f t="shared" si="3"/>
        <v>45292</v>
      </c>
      <c r="G288" s="11"/>
    </row>
    <row r="289">
      <c r="A289" s="5">
        <f>IFERROR(__xludf.DUMMYFUNCTION("""COMPUTED_VALUE"""),6640.0)</f>
        <v>6640</v>
      </c>
      <c r="B289" s="9">
        <f>IFERROR(__xludf.DUMMYFUNCTION("""COMPUTED_VALUE"""),45321.502118055556)</f>
        <v>45321.50212</v>
      </c>
      <c r="C289" s="5" t="str">
        <f>IFERROR(__xludf.DUMMYFUNCTION("""COMPUTED_VALUE"""),"purchase")</f>
        <v>purchase</v>
      </c>
      <c r="D289" s="10">
        <f t="shared" si="1"/>
        <v>45321</v>
      </c>
      <c r="E289" s="10">
        <f t="shared" si="2"/>
        <v>45320</v>
      </c>
      <c r="F289" s="10">
        <f t="shared" si="3"/>
        <v>45292</v>
      </c>
      <c r="G289" s="11"/>
    </row>
    <row r="290">
      <c r="A290" s="5">
        <f>IFERROR(__xludf.DUMMYFUNCTION("""COMPUTED_VALUE"""),1513.0)</f>
        <v>1513</v>
      </c>
      <c r="B290" s="9">
        <f>IFERROR(__xludf.DUMMYFUNCTION("""COMPUTED_VALUE"""),45321.65513888889)</f>
        <v>45321.65514</v>
      </c>
      <c r="C290" s="5" t="str">
        <f>IFERROR(__xludf.DUMMYFUNCTION("""COMPUTED_VALUE"""),"purchase")</f>
        <v>purchase</v>
      </c>
      <c r="D290" s="10">
        <f t="shared" si="1"/>
        <v>45321</v>
      </c>
      <c r="E290" s="10">
        <f t="shared" si="2"/>
        <v>45320</v>
      </c>
      <c r="F290" s="10">
        <f t="shared" si="3"/>
        <v>45292</v>
      </c>
      <c r="G290" s="11"/>
    </row>
    <row r="291">
      <c r="A291" s="5">
        <f>IFERROR(__xludf.DUMMYFUNCTION("""COMPUTED_VALUE"""),4952.0)</f>
        <v>4952</v>
      </c>
      <c r="B291" s="9">
        <f>IFERROR(__xludf.DUMMYFUNCTION("""COMPUTED_VALUE"""),45321.668703703705)</f>
        <v>45321.6687</v>
      </c>
      <c r="C291" s="5" t="str">
        <f>IFERROR(__xludf.DUMMYFUNCTION("""COMPUTED_VALUE"""),"purchase")</f>
        <v>purchase</v>
      </c>
      <c r="D291" s="10">
        <f t="shared" si="1"/>
        <v>45321</v>
      </c>
      <c r="E291" s="10">
        <f t="shared" si="2"/>
        <v>45320</v>
      </c>
      <c r="F291" s="10">
        <f t="shared" si="3"/>
        <v>45292</v>
      </c>
      <c r="G291" s="11"/>
    </row>
    <row r="292">
      <c r="A292" s="5">
        <f>IFERROR(__xludf.DUMMYFUNCTION("""COMPUTED_VALUE"""),2717.0)</f>
        <v>2717</v>
      </c>
      <c r="B292" s="9">
        <f>IFERROR(__xludf.DUMMYFUNCTION("""COMPUTED_VALUE"""),45321.73978009259)</f>
        <v>45321.73978</v>
      </c>
      <c r="C292" s="5" t="str">
        <f>IFERROR(__xludf.DUMMYFUNCTION("""COMPUTED_VALUE"""),"purchase")</f>
        <v>purchase</v>
      </c>
      <c r="D292" s="10">
        <f t="shared" si="1"/>
        <v>45321</v>
      </c>
      <c r="E292" s="10">
        <f t="shared" si="2"/>
        <v>45320</v>
      </c>
      <c r="F292" s="10">
        <f t="shared" si="3"/>
        <v>45292</v>
      </c>
      <c r="G292" s="11"/>
    </row>
    <row r="293">
      <c r="A293" s="5">
        <f>IFERROR(__xludf.DUMMYFUNCTION("""COMPUTED_VALUE"""),5724.0)</f>
        <v>5724</v>
      </c>
      <c r="B293" s="9">
        <f>IFERROR(__xludf.DUMMYFUNCTION("""COMPUTED_VALUE"""),45322.02899305556)</f>
        <v>45322.02899</v>
      </c>
      <c r="C293" s="5" t="str">
        <f>IFERROR(__xludf.DUMMYFUNCTION("""COMPUTED_VALUE"""),"purchase")</f>
        <v>purchase</v>
      </c>
      <c r="D293" s="10">
        <f t="shared" si="1"/>
        <v>45322</v>
      </c>
      <c r="E293" s="10">
        <f t="shared" si="2"/>
        <v>45320</v>
      </c>
      <c r="F293" s="10">
        <f t="shared" si="3"/>
        <v>45292</v>
      </c>
      <c r="G293" s="11"/>
    </row>
    <row r="294">
      <c r="A294" s="5">
        <f>IFERROR(__xludf.DUMMYFUNCTION("""COMPUTED_VALUE"""),2727.0)</f>
        <v>2727</v>
      </c>
      <c r="B294" s="9">
        <f>IFERROR(__xludf.DUMMYFUNCTION("""COMPUTED_VALUE"""),45322.226493055554)</f>
        <v>45322.22649</v>
      </c>
      <c r="C294" s="5" t="str">
        <f>IFERROR(__xludf.DUMMYFUNCTION("""COMPUTED_VALUE"""),"purchase")</f>
        <v>purchase</v>
      </c>
      <c r="D294" s="10">
        <f t="shared" si="1"/>
        <v>45322</v>
      </c>
      <c r="E294" s="10">
        <f t="shared" si="2"/>
        <v>45320</v>
      </c>
      <c r="F294" s="10">
        <f t="shared" si="3"/>
        <v>45292</v>
      </c>
      <c r="G294" s="11"/>
    </row>
    <row r="295">
      <c r="A295" s="5">
        <f>IFERROR(__xludf.DUMMYFUNCTION("""COMPUTED_VALUE"""),6188.0)</f>
        <v>6188</v>
      </c>
      <c r="B295" s="9">
        <f>IFERROR(__xludf.DUMMYFUNCTION("""COMPUTED_VALUE"""),45322.67530092593)</f>
        <v>45322.6753</v>
      </c>
      <c r="C295" s="5" t="str">
        <f>IFERROR(__xludf.DUMMYFUNCTION("""COMPUTED_VALUE"""),"purchase")</f>
        <v>purchase</v>
      </c>
      <c r="D295" s="10">
        <f t="shared" si="1"/>
        <v>45322</v>
      </c>
      <c r="E295" s="10">
        <f t="shared" si="2"/>
        <v>45320</v>
      </c>
      <c r="F295" s="10">
        <f t="shared" si="3"/>
        <v>45292</v>
      </c>
      <c r="G295" s="11"/>
    </row>
    <row r="296">
      <c r="A296" s="5">
        <f>IFERROR(__xludf.DUMMYFUNCTION("""COMPUTED_VALUE"""),682.0)</f>
        <v>682</v>
      </c>
      <c r="B296" s="9">
        <f>IFERROR(__xludf.DUMMYFUNCTION("""COMPUTED_VALUE"""),45322.82412037037)</f>
        <v>45322.82412</v>
      </c>
      <c r="C296" s="5" t="str">
        <f>IFERROR(__xludf.DUMMYFUNCTION("""COMPUTED_VALUE"""),"purchase")</f>
        <v>purchase</v>
      </c>
      <c r="D296" s="10">
        <f t="shared" si="1"/>
        <v>45322</v>
      </c>
      <c r="E296" s="10">
        <f t="shared" si="2"/>
        <v>45320</v>
      </c>
      <c r="F296" s="10">
        <f t="shared" si="3"/>
        <v>45292</v>
      </c>
      <c r="G296" s="11"/>
    </row>
    <row r="297">
      <c r="A297" s="5">
        <f>IFERROR(__xludf.DUMMYFUNCTION("""COMPUTED_VALUE"""),3689.0)</f>
        <v>3689</v>
      </c>
      <c r="B297" s="9">
        <f>IFERROR(__xludf.DUMMYFUNCTION("""COMPUTED_VALUE"""),45323.05923611111)</f>
        <v>45323.05924</v>
      </c>
      <c r="C297" s="5" t="str">
        <f>IFERROR(__xludf.DUMMYFUNCTION("""COMPUTED_VALUE"""),"purchase")</f>
        <v>purchase</v>
      </c>
      <c r="D297" s="10">
        <f t="shared" si="1"/>
        <v>45323</v>
      </c>
      <c r="E297" s="10">
        <f t="shared" si="2"/>
        <v>45320</v>
      </c>
      <c r="F297" s="10">
        <f t="shared" si="3"/>
        <v>45323</v>
      </c>
      <c r="G297" s="11"/>
    </row>
    <row r="298">
      <c r="A298" s="5">
        <f>IFERROR(__xludf.DUMMYFUNCTION("""COMPUTED_VALUE"""),6456.0)</f>
        <v>6456</v>
      </c>
      <c r="B298" s="9">
        <f>IFERROR(__xludf.DUMMYFUNCTION("""COMPUTED_VALUE"""),45323.10885416667)</f>
        <v>45323.10885</v>
      </c>
      <c r="C298" s="5" t="str">
        <f>IFERROR(__xludf.DUMMYFUNCTION("""COMPUTED_VALUE"""),"purchase")</f>
        <v>purchase</v>
      </c>
      <c r="D298" s="10">
        <f t="shared" si="1"/>
        <v>45323</v>
      </c>
      <c r="E298" s="10">
        <f t="shared" si="2"/>
        <v>45320</v>
      </c>
      <c r="F298" s="10">
        <f t="shared" si="3"/>
        <v>45323</v>
      </c>
      <c r="G298" s="11"/>
    </row>
    <row r="299">
      <c r="A299" s="5">
        <f>IFERROR(__xludf.DUMMYFUNCTION("""COMPUTED_VALUE"""),2421.0)</f>
        <v>2421</v>
      </c>
      <c r="B299" s="9">
        <f>IFERROR(__xludf.DUMMYFUNCTION("""COMPUTED_VALUE"""),45323.15305555556)</f>
        <v>45323.15306</v>
      </c>
      <c r="C299" s="5" t="str">
        <f>IFERROR(__xludf.DUMMYFUNCTION("""COMPUTED_VALUE"""),"purchase")</f>
        <v>purchase</v>
      </c>
      <c r="D299" s="10">
        <f t="shared" si="1"/>
        <v>45323</v>
      </c>
      <c r="E299" s="10">
        <f t="shared" si="2"/>
        <v>45320</v>
      </c>
      <c r="F299" s="10">
        <f t="shared" si="3"/>
        <v>45323</v>
      </c>
      <c r="G299" s="11"/>
    </row>
    <row r="300">
      <c r="A300" s="5">
        <f>IFERROR(__xludf.DUMMYFUNCTION("""COMPUTED_VALUE"""),6990.0)</f>
        <v>6990</v>
      </c>
      <c r="B300" s="9">
        <f>IFERROR(__xludf.DUMMYFUNCTION("""COMPUTED_VALUE"""),45323.179918981485)</f>
        <v>45323.17992</v>
      </c>
      <c r="C300" s="5" t="str">
        <f>IFERROR(__xludf.DUMMYFUNCTION("""COMPUTED_VALUE"""),"purchase")</f>
        <v>purchase</v>
      </c>
      <c r="D300" s="10">
        <f t="shared" si="1"/>
        <v>45323</v>
      </c>
      <c r="E300" s="10">
        <f t="shared" si="2"/>
        <v>45320</v>
      </c>
      <c r="F300" s="10">
        <f t="shared" si="3"/>
        <v>45323</v>
      </c>
      <c r="G300" s="11"/>
    </row>
    <row r="301">
      <c r="A301" s="5">
        <f>IFERROR(__xludf.DUMMYFUNCTION("""COMPUTED_VALUE"""),2988.0)</f>
        <v>2988</v>
      </c>
      <c r="B301" s="9">
        <f>IFERROR(__xludf.DUMMYFUNCTION("""COMPUTED_VALUE"""),45323.20318287037)</f>
        <v>45323.20318</v>
      </c>
      <c r="C301" s="5" t="str">
        <f>IFERROR(__xludf.DUMMYFUNCTION("""COMPUTED_VALUE"""),"purchase")</f>
        <v>purchase</v>
      </c>
      <c r="D301" s="10">
        <f t="shared" si="1"/>
        <v>45323</v>
      </c>
      <c r="E301" s="10">
        <f t="shared" si="2"/>
        <v>45320</v>
      </c>
      <c r="F301" s="10">
        <f t="shared" si="3"/>
        <v>45323</v>
      </c>
      <c r="G301" s="11"/>
    </row>
    <row r="302">
      <c r="A302" s="5">
        <f>IFERROR(__xludf.DUMMYFUNCTION("""COMPUTED_VALUE"""),3066.0)</f>
        <v>3066</v>
      </c>
      <c r="B302" s="9">
        <f>IFERROR(__xludf.DUMMYFUNCTION("""COMPUTED_VALUE"""),45323.242118055554)</f>
        <v>45323.24212</v>
      </c>
      <c r="C302" s="5" t="str">
        <f>IFERROR(__xludf.DUMMYFUNCTION("""COMPUTED_VALUE"""),"purchase")</f>
        <v>purchase</v>
      </c>
      <c r="D302" s="10">
        <f t="shared" si="1"/>
        <v>45323</v>
      </c>
      <c r="E302" s="10">
        <f t="shared" si="2"/>
        <v>45320</v>
      </c>
      <c r="F302" s="10">
        <f t="shared" si="3"/>
        <v>45323</v>
      </c>
      <c r="G302" s="11"/>
    </row>
    <row r="303">
      <c r="A303" s="5">
        <f>IFERROR(__xludf.DUMMYFUNCTION("""COMPUTED_VALUE"""),3551.0)</f>
        <v>3551</v>
      </c>
      <c r="B303" s="9">
        <f>IFERROR(__xludf.DUMMYFUNCTION("""COMPUTED_VALUE"""),45323.279652777775)</f>
        <v>45323.27965</v>
      </c>
      <c r="C303" s="5" t="str">
        <f>IFERROR(__xludf.DUMMYFUNCTION("""COMPUTED_VALUE"""),"purchase")</f>
        <v>purchase</v>
      </c>
      <c r="D303" s="10">
        <f t="shared" si="1"/>
        <v>45323</v>
      </c>
      <c r="E303" s="10">
        <f t="shared" si="2"/>
        <v>45320</v>
      </c>
      <c r="F303" s="10">
        <f t="shared" si="3"/>
        <v>45323</v>
      </c>
      <c r="G303" s="11"/>
    </row>
    <row r="304">
      <c r="A304" s="5">
        <f>IFERROR(__xludf.DUMMYFUNCTION("""COMPUTED_VALUE"""),3435.0)</f>
        <v>3435</v>
      </c>
      <c r="B304" s="9">
        <f>IFERROR(__xludf.DUMMYFUNCTION("""COMPUTED_VALUE"""),45323.28943287037)</f>
        <v>45323.28943</v>
      </c>
      <c r="C304" s="5" t="str">
        <f>IFERROR(__xludf.DUMMYFUNCTION("""COMPUTED_VALUE"""),"purchase")</f>
        <v>purchase</v>
      </c>
      <c r="D304" s="10">
        <f t="shared" si="1"/>
        <v>45323</v>
      </c>
      <c r="E304" s="10">
        <f t="shared" si="2"/>
        <v>45320</v>
      </c>
      <c r="F304" s="10">
        <f t="shared" si="3"/>
        <v>45323</v>
      </c>
      <c r="G304" s="11"/>
    </row>
    <row r="305">
      <c r="A305" s="5">
        <f>IFERROR(__xludf.DUMMYFUNCTION("""COMPUTED_VALUE"""),435.0)</f>
        <v>435</v>
      </c>
      <c r="B305" s="9">
        <f>IFERROR(__xludf.DUMMYFUNCTION("""COMPUTED_VALUE"""),45323.56900462963)</f>
        <v>45323.569</v>
      </c>
      <c r="C305" s="5" t="str">
        <f>IFERROR(__xludf.DUMMYFUNCTION("""COMPUTED_VALUE"""),"purchase")</f>
        <v>purchase</v>
      </c>
      <c r="D305" s="10">
        <f t="shared" si="1"/>
        <v>45323</v>
      </c>
      <c r="E305" s="10">
        <f t="shared" si="2"/>
        <v>45320</v>
      </c>
      <c r="F305" s="10">
        <f t="shared" si="3"/>
        <v>45323</v>
      </c>
      <c r="G305" s="11"/>
    </row>
    <row r="306">
      <c r="A306" s="5">
        <f>IFERROR(__xludf.DUMMYFUNCTION("""COMPUTED_VALUE"""),5846.0)</f>
        <v>5846</v>
      </c>
      <c r="B306" s="9">
        <f>IFERROR(__xludf.DUMMYFUNCTION("""COMPUTED_VALUE"""),45323.710960648146)</f>
        <v>45323.71096</v>
      </c>
      <c r="C306" s="5" t="str">
        <f>IFERROR(__xludf.DUMMYFUNCTION("""COMPUTED_VALUE"""),"purchase")</f>
        <v>purchase</v>
      </c>
      <c r="D306" s="10">
        <f t="shared" si="1"/>
        <v>45323</v>
      </c>
      <c r="E306" s="10">
        <f t="shared" si="2"/>
        <v>45320</v>
      </c>
      <c r="F306" s="10">
        <f t="shared" si="3"/>
        <v>45323</v>
      </c>
      <c r="G306" s="11"/>
    </row>
    <row r="307">
      <c r="A307" s="5">
        <f>IFERROR(__xludf.DUMMYFUNCTION("""COMPUTED_VALUE"""),7242.0)</f>
        <v>7242</v>
      </c>
      <c r="B307" s="9">
        <f>IFERROR(__xludf.DUMMYFUNCTION("""COMPUTED_VALUE"""),45323.9325)</f>
        <v>45323.9325</v>
      </c>
      <c r="C307" s="5" t="str">
        <f>IFERROR(__xludf.DUMMYFUNCTION("""COMPUTED_VALUE"""),"purchase")</f>
        <v>purchase</v>
      </c>
      <c r="D307" s="10">
        <f t="shared" si="1"/>
        <v>45323</v>
      </c>
      <c r="E307" s="10">
        <f t="shared" si="2"/>
        <v>45320</v>
      </c>
      <c r="F307" s="10">
        <f t="shared" si="3"/>
        <v>45323</v>
      </c>
      <c r="G307" s="11"/>
    </row>
    <row r="308">
      <c r="A308" s="5">
        <f>IFERROR(__xludf.DUMMYFUNCTION("""COMPUTED_VALUE"""),6276.0)</f>
        <v>6276</v>
      </c>
      <c r="B308" s="9">
        <f>IFERROR(__xludf.DUMMYFUNCTION("""COMPUTED_VALUE"""),45324.14673611111)</f>
        <v>45324.14674</v>
      </c>
      <c r="C308" s="5" t="str">
        <f>IFERROR(__xludf.DUMMYFUNCTION("""COMPUTED_VALUE"""),"purchase")</f>
        <v>purchase</v>
      </c>
      <c r="D308" s="10">
        <f t="shared" si="1"/>
        <v>45324</v>
      </c>
      <c r="E308" s="10">
        <f t="shared" si="2"/>
        <v>45320</v>
      </c>
      <c r="F308" s="10">
        <f t="shared" si="3"/>
        <v>45323</v>
      </c>
      <c r="G308" s="11"/>
    </row>
    <row r="309">
      <c r="A309" s="5">
        <f>IFERROR(__xludf.DUMMYFUNCTION("""COMPUTED_VALUE"""),7502.0)</f>
        <v>7502</v>
      </c>
      <c r="B309" s="9">
        <f>IFERROR(__xludf.DUMMYFUNCTION("""COMPUTED_VALUE"""),45324.162569444445)</f>
        <v>45324.16257</v>
      </c>
      <c r="C309" s="5" t="str">
        <f>IFERROR(__xludf.DUMMYFUNCTION("""COMPUTED_VALUE"""),"purchase")</f>
        <v>purchase</v>
      </c>
      <c r="D309" s="10">
        <f t="shared" si="1"/>
        <v>45324</v>
      </c>
      <c r="E309" s="10">
        <f t="shared" si="2"/>
        <v>45320</v>
      </c>
      <c r="F309" s="10">
        <f t="shared" si="3"/>
        <v>45323</v>
      </c>
      <c r="G309" s="11"/>
    </row>
    <row r="310">
      <c r="A310" s="5">
        <f>IFERROR(__xludf.DUMMYFUNCTION("""COMPUTED_VALUE"""),6004.0)</f>
        <v>6004</v>
      </c>
      <c r="B310" s="9">
        <f>IFERROR(__xludf.DUMMYFUNCTION("""COMPUTED_VALUE"""),45324.38517361111)</f>
        <v>45324.38517</v>
      </c>
      <c r="C310" s="5" t="str">
        <f>IFERROR(__xludf.DUMMYFUNCTION("""COMPUTED_VALUE"""),"purchase")</f>
        <v>purchase</v>
      </c>
      <c r="D310" s="10">
        <f t="shared" si="1"/>
        <v>45324</v>
      </c>
      <c r="E310" s="10">
        <f t="shared" si="2"/>
        <v>45320</v>
      </c>
      <c r="F310" s="10">
        <f t="shared" si="3"/>
        <v>45323</v>
      </c>
      <c r="G310" s="11"/>
    </row>
    <row r="311">
      <c r="A311" s="5">
        <f>IFERROR(__xludf.DUMMYFUNCTION("""COMPUTED_VALUE"""),7031.0)</f>
        <v>7031</v>
      </c>
      <c r="B311" s="9">
        <f>IFERROR(__xludf.DUMMYFUNCTION("""COMPUTED_VALUE"""),45324.46228009259)</f>
        <v>45324.46228</v>
      </c>
      <c r="C311" s="5" t="str">
        <f>IFERROR(__xludf.DUMMYFUNCTION("""COMPUTED_VALUE"""),"purchase")</f>
        <v>purchase</v>
      </c>
      <c r="D311" s="10">
        <f t="shared" si="1"/>
        <v>45324</v>
      </c>
      <c r="E311" s="10">
        <f t="shared" si="2"/>
        <v>45320</v>
      </c>
      <c r="F311" s="10">
        <f t="shared" si="3"/>
        <v>45323</v>
      </c>
      <c r="G311" s="11"/>
    </row>
    <row r="312">
      <c r="A312" s="5">
        <f>IFERROR(__xludf.DUMMYFUNCTION("""COMPUTED_VALUE"""),89.0)</f>
        <v>89</v>
      </c>
      <c r="B312" s="9">
        <f>IFERROR(__xludf.DUMMYFUNCTION("""COMPUTED_VALUE"""),45324.475335648145)</f>
        <v>45324.47534</v>
      </c>
      <c r="C312" s="5" t="str">
        <f>IFERROR(__xludf.DUMMYFUNCTION("""COMPUTED_VALUE"""),"purchase")</f>
        <v>purchase</v>
      </c>
      <c r="D312" s="10">
        <f t="shared" si="1"/>
        <v>45324</v>
      </c>
      <c r="E312" s="10">
        <f t="shared" si="2"/>
        <v>45320</v>
      </c>
      <c r="F312" s="10">
        <f t="shared" si="3"/>
        <v>45323</v>
      </c>
      <c r="G312" s="11"/>
    </row>
    <row r="313">
      <c r="A313" s="5">
        <f>IFERROR(__xludf.DUMMYFUNCTION("""COMPUTED_VALUE"""),6554.0)</f>
        <v>6554</v>
      </c>
      <c r="B313" s="9">
        <f>IFERROR(__xludf.DUMMYFUNCTION("""COMPUTED_VALUE"""),45324.50540509259)</f>
        <v>45324.50541</v>
      </c>
      <c r="C313" s="5" t="str">
        <f>IFERROR(__xludf.DUMMYFUNCTION("""COMPUTED_VALUE"""),"purchase")</f>
        <v>purchase</v>
      </c>
      <c r="D313" s="10">
        <f t="shared" si="1"/>
        <v>45324</v>
      </c>
      <c r="E313" s="10">
        <f t="shared" si="2"/>
        <v>45320</v>
      </c>
      <c r="F313" s="10">
        <f t="shared" si="3"/>
        <v>45323</v>
      </c>
      <c r="G313" s="11"/>
    </row>
    <row r="314">
      <c r="A314" s="5">
        <f>IFERROR(__xludf.DUMMYFUNCTION("""COMPUTED_VALUE"""),5275.0)</f>
        <v>5275</v>
      </c>
      <c r="B314" s="9">
        <f>IFERROR(__xludf.DUMMYFUNCTION("""COMPUTED_VALUE"""),45324.65385416667)</f>
        <v>45324.65385</v>
      </c>
      <c r="C314" s="5" t="str">
        <f>IFERROR(__xludf.DUMMYFUNCTION("""COMPUTED_VALUE"""),"purchase")</f>
        <v>purchase</v>
      </c>
      <c r="D314" s="10">
        <f t="shared" si="1"/>
        <v>45324</v>
      </c>
      <c r="E314" s="10">
        <f t="shared" si="2"/>
        <v>45320</v>
      </c>
      <c r="F314" s="10">
        <f t="shared" si="3"/>
        <v>45323</v>
      </c>
      <c r="G314" s="11"/>
    </row>
    <row r="315">
      <c r="A315" s="5">
        <f>IFERROR(__xludf.DUMMYFUNCTION("""COMPUTED_VALUE"""),1465.0)</f>
        <v>1465</v>
      </c>
      <c r="B315" s="9">
        <f>IFERROR(__xludf.DUMMYFUNCTION("""COMPUTED_VALUE"""),45324.70413194445)</f>
        <v>45324.70413</v>
      </c>
      <c r="C315" s="5" t="str">
        <f>IFERROR(__xludf.DUMMYFUNCTION("""COMPUTED_VALUE"""),"purchase")</f>
        <v>purchase</v>
      </c>
      <c r="D315" s="10">
        <f t="shared" si="1"/>
        <v>45324</v>
      </c>
      <c r="E315" s="10">
        <f t="shared" si="2"/>
        <v>45320</v>
      </c>
      <c r="F315" s="10">
        <f t="shared" si="3"/>
        <v>45323</v>
      </c>
      <c r="G315" s="11"/>
    </row>
    <row r="316">
      <c r="A316" s="5">
        <f>IFERROR(__xludf.DUMMYFUNCTION("""COMPUTED_VALUE"""),6932.0)</f>
        <v>6932</v>
      </c>
      <c r="B316" s="9">
        <f>IFERROR(__xludf.DUMMYFUNCTION("""COMPUTED_VALUE"""),45324.82597222222)</f>
        <v>45324.82597</v>
      </c>
      <c r="C316" s="5" t="str">
        <f>IFERROR(__xludf.DUMMYFUNCTION("""COMPUTED_VALUE"""),"purchase")</f>
        <v>purchase</v>
      </c>
      <c r="D316" s="10">
        <f t="shared" si="1"/>
        <v>45324</v>
      </c>
      <c r="E316" s="10">
        <f t="shared" si="2"/>
        <v>45320</v>
      </c>
      <c r="F316" s="10">
        <f t="shared" si="3"/>
        <v>45323</v>
      </c>
      <c r="G316" s="11"/>
    </row>
    <row r="317">
      <c r="A317" s="5">
        <f>IFERROR(__xludf.DUMMYFUNCTION("""COMPUTED_VALUE"""),6888.0)</f>
        <v>6888</v>
      </c>
      <c r="B317" s="9">
        <f>IFERROR(__xludf.DUMMYFUNCTION("""COMPUTED_VALUE"""),45324.89188657407)</f>
        <v>45324.89189</v>
      </c>
      <c r="C317" s="5" t="str">
        <f>IFERROR(__xludf.DUMMYFUNCTION("""COMPUTED_VALUE"""),"purchase")</f>
        <v>purchase</v>
      </c>
      <c r="D317" s="10">
        <f t="shared" si="1"/>
        <v>45324</v>
      </c>
      <c r="E317" s="10">
        <f t="shared" si="2"/>
        <v>45320</v>
      </c>
      <c r="F317" s="10">
        <f t="shared" si="3"/>
        <v>45323</v>
      </c>
      <c r="G317" s="11"/>
    </row>
    <row r="318">
      <c r="A318" s="5">
        <f>IFERROR(__xludf.DUMMYFUNCTION("""COMPUTED_VALUE"""),348.0)</f>
        <v>348</v>
      </c>
      <c r="B318" s="9">
        <f>IFERROR(__xludf.DUMMYFUNCTION("""COMPUTED_VALUE"""),45324.9937037037)</f>
        <v>45324.9937</v>
      </c>
      <c r="C318" s="5" t="str">
        <f>IFERROR(__xludf.DUMMYFUNCTION("""COMPUTED_VALUE"""),"purchase")</f>
        <v>purchase</v>
      </c>
      <c r="D318" s="10">
        <f t="shared" si="1"/>
        <v>45324</v>
      </c>
      <c r="E318" s="10">
        <f t="shared" si="2"/>
        <v>45320</v>
      </c>
      <c r="F318" s="10">
        <f t="shared" si="3"/>
        <v>45323</v>
      </c>
      <c r="G318" s="11"/>
    </row>
    <row r="319">
      <c r="A319" s="5">
        <f>IFERROR(__xludf.DUMMYFUNCTION("""COMPUTED_VALUE"""),6227.0)</f>
        <v>6227</v>
      </c>
      <c r="B319" s="9">
        <f>IFERROR(__xludf.DUMMYFUNCTION("""COMPUTED_VALUE"""),45325.12912037037)</f>
        <v>45325.12912</v>
      </c>
      <c r="C319" s="5" t="str">
        <f>IFERROR(__xludf.DUMMYFUNCTION("""COMPUTED_VALUE"""),"purchase")</f>
        <v>purchase</v>
      </c>
      <c r="D319" s="10">
        <f t="shared" si="1"/>
        <v>45325</v>
      </c>
      <c r="E319" s="10">
        <f t="shared" si="2"/>
        <v>45320</v>
      </c>
      <c r="F319" s="10">
        <f t="shared" si="3"/>
        <v>45323</v>
      </c>
      <c r="G319" s="11"/>
    </row>
    <row r="320">
      <c r="A320" s="5">
        <f>IFERROR(__xludf.DUMMYFUNCTION("""COMPUTED_VALUE"""),2234.0)</f>
        <v>2234</v>
      </c>
      <c r="B320" s="9">
        <f>IFERROR(__xludf.DUMMYFUNCTION("""COMPUTED_VALUE"""),45325.17039351852)</f>
        <v>45325.17039</v>
      </c>
      <c r="C320" s="5" t="str">
        <f>IFERROR(__xludf.DUMMYFUNCTION("""COMPUTED_VALUE"""),"purchase")</f>
        <v>purchase</v>
      </c>
      <c r="D320" s="10">
        <f t="shared" si="1"/>
        <v>45325</v>
      </c>
      <c r="E320" s="10">
        <f t="shared" si="2"/>
        <v>45320</v>
      </c>
      <c r="F320" s="10">
        <f t="shared" si="3"/>
        <v>45323</v>
      </c>
      <c r="G320" s="11"/>
    </row>
    <row r="321">
      <c r="A321" s="5">
        <f>IFERROR(__xludf.DUMMYFUNCTION("""COMPUTED_VALUE"""),5820.0)</f>
        <v>5820</v>
      </c>
      <c r="B321" s="9">
        <f>IFERROR(__xludf.DUMMYFUNCTION("""COMPUTED_VALUE"""),45325.228796296295)</f>
        <v>45325.2288</v>
      </c>
      <c r="C321" s="5" t="str">
        <f>IFERROR(__xludf.DUMMYFUNCTION("""COMPUTED_VALUE"""),"purchase")</f>
        <v>purchase</v>
      </c>
      <c r="D321" s="10">
        <f t="shared" si="1"/>
        <v>45325</v>
      </c>
      <c r="E321" s="10">
        <f t="shared" si="2"/>
        <v>45320</v>
      </c>
      <c r="F321" s="10">
        <f t="shared" si="3"/>
        <v>45323</v>
      </c>
      <c r="G321" s="11"/>
    </row>
    <row r="322">
      <c r="A322" s="5">
        <f>IFERROR(__xludf.DUMMYFUNCTION("""COMPUTED_VALUE"""),6833.0)</f>
        <v>6833</v>
      </c>
      <c r="B322" s="9">
        <f>IFERROR(__xludf.DUMMYFUNCTION("""COMPUTED_VALUE"""),45325.27329861111)</f>
        <v>45325.2733</v>
      </c>
      <c r="C322" s="5" t="str">
        <f>IFERROR(__xludf.DUMMYFUNCTION("""COMPUTED_VALUE"""),"purchase")</f>
        <v>purchase</v>
      </c>
      <c r="D322" s="10">
        <f t="shared" si="1"/>
        <v>45325</v>
      </c>
      <c r="E322" s="10">
        <f t="shared" si="2"/>
        <v>45320</v>
      </c>
      <c r="F322" s="10">
        <f t="shared" si="3"/>
        <v>45323</v>
      </c>
      <c r="G322" s="11"/>
    </row>
    <row r="323">
      <c r="A323" s="5">
        <f>IFERROR(__xludf.DUMMYFUNCTION("""COMPUTED_VALUE"""),5289.0)</f>
        <v>5289</v>
      </c>
      <c r="B323" s="9">
        <f>IFERROR(__xludf.DUMMYFUNCTION("""COMPUTED_VALUE"""),45325.36479166667)</f>
        <v>45325.36479</v>
      </c>
      <c r="C323" s="5" t="str">
        <f>IFERROR(__xludf.DUMMYFUNCTION("""COMPUTED_VALUE"""),"purchase")</f>
        <v>purchase</v>
      </c>
      <c r="D323" s="10">
        <f t="shared" si="1"/>
        <v>45325</v>
      </c>
      <c r="E323" s="10">
        <f t="shared" si="2"/>
        <v>45320</v>
      </c>
      <c r="F323" s="10">
        <f t="shared" si="3"/>
        <v>45323</v>
      </c>
      <c r="G323" s="11"/>
    </row>
    <row r="324">
      <c r="A324" s="5">
        <f>IFERROR(__xludf.DUMMYFUNCTION("""COMPUTED_VALUE"""),4705.0)</f>
        <v>4705</v>
      </c>
      <c r="B324" s="9">
        <f>IFERROR(__xludf.DUMMYFUNCTION("""COMPUTED_VALUE"""),45325.62152777778)</f>
        <v>45325.62153</v>
      </c>
      <c r="C324" s="5" t="str">
        <f>IFERROR(__xludf.DUMMYFUNCTION("""COMPUTED_VALUE"""),"purchase")</f>
        <v>purchase</v>
      </c>
      <c r="D324" s="10">
        <f t="shared" si="1"/>
        <v>45325</v>
      </c>
      <c r="E324" s="10">
        <f t="shared" si="2"/>
        <v>45320</v>
      </c>
      <c r="F324" s="10">
        <f t="shared" si="3"/>
        <v>45323</v>
      </c>
      <c r="G324" s="11"/>
    </row>
    <row r="325">
      <c r="A325" s="5">
        <f>IFERROR(__xludf.DUMMYFUNCTION("""COMPUTED_VALUE"""),1663.0)</f>
        <v>1663</v>
      </c>
      <c r="B325" s="9">
        <f>IFERROR(__xludf.DUMMYFUNCTION("""COMPUTED_VALUE"""),45325.662986111114)</f>
        <v>45325.66299</v>
      </c>
      <c r="C325" s="5" t="str">
        <f>IFERROR(__xludf.DUMMYFUNCTION("""COMPUTED_VALUE"""),"purchase")</f>
        <v>purchase</v>
      </c>
      <c r="D325" s="10">
        <f t="shared" si="1"/>
        <v>45325</v>
      </c>
      <c r="E325" s="10">
        <f t="shared" si="2"/>
        <v>45320</v>
      </c>
      <c r="F325" s="10">
        <f t="shared" si="3"/>
        <v>45323</v>
      </c>
      <c r="G325" s="11"/>
    </row>
    <row r="326">
      <c r="A326" s="5">
        <f>IFERROR(__xludf.DUMMYFUNCTION("""COMPUTED_VALUE"""),6125.0)</f>
        <v>6125</v>
      </c>
      <c r="B326" s="9">
        <f>IFERROR(__xludf.DUMMYFUNCTION("""COMPUTED_VALUE"""),45325.707233796296)</f>
        <v>45325.70723</v>
      </c>
      <c r="C326" s="5" t="str">
        <f>IFERROR(__xludf.DUMMYFUNCTION("""COMPUTED_VALUE"""),"purchase")</f>
        <v>purchase</v>
      </c>
      <c r="D326" s="10">
        <f t="shared" si="1"/>
        <v>45325</v>
      </c>
      <c r="E326" s="10">
        <f t="shared" si="2"/>
        <v>45320</v>
      </c>
      <c r="F326" s="10">
        <f t="shared" si="3"/>
        <v>45323</v>
      </c>
      <c r="G326" s="11"/>
    </row>
    <row r="327">
      <c r="A327" s="5">
        <f>IFERROR(__xludf.DUMMYFUNCTION("""COMPUTED_VALUE"""),2523.0)</f>
        <v>2523</v>
      </c>
      <c r="B327" s="9">
        <f>IFERROR(__xludf.DUMMYFUNCTION("""COMPUTED_VALUE"""),45325.81658564815)</f>
        <v>45325.81659</v>
      </c>
      <c r="C327" s="5" t="str">
        <f>IFERROR(__xludf.DUMMYFUNCTION("""COMPUTED_VALUE"""),"purchase")</f>
        <v>purchase</v>
      </c>
      <c r="D327" s="10">
        <f t="shared" si="1"/>
        <v>45325</v>
      </c>
      <c r="E327" s="10">
        <f t="shared" si="2"/>
        <v>45320</v>
      </c>
      <c r="F327" s="10">
        <f t="shared" si="3"/>
        <v>45323</v>
      </c>
      <c r="G327" s="11"/>
    </row>
    <row r="328">
      <c r="A328" s="5">
        <f>IFERROR(__xludf.DUMMYFUNCTION("""COMPUTED_VALUE"""),1130.0)</f>
        <v>1130</v>
      </c>
      <c r="B328" s="9">
        <f>IFERROR(__xludf.DUMMYFUNCTION("""COMPUTED_VALUE"""),45325.84581018519)</f>
        <v>45325.84581</v>
      </c>
      <c r="C328" s="5" t="str">
        <f>IFERROR(__xludf.DUMMYFUNCTION("""COMPUTED_VALUE"""),"purchase")</f>
        <v>purchase</v>
      </c>
      <c r="D328" s="10">
        <f t="shared" si="1"/>
        <v>45325</v>
      </c>
      <c r="E328" s="10">
        <f t="shared" si="2"/>
        <v>45320</v>
      </c>
      <c r="F328" s="10">
        <f t="shared" si="3"/>
        <v>45323</v>
      </c>
      <c r="G328" s="11"/>
    </row>
    <row r="329">
      <c r="A329" s="5">
        <f>IFERROR(__xludf.DUMMYFUNCTION("""COMPUTED_VALUE"""),7979.0)</f>
        <v>7979</v>
      </c>
      <c r="B329" s="9">
        <f>IFERROR(__xludf.DUMMYFUNCTION("""COMPUTED_VALUE"""),45325.89822916667)</f>
        <v>45325.89823</v>
      </c>
      <c r="C329" s="5" t="str">
        <f>IFERROR(__xludf.DUMMYFUNCTION("""COMPUTED_VALUE"""),"purchase")</f>
        <v>purchase</v>
      </c>
      <c r="D329" s="10">
        <f t="shared" si="1"/>
        <v>45325</v>
      </c>
      <c r="E329" s="10">
        <f t="shared" si="2"/>
        <v>45320</v>
      </c>
      <c r="F329" s="10">
        <f t="shared" si="3"/>
        <v>45323</v>
      </c>
      <c r="G329" s="11"/>
    </row>
    <row r="330">
      <c r="A330" s="5">
        <f>IFERROR(__xludf.DUMMYFUNCTION("""COMPUTED_VALUE"""),2648.0)</f>
        <v>2648</v>
      </c>
      <c r="B330" s="9">
        <f>IFERROR(__xludf.DUMMYFUNCTION("""COMPUTED_VALUE"""),45325.994050925925)</f>
        <v>45325.99405</v>
      </c>
      <c r="C330" s="5" t="str">
        <f>IFERROR(__xludf.DUMMYFUNCTION("""COMPUTED_VALUE"""),"purchase")</f>
        <v>purchase</v>
      </c>
      <c r="D330" s="10">
        <f t="shared" si="1"/>
        <v>45325</v>
      </c>
      <c r="E330" s="10">
        <f t="shared" si="2"/>
        <v>45320</v>
      </c>
      <c r="F330" s="10">
        <f t="shared" si="3"/>
        <v>45323</v>
      </c>
      <c r="G330" s="11"/>
    </row>
    <row r="331">
      <c r="A331" s="5">
        <f>IFERROR(__xludf.DUMMYFUNCTION("""COMPUTED_VALUE"""),1202.0)</f>
        <v>1202</v>
      </c>
      <c r="B331" s="9">
        <f>IFERROR(__xludf.DUMMYFUNCTION("""COMPUTED_VALUE"""),45326.05268518518)</f>
        <v>45326.05269</v>
      </c>
      <c r="C331" s="5" t="str">
        <f>IFERROR(__xludf.DUMMYFUNCTION("""COMPUTED_VALUE"""),"purchase")</f>
        <v>purchase</v>
      </c>
      <c r="D331" s="10">
        <f t="shared" si="1"/>
        <v>45326</v>
      </c>
      <c r="E331" s="10">
        <f t="shared" si="2"/>
        <v>45320</v>
      </c>
      <c r="F331" s="10">
        <f t="shared" si="3"/>
        <v>45323</v>
      </c>
      <c r="G331" s="11"/>
    </row>
    <row r="332">
      <c r="A332" s="5">
        <f>IFERROR(__xludf.DUMMYFUNCTION("""COMPUTED_VALUE"""),706.0)</f>
        <v>706</v>
      </c>
      <c r="B332" s="9">
        <f>IFERROR(__xludf.DUMMYFUNCTION("""COMPUTED_VALUE"""),45326.163148148145)</f>
        <v>45326.16315</v>
      </c>
      <c r="C332" s="5" t="str">
        <f>IFERROR(__xludf.DUMMYFUNCTION("""COMPUTED_VALUE"""),"purchase")</f>
        <v>purchase</v>
      </c>
      <c r="D332" s="10">
        <f t="shared" si="1"/>
        <v>45326</v>
      </c>
      <c r="E332" s="10">
        <f t="shared" si="2"/>
        <v>45320</v>
      </c>
      <c r="F332" s="10">
        <f t="shared" si="3"/>
        <v>45323</v>
      </c>
      <c r="G332" s="11"/>
    </row>
    <row r="333">
      <c r="A333" s="5">
        <f>IFERROR(__xludf.DUMMYFUNCTION("""COMPUTED_VALUE"""),6925.0)</f>
        <v>6925</v>
      </c>
      <c r="B333" s="9">
        <f>IFERROR(__xludf.DUMMYFUNCTION("""COMPUTED_VALUE"""),45326.16972222222)</f>
        <v>45326.16972</v>
      </c>
      <c r="C333" s="5" t="str">
        <f>IFERROR(__xludf.DUMMYFUNCTION("""COMPUTED_VALUE"""),"purchase")</f>
        <v>purchase</v>
      </c>
      <c r="D333" s="10">
        <f t="shared" si="1"/>
        <v>45326</v>
      </c>
      <c r="E333" s="10">
        <f t="shared" si="2"/>
        <v>45320</v>
      </c>
      <c r="F333" s="10">
        <f t="shared" si="3"/>
        <v>45323</v>
      </c>
      <c r="G333" s="11"/>
    </row>
    <row r="334">
      <c r="A334" s="5">
        <f>IFERROR(__xludf.DUMMYFUNCTION("""COMPUTED_VALUE"""),1576.0)</f>
        <v>1576</v>
      </c>
      <c r="B334" s="9">
        <f>IFERROR(__xludf.DUMMYFUNCTION("""COMPUTED_VALUE"""),45326.19752314815)</f>
        <v>45326.19752</v>
      </c>
      <c r="C334" s="5" t="str">
        <f>IFERROR(__xludf.DUMMYFUNCTION("""COMPUTED_VALUE"""),"purchase")</f>
        <v>purchase</v>
      </c>
      <c r="D334" s="10">
        <f t="shared" si="1"/>
        <v>45326</v>
      </c>
      <c r="E334" s="10">
        <f t="shared" si="2"/>
        <v>45320</v>
      </c>
      <c r="F334" s="10">
        <f t="shared" si="3"/>
        <v>45323</v>
      </c>
      <c r="G334" s="11"/>
    </row>
    <row r="335">
      <c r="A335" s="5">
        <f>IFERROR(__xludf.DUMMYFUNCTION("""COMPUTED_VALUE"""),3694.0)</f>
        <v>3694</v>
      </c>
      <c r="B335" s="9">
        <f>IFERROR(__xludf.DUMMYFUNCTION("""COMPUTED_VALUE"""),45326.291921296295)</f>
        <v>45326.29192</v>
      </c>
      <c r="C335" s="5" t="str">
        <f>IFERROR(__xludf.DUMMYFUNCTION("""COMPUTED_VALUE"""),"purchase")</f>
        <v>purchase</v>
      </c>
      <c r="D335" s="10">
        <f t="shared" si="1"/>
        <v>45326</v>
      </c>
      <c r="E335" s="10">
        <f t="shared" si="2"/>
        <v>45320</v>
      </c>
      <c r="F335" s="10">
        <f t="shared" si="3"/>
        <v>45323</v>
      </c>
      <c r="G335" s="11"/>
    </row>
    <row r="336">
      <c r="A336" s="5">
        <f>IFERROR(__xludf.DUMMYFUNCTION("""COMPUTED_VALUE"""),5931.0)</f>
        <v>5931</v>
      </c>
      <c r="B336" s="9">
        <f>IFERROR(__xludf.DUMMYFUNCTION("""COMPUTED_VALUE"""),45326.34107638889)</f>
        <v>45326.34108</v>
      </c>
      <c r="C336" s="5" t="str">
        <f>IFERROR(__xludf.DUMMYFUNCTION("""COMPUTED_VALUE"""),"purchase")</f>
        <v>purchase</v>
      </c>
      <c r="D336" s="10">
        <f t="shared" si="1"/>
        <v>45326</v>
      </c>
      <c r="E336" s="10">
        <f t="shared" si="2"/>
        <v>45320</v>
      </c>
      <c r="F336" s="10">
        <f t="shared" si="3"/>
        <v>45323</v>
      </c>
      <c r="G336" s="11"/>
    </row>
    <row r="337">
      <c r="A337" s="5">
        <f>IFERROR(__xludf.DUMMYFUNCTION("""COMPUTED_VALUE"""),4849.0)</f>
        <v>4849</v>
      </c>
      <c r="B337" s="9">
        <f>IFERROR(__xludf.DUMMYFUNCTION("""COMPUTED_VALUE"""),45326.455462962964)</f>
        <v>45326.45546</v>
      </c>
      <c r="C337" s="5" t="str">
        <f>IFERROR(__xludf.DUMMYFUNCTION("""COMPUTED_VALUE"""),"purchase")</f>
        <v>purchase</v>
      </c>
      <c r="D337" s="10">
        <f t="shared" si="1"/>
        <v>45326</v>
      </c>
      <c r="E337" s="10">
        <f t="shared" si="2"/>
        <v>45320</v>
      </c>
      <c r="F337" s="10">
        <f t="shared" si="3"/>
        <v>45323</v>
      </c>
      <c r="G337" s="11"/>
    </row>
    <row r="338">
      <c r="A338" s="5">
        <f>IFERROR(__xludf.DUMMYFUNCTION("""COMPUTED_VALUE"""),2127.0)</f>
        <v>2127</v>
      </c>
      <c r="B338" s="9">
        <f>IFERROR(__xludf.DUMMYFUNCTION("""COMPUTED_VALUE"""),45326.50508101852)</f>
        <v>45326.50508</v>
      </c>
      <c r="C338" s="5" t="str">
        <f>IFERROR(__xludf.DUMMYFUNCTION("""COMPUTED_VALUE"""),"purchase")</f>
        <v>purchase</v>
      </c>
      <c r="D338" s="10">
        <f t="shared" si="1"/>
        <v>45326</v>
      </c>
      <c r="E338" s="10">
        <f t="shared" si="2"/>
        <v>45320</v>
      </c>
      <c r="F338" s="10">
        <f t="shared" si="3"/>
        <v>45323</v>
      </c>
      <c r="G338" s="11"/>
    </row>
    <row r="339">
      <c r="A339" s="5">
        <f>IFERROR(__xludf.DUMMYFUNCTION("""COMPUTED_VALUE"""),995.0)</f>
        <v>995</v>
      </c>
      <c r="B339" s="9">
        <f>IFERROR(__xludf.DUMMYFUNCTION("""COMPUTED_VALUE"""),45326.51075231482)</f>
        <v>45326.51075</v>
      </c>
      <c r="C339" s="5" t="str">
        <f>IFERROR(__xludf.DUMMYFUNCTION("""COMPUTED_VALUE"""),"purchase")</f>
        <v>purchase</v>
      </c>
      <c r="D339" s="10">
        <f t="shared" si="1"/>
        <v>45326</v>
      </c>
      <c r="E339" s="10">
        <f t="shared" si="2"/>
        <v>45320</v>
      </c>
      <c r="F339" s="10">
        <f t="shared" si="3"/>
        <v>45323</v>
      </c>
      <c r="G339" s="11"/>
    </row>
    <row r="340">
      <c r="A340" s="5">
        <f>IFERROR(__xludf.DUMMYFUNCTION("""COMPUTED_VALUE"""),5959.0)</f>
        <v>5959</v>
      </c>
      <c r="B340" s="9">
        <f>IFERROR(__xludf.DUMMYFUNCTION("""COMPUTED_VALUE"""),45326.74197916667)</f>
        <v>45326.74198</v>
      </c>
      <c r="C340" s="5" t="str">
        <f>IFERROR(__xludf.DUMMYFUNCTION("""COMPUTED_VALUE"""),"purchase")</f>
        <v>purchase</v>
      </c>
      <c r="D340" s="10">
        <f t="shared" si="1"/>
        <v>45326</v>
      </c>
      <c r="E340" s="10">
        <f t="shared" si="2"/>
        <v>45320</v>
      </c>
      <c r="F340" s="10">
        <f t="shared" si="3"/>
        <v>45323</v>
      </c>
      <c r="G340" s="11"/>
    </row>
    <row r="341">
      <c r="A341" s="5">
        <f>IFERROR(__xludf.DUMMYFUNCTION("""COMPUTED_VALUE"""),1057.0)</f>
        <v>1057</v>
      </c>
      <c r="B341" s="9">
        <f>IFERROR(__xludf.DUMMYFUNCTION("""COMPUTED_VALUE"""),45326.845300925925)</f>
        <v>45326.8453</v>
      </c>
      <c r="C341" s="5" t="str">
        <f>IFERROR(__xludf.DUMMYFUNCTION("""COMPUTED_VALUE"""),"purchase")</f>
        <v>purchase</v>
      </c>
      <c r="D341" s="10">
        <f t="shared" si="1"/>
        <v>45326</v>
      </c>
      <c r="E341" s="10">
        <f t="shared" si="2"/>
        <v>45320</v>
      </c>
      <c r="F341" s="10">
        <f t="shared" si="3"/>
        <v>45323</v>
      </c>
      <c r="G341" s="11"/>
    </row>
    <row r="342">
      <c r="A342" s="5">
        <f>IFERROR(__xludf.DUMMYFUNCTION("""COMPUTED_VALUE"""),3356.0)</f>
        <v>3356</v>
      </c>
      <c r="B342" s="9">
        <f>IFERROR(__xludf.DUMMYFUNCTION("""COMPUTED_VALUE"""),45326.938113425924)</f>
        <v>45326.93811</v>
      </c>
      <c r="C342" s="5" t="str">
        <f>IFERROR(__xludf.DUMMYFUNCTION("""COMPUTED_VALUE"""),"purchase")</f>
        <v>purchase</v>
      </c>
      <c r="D342" s="10">
        <f t="shared" si="1"/>
        <v>45326</v>
      </c>
      <c r="E342" s="10">
        <f t="shared" si="2"/>
        <v>45320</v>
      </c>
      <c r="F342" s="10">
        <f t="shared" si="3"/>
        <v>45323</v>
      </c>
      <c r="G342" s="11"/>
    </row>
    <row r="343">
      <c r="A343" s="5">
        <f>IFERROR(__xludf.DUMMYFUNCTION("""COMPUTED_VALUE"""),6283.0)</f>
        <v>6283</v>
      </c>
      <c r="B343" s="9">
        <f>IFERROR(__xludf.DUMMYFUNCTION("""COMPUTED_VALUE"""),45326.97796296296)</f>
        <v>45326.97796</v>
      </c>
      <c r="C343" s="5" t="str">
        <f>IFERROR(__xludf.DUMMYFUNCTION("""COMPUTED_VALUE"""),"purchase")</f>
        <v>purchase</v>
      </c>
      <c r="D343" s="10">
        <f t="shared" si="1"/>
        <v>45326</v>
      </c>
      <c r="E343" s="10">
        <f t="shared" si="2"/>
        <v>45320</v>
      </c>
      <c r="F343" s="10">
        <f t="shared" si="3"/>
        <v>45323</v>
      </c>
      <c r="G343" s="11"/>
    </row>
    <row r="344">
      <c r="A344" s="5">
        <f>IFERROR(__xludf.DUMMYFUNCTION("""COMPUTED_VALUE"""),2692.0)</f>
        <v>2692</v>
      </c>
      <c r="B344" s="9">
        <f>IFERROR(__xludf.DUMMYFUNCTION("""COMPUTED_VALUE"""),45327.12384259259)</f>
        <v>45327.12384</v>
      </c>
      <c r="C344" s="5" t="str">
        <f>IFERROR(__xludf.DUMMYFUNCTION("""COMPUTED_VALUE"""),"purchase")</f>
        <v>purchase</v>
      </c>
      <c r="D344" s="10">
        <f t="shared" si="1"/>
        <v>45327</v>
      </c>
      <c r="E344" s="10">
        <f t="shared" si="2"/>
        <v>45327</v>
      </c>
      <c r="F344" s="10">
        <f t="shared" si="3"/>
        <v>45323</v>
      </c>
      <c r="G344" s="11"/>
    </row>
    <row r="345">
      <c r="A345" s="5">
        <f>IFERROR(__xludf.DUMMYFUNCTION("""COMPUTED_VALUE"""),2926.0)</f>
        <v>2926</v>
      </c>
      <c r="B345" s="9">
        <f>IFERROR(__xludf.DUMMYFUNCTION("""COMPUTED_VALUE"""),45327.200370370374)</f>
        <v>45327.20037</v>
      </c>
      <c r="C345" s="5" t="str">
        <f>IFERROR(__xludf.DUMMYFUNCTION("""COMPUTED_VALUE"""),"purchase")</f>
        <v>purchase</v>
      </c>
      <c r="D345" s="10">
        <f t="shared" si="1"/>
        <v>45327</v>
      </c>
      <c r="E345" s="10">
        <f t="shared" si="2"/>
        <v>45327</v>
      </c>
      <c r="F345" s="10">
        <f t="shared" si="3"/>
        <v>45323</v>
      </c>
      <c r="G345" s="11"/>
    </row>
    <row r="346">
      <c r="A346" s="5">
        <f>IFERROR(__xludf.DUMMYFUNCTION("""COMPUTED_VALUE"""),7266.0)</f>
        <v>7266</v>
      </c>
      <c r="B346" s="9">
        <f>IFERROR(__xludf.DUMMYFUNCTION("""COMPUTED_VALUE"""),45327.242800925924)</f>
        <v>45327.2428</v>
      </c>
      <c r="C346" s="5" t="str">
        <f>IFERROR(__xludf.DUMMYFUNCTION("""COMPUTED_VALUE"""),"purchase")</f>
        <v>purchase</v>
      </c>
      <c r="D346" s="10">
        <f t="shared" si="1"/>
        <v>45327</v>
      </c>
      <c r="E346" s="10">
        <f t="shared" si="2"/>
        <v>45327</v>
      </c>
      <c r="F346" s="10">
        <f t="shared" si="3"/>
        <v>45323</v>
      </c>
      <c r="G346" s="11"/>
    </row>
    <row r="347">
      <c r="A347" s="5">
        <f>IFERROR(__xludf.DUMMYFUNCTION("""COMPUTED_VALUE"""),4002.0)</f>
        <v>4002</v>
      </c>
      <c r="B347" s="9">
        <f>IFERROR(__xludf.DUMMYFUNCTION("""COMPUTED_VALUE"""),45327.352013888885)</f>
        <v>45327.35201</v>
      </c>
      <c r="C347" s="5" t="str">
        <f>IFERROR(__xludf.DUMMYFUNCTION("""COMPUTED_VALUE"""),"purchase")</f>
        <v>purchase</v>
      </c>
      <c r="D347" s="10">
        <f t="shared" si="1"/>
        <v>45327</v>
      </c>
      <c r="E347" s="10">
        <f t="shared" si="2"/>
        <v>45327</v>
      </c>
      <c r="F347" s="10">
        <f t="shared" si="3"/>
        <v>45323</v>
      </c>
      <c r="G347" s="11"/>
    </row>
    <row r="348">
      <c r="A348" s="5">
        <f>IFERROR(__xludf.DUMMYFUNCTION("""COMPUTED_VALUE"""),7642.0)</f>
        <v>7642</v>
      </c>
      <c r="B348" s="9">
        <f>IFERROR(__xludf.DUMMYFUNCTION("""COMPUTED_VALUE"""),45327.35841435185)</f>
        <v>45327.35841</v>
      </c>
      <c r="C348" s="5" t="str">
        <f>IFERROR(__xludf.DUMMYFUNCTION("""COMPUTED_VALUE"""),"purchase")</f>
        <v>purchase</v>
      </c>
      <c r="D348" s="10">
        <f t="shared" si="1"/>
        <v>45327</v>
      </c>
      <c r="E348" s="10">
        <f t="shared" si="2"/>
        <v>45327</v>
      </c>
      <c r="F348" s="10">
        <f t="shared" si="3"/>
        <v>45323</v>
      </c>
      <c r="G348" s="11"/>
    </row>
    <row r="349">
      <c r="A349" s="5">
        <f>IFERROR(__xludf.DUMMYFUNCTION("""COMPUTED_VALUE"""),320.0)</f>
        <v>320</v>
      </c>
      <c r="B349" s="9">
        <f>IFERROR(__xludf.DUMMYFUNCTION("""COMPUTED_VALUE"""),45327.39923611111)</f>
        <v>45327.39924</v>
      </c>
      <c r="C349" s="5" t="str">
        <f>IFERROR(__xludf.DUMMYFUNCTION("""COMPUTED_VALUE"""),"purchase")</f>
        <v>purchase</v>
      </c>
      <c r="D349" s="10">
        <f t="shared" si="1"/>
        <v>45327</v>
      </c>
      <c r="E349" s="10">
        <f t="shared" si="2"/>
        <v>45327</v>
      </c>
      <c r="F349" s="10">
        <f t="shared" si="3"/>
        <v>45323</v>
      </c>
      <c r="G349" s="11"/>
    </row>
    <row r="350">
      <c r="A350" s="5">
        <f>IFERROR(__xludf.DUMMYFUNCTION("""COMPUTED_VALUE"""),3188.0)</f>
        <v>3188</v>
      </c>
      <c r="B350" s="9">
        <f>IFERROR(__xludf.DUMMYFUNCTION("""COMPUTED_VALUE"""),45327.63402777778)</f>
        <v>45327.63403</v>
      </c>
      <c r="C350" s="5" t="str">
        <f>IFERROR(__xludf.DUMMYFUNCTION("""COMPUTED_VALUE"""),"purchase")</f>
        <v>purchase</v>
      </c>
      <c r="D350" s="10">
        <f t="shared" si="1"/>
        <v>45327</v>
      </c>
      <c r="E350" s="10">
        <f t="shared" si="2"/>
        <v>45327</v>
      </c>
      <c r="F350" s="10">
        <f t="shared" si="3"/>
        <v>45323</v>
      </c>
      <c r="G350" s="11"/>
    </row>
    <row r="351">
      <c r="A351" s="5">
        <f>IFERROR(__xludf.DUMMYFUNCTION("""COMPUTED_VALUE"""),7758.0)</f>
        <v>7758</v>
      </c>
      <c r="B351" s="9">
        <f>IFERROR(__xludf.DUMMYFUNCTION("""COMPUTED_VALUE"""),45327.66200231481)</f>
        <v>45327.662</v>
      </c>
      <c r="C351" s="5" t="str">
        <f>IFERROR(__xludf.DUMMYFUNCTION("""COMPUTED_VALUE"""),"purchase")</f>
        <v>purchase</v>
      </c>
      <c r="D351" s="10">
        <f t="shared" si="1"/>
        <v>45327</v>
      </c>
      <c r="E351" s="10">
        <f t="shared" si="2"/>
        <v>45327</v>
      </c>
      <c r="F351" s="10">
        <f t="shared" si="3"/>
        <v>45323</v>
      </c>
      <c r="G351" s="11"/>
    </row>
    <row r="352">
      <c r="A352" s="5">
        <f>IFERROR(__xludf.DUMMYFUNCTION("""COMPUTED_VALUE"""),7754.0)</f>
        <v>7754</v>
      </c>
      <c r="B352" s="9">
        <f>IFERROR(__xludf.DUMMYFUNCTION("""COMPUTED_VALUE"""),45327.68556712963)</f>
        <v>45327.68557</v>
      </c>
      <c r="C352" s="5" t="str">
        <f>IFERROR(__xludf.DUMMYFUNCTION("""COMPUTED_VALUE"""),"purchase")</f>
        <v>purchase</v>
      </c>
      <c r="D352" s="10">
        <f t="shared" si="1"/>
        <v>45327</v>
      </c>
      <c r="E352" s="10">
        <f t="shared" si="2"/>
        <v>45327</v>
      </c>
      <c r="F352" s="10">
        <f t="shared" si="3"/>
        <v>45323</v>
      </c>
      <c r="G352" s="11"/>
    </row>
    <row r="353">
      <c r="A353" s="5">
        <f>IFERROR(__xludf.DUMMYFUNCTION("""COMPUTED_VALUE"""),6986.0)</f>
        <v>6986</v>
      </c>
      <c r="B353" s="9">
        <f>IFERROR(__xludf.DUMMYFUNCTION("""COMPUTED_VALUE"""),45327.72597222222)</f>
        <v>45327.72597</v>
      </c>
      <c r="C353" s="5" t="str">
        <f>IFERROR(__xludf.DUMMYFUNCTION("""COMPUTED_VALUE"""),"purchase")</f>
        <v>purchase</v>
      </c>
      <c r="D353" s="10">
        <f t="shared" si="1"/>
        <v>45327</v>
      </c>
      <c r="E353" s="10">
        <f t="shared" si="2"/>
        <v>45327</v>
      </c>
      <c r="F353" s="10">
        <f t="shared" si="3"/>
        <v>45323</v>
      </c>
      <c r="G353" s="11"/>
    </row>
    <row r="354">
      <c r="A354" s="5">
        <f>IFERROR(__xludf.DUMMYFUNCTION("""COMPUTED_VALUE"""),4767.0)</f>
        <v>4767</v>
      </c>
      <c r="B354" s="9">
        <f>IFERROR(__xludf.DUMMYFUNCTION("""COMPUTED_VALUE"""),45327.84675925926)</f>
        <v>45327.84676</v>
      </c>
      <c r="C354" s="5" t="str">
        <f>IFERROR(__xludf.DUMMYFUNCTION("""COMPUTED_VALUE"""),"purchase")</f>
        <v>purchase</v>
      </c>
      <c r="D354" s="10">
        <f t="shared" si="1"/>
        <v>45327</v>
      </c>
      <c r="E354" s="10">
        <f t="shared" si="2"/>
        <v>45327</v>
      </c>
      <c r="F354" s="10">
        <f t="shared" si="3"/>
        <v>45323</v>
      </c>
      <c r="G354" s="11"/>
    </row>
    <row r="355">
      <c r="A355" s="5">
        <f>IFERROR(__xludf.DUMMYFUNCTION("""COMPUTED_VALUE"""),6703.0)</f>
        <v>6703</v>
      </c>
      <c r="B355" s="9">
        <f>IFERROR(__xludf.DUMMYFUNCTION("""COMPUTED_VALUE"""),45327.86136574074)</f>
        <v>45327.86137</v>
      </c>
      <c r="C355" s="5" t="str">
        <f>IFERROR(__xludf.DUMMYFUNCTION("""COMPUTED_VALUE"""),"purchase")</f>
        <v>purchase</v>
      </c>
      <c r="D355" s="10">
        <f t="shared" si="1"/>
        <v>45327</v>
      </c>
      <c r="E355" s="10">
        <f t="shared" si="2"/>
        <v>45327</v>
      </c>
      <c r="F355" s="10">
        <f t="shared" si="3"/>
        <v>45323</v>
      </c>
      <c r="G355" s="11"/>
    </row>
    <row r="356">
      <c r="A356" s="5">
        <f>IFERROR(__xludf.DUMMYFUNCTION("""COMPUTED_VALUE"""),747.0)</f>
        <v>747</v>
      </c>
      <c r="B356" s="9">
        <f>IFERROR(__xludf.DUMMYFUNCTION("""COMPUTED_VALUE"""),45327.88815972222)</f>
        <v>45327.88816</v>
      </c>
      <c r="C356" s="5" t="str">
        <f>IFERROR(__xludf.DUMMYFUNCTION("""COMPUTED_VALUE"""),"purchase")</f>
        <v>purchase</v>
      </c>
      <c r="D356" s="10">
        <f t="shared" si="1"/>
        <v>45327</v>
      </c>
      <c r="E356" s="10">
        <f t="shared" si="2"/>
        <v>45327</v>
      </c>
      <c r="F356" s="10">
        <f t="shared" si="3"/>
        <v>45323</v>
      </c>
      <c r="G356" s="11"/>
    </row>
    <row r="357">
      <c r="A357" s="5">
        <f>IFERROR(__xludf.DUMMYFUNCTION("""COMPUTED_VALUE"""),3722.0)</f>
        <v>3722</v>
      </c>
      <c r="B357" s="9">
        <f>IFERROR(__xludf.DUMMYFUNCTION("""COMPUTED_VALUE"""),45327.909780092596)</f>
        <v>45327.90978</v>
      </c>
      <c r="C357" s="5" t="str">
        <f>IFERROR(__xludf.DUMMYFUNCTION("""COMPUTED_VALUE"""),"purchase")</f>
        <v>purchase</v>
      </c>
      <c r="D357" s="10">
        <f t="shared" si="1"/>
        <v>45327</v>
      </c>
      <c r="E357" s="10">
        <f t="shared" si="2"/>
        <v>45327</v>
      </c>
      <c r="F357" s="10">
        <f t="shared" si="3"/>
        <v>45323</v>
      </c>
      <c r="G357" s="11"/>
    </row>
    <row r="358">
      <c r="A358" s="5">
        <f>IFERROR(__xludf.DUMMYFUNCTION("""COMPUTED_VALUE"""),1601.0)</f>
        <v>1601</v>
      </c>
      <c r="B358" s="9">
        <f>IFERROR(__xludf.DUMMYFUNCTION("""COMPUTED_VALUE"""),45328.06434027778)</f>
        <v>45328.06434</v>
      </c>
      <c r="C358" s="5" t="str">
        <f>IFERROR(__xludf.DUMMYFUNCTION("""COMPUTED_VALUE"""),"purchase")</f>
        <v>purchase</v>
      </c>
      <c r="D358" s="10">
        <f t="shared" si="1"/>
        <v>45328</v>
      </c>
      <c r="E358" s="10">
        <f t="shared" si="2"/>
        <v>45327</v>
      </c>
      <c r="F358" s="10">
        <f t="shared" si="3"/>
        <v>45323</v>
      </c>
      <c r="G358" s="11"/>
    </row>
    <row r="359">
      <c r="A359" s="5">
        <f>IFERROR(__xludf.DUMMYFUNCTION("""COMPUTED_VALUE"""),1741.0)</f>
        <v>1741</v>
      </c>
      <c r="B359" s="9">
        <f>IFERROR(__xludf.DUMMYFUNCTION("""COMPUTED_VALUE"""),45328.09501157407)</f>
        <v>45328.09501</v>
      </c>
      <c r="C359" s="5" t="str">
        <f>IFERROR(__xludf.DUMMYFUNCTION("""COMPUTED_VALUE"""),"purchase")</f>
        <v>purchase</v>
      </c>
      <c r="D359" s="10">
        <f t="shared" si="1"/>
        <v>45328</v>
      </c>
      <c r="E359" s="10">
        <f t="shared" si="2"/>
        <v>45327</v>
      </c>
      <c r="F359" s="10">
        <f t="shared" si="3"/>
        <v>45323</v>
      </c>
      <c r="G359" s="11"/>
    </row>
    <row r="360">
      <c r="A360" s="5">
        <f>IFERROR(__xludf.DUMMYFUNCTION("""COMPUTED_VALUE"""),4085.0)</f>
        <v>4085</v>
      </c>
      <c r="B360" s="9">
        <f>IFERROR(__xludf.DUMMYFUNCTION("""COMPUTED_VALUE"""),45328.275775462964)</f>
        <v>45328.27578</v>
      </c>
      <c r="C360" s="5" t="str">
        <f>IFERROR(__xludf.DUMMYFUNCTION("""COMPUTED_VALUE"""),"purchase")</f>
        <v>purchase</v>
      </c>
      <c r="D360" s="10">
        <f t="shared" si="1"/>
        <v>45328</v>
      </c>
      <c r="E360" s="10">
        <f t="shared" si="2"/>
        <v>45327</v>
      </c>
      <c r="F360" s="10">
        <f t="shared" si="3"/>
        <v>45323</v>
      </c>
      <c r="G360" s="11"/>
    </row>
    <row r="361">
      <c r="A361" s="5">
        <f>IFERROR(__xludf.DUMMYFUNCTION("""COMPUTED_VALUE"""),3140.0)</f>
        <v>3140</v>
      </c>
      <c r="B361" s="9">
        <f>IFERROR(__xludf.DUMMYFUNCTION("""COMPUTED_VALUE"""),45328.314351851855)</f>
        <v>45328.31435</v>
      </c>
      <c r="C361" s="5" t="str">
        <f>IFERROR(__xludf.DUMMYFUNCTION("""COMPUTED_VALUE"""),"purchase")</f>
        <v>purchase</v>
      </c>
      <c r="D361" s="10">
        <f t="shared" si="1"/>
        <v>45328</v>
      </c>
      <c r="E361" s="10">
        <f t="shared" si="2"/>
        <v>45327</v>
      </c>
      <c r="F361" s="10">
        <f t="shared" si="3"/>
        <v>45323</v>
      </c>
      <c r="G361" s="11"/>
    </row>
    <row r="362">
      <c r="A362" s="5">
        <f>IFERROR(__xludf.DUMMYFUNCTION("""COMPUTED_VALUE"""),4710.0)</f>
        <v>4710</v>
      </c>
      <c r="B362" s="9">
        <f>IFERROR(__xludf.DUMMYFUNCTION("""COMPUTED_VALUE"""),45328.35460648148)</f>
        <v>45328.35461</v>
      </c>
      <c r="C362" s="5" t="str">
        <f>IFERROR(__xludf.DUMMYFUNCTION("""COMPUTED_VALUE"""),"purchase")</f>
        <v>purchase</v>
      </c>
      <c r="D362" s="10">
        <f t="shared" si="1"/>
        <v>45328</v>
      </c>
      <c r="E362" s="10">
        <f t="shared" si="2"/>
        <v>45327</v>
      </c>
      <c r="F362" s="10">
        <f t="shared" si="3"/>
        <v>45323</v>
      </c>
      <c r="G362" s="11"/>
    </row>
    <row r="363">
      <c r="A363" s="5">
        <f>IFERROR(__xludf.DUMMYFUNCTION("""COMPUTED_VALUE"""),4075.0)</f>
        <v>4075</v>
      </c>
      <c r="B363" s="9">
        <f>IFERROR(__xludf.DUMMYFUNCTION("""COMPUTED_VALUE"""),45328.431608796294)</f>
        <v>45328.43161</v>
      </c>
      <c r="C363" s="5" t="str">
        <f>IFERROR(__xludf.DUMMYFUNCTION("""COMPUTED_VALUE"""),"purchase")</f>
        <v>purchase</v>
      </c>
      <c r="D363" s="10">
        <f t="shared" si="1"/>
        <v>45328</v>
      </c>
      <c r="E363" s="10">
        <f t="shared" si="2"/>
        <v>45327</v>
      </c>
      <c r="F363" s="10">
        <f t="shared" si="3"/>
        <v>45323</v>
      </c>
      <c r="G363" s="11"/>
    </row>
    <row r="364">
      <c r="A364" s="5">
        <f>IFERROR(__xludf.DUMMYFUNCTION("""COMPUTED_VALUE"""),7224.0)</f>
        <v>7224</v>
      </c>
      <c r="B364" s="9">
        <f>IFERROR(__xludf.DUMMYFUNCTION("""COMPUTED_VALUE"""),45328.596134259256)</f>
        <v>45328.59613</v>
      </c>
      <c r="C364" s="5" t="str">
        <f>IFERROR(__xludf.DUMMYFUNCTION("""COMPUTED_VALUE"""),"purchase")</f>
        <v>purchase</v>
      </c>
      <c r="D364" s="10">
        <f t="shared" si="1"/>
        <v>45328</v>
      </c>
      <c r="E364" s="10">
        <f t="shared" si="2"/>
        <v>45327</v>
      </c>
      <c r="F364" s="10">
        <f t="shared" si="3"/>
        <v>45323</v>
      </c>
      <c r="G364" s="11"/>
    </row>
    <row r="365">
      <c r="A365" s="5">
        <f>IFERROR(__xludf.DUMMYFUNCTION("""COMPUTED_VALUE"""),2681.0)</f>
        <v>2681</v>
      </c>
      <c r="B365" s="9">
        <f>IFERROR(__xludf.DUMMYFUNCTION("""COMPUTED_VALUE"""),45328.651041666664)</f>
        <v>45328.65104</v>
      </c>
      <c r="C365" s="5" t="str">
        <f>IFERROR(__xludf.DUMMYFUNCTION("""COMPUTED_VALUE"""),"purchase")</f>
        <v>purchase</v>
      </c>
      <c r="D365" s="10">
        <f t="shared" si="1"/>
        <v>45328</v>
      </c>
      <c r="E365" s="10">
        <f t="shared" si="2"/>
        <v>45327</v>
      </c>
      <c r="F365" s="10">
        <f t="shared" si="3"/>
        <v>45323</v>
      </c>
      <c r="G365" s="11"/>
    </row>
    <row r="366">
      <c r="A366" s="5">
        <f>IFERROR(__xludf.DUMMYFUNCTION("""COMPUTED_VALUE"""),2128.0)</f>
        <v>2128</v>
      </c>
      <c r="B366" s="9">
        <f>IFERROR(__xludf.DUMMYFUNCTION("""COMPUTED_VALUE"""),45328.86199074074)</f>
        <v>45328.86199</v>
      </c>
      <c r="C366" s="5" t="str">
        <f>IFERROR(__xludf.DUMMYFUNCTION("""COMPUTED_VALUE"""),"purchase")</f>
        <v>purchase</v>
      </c>
      <c r="D366" s="10">
        <f t="shared" si="1"/>
        <v>45328</v>
      </c>
      <c r="E366" s="10">
        <f t="shared" si="2"/>
        <v>45327</v>
      </c>
      <c r="F366" s="10">
        <f t="shared" si="3"/>
        <v>45323</v>
      </c>
      <c r="G366" s="11"/>
    </row>
    <row r="367">
      <c r="A367" s="5">
        <f>IFERROR(__xludf.DUMMYFUNCTION("""COMPUTED_VALUE"""),6727.0)</f>
        <v>6727</v>
      </c>
      <c r="B367" s="9">
        <f>IFERROR(__xludf.DUMMYFUNCTION("""COMPUTED_VALUE"""),45328.986122685186)</f>
        <v>45328.98612</v>
      </c>
      <c r="C367" s="5" t="str">
        <f>IFERROR(__xludf.DUMMYFUNCTION("""COMPUTED_VALUE"""),"purchase")</f>
        <v>purchase</v>
      </c>
      <c r="D367" s="10">
        <f t="shared" si="1"/>
        <v>45328</v>
      </c>
      <c r="E367" s="10">
        <f t="shared" si="2"/>
        <v>45327</v>
      </c>
      <c r="F367" s="10">
        <f t="shared" si="3"/>
        <v>45323</v>
      </c>
      <c r="G367" s="11"/>
    </row>
    <row r="368">
      <c r="A368" s="5">
        <f>IFERROR(__xludf.DUMMYFUNCTION("""COMPUTED_VALUE"""),3545.0)</f>
        <v>3545</v>
      </c>
      <c r="B368" s="9">
        <f>IFERROR(__xludf.DUMMYFUNCTION("""COMPUTED_VALUE"""),45329.063425925924)</f>
        <v>45329.06343</v>
      </c>
      <c r="C368" s="5" t="str">
        <f>IFERROR(__xludf.DUMMYFUNCTION("""COMPUTED_VALUE"""),"purchase")</f>
        <v>purchase</v>
      </c>
      <c r="D368" s="10">
        <f t="shared" si="1"/>
        <v>45329</v>
      </c>
      <c r="E368" s="10">
        <f t="shared" si="2"/>
        <v>45327</v>
      </c>
      <c r="F368" s="10">
        <f t="shared" si="3"/>
        <v>45323</v>
      </c>
      <c r="G368" s="11"/>
    </row>
    <row r="369">
      <c r="A369" s="5">
        <f>IFERROR(__xludf.DUMMYFUNCTION("""COMPUTED_VALUE"""),790.0)</f>
        <v>790</v>
      </c>
      <c r="B369" s="9">
        <f>IFERROR(__xludf.DUMMYFUNCTION("""COMPUTED_VALUE"""),45329.09159722222)</f>
        <v>45329.0916</v>
      </c>
      <c r="C369" s="5" t="str">
        <f>IFERROR(__xludf.DUMMYFUNCTION("""COMPUTED_VALUE"""),"purchase")</f>
        <v>purchase</v>
      </c>
      <c r="D369" s="10">
        <f t="shared" si="1"/>
        <v>45329</v>
      </c>
      <c r="E369" s="10">
        <f t="shared" si="2"/>
        <v>45327</v>
      </c>
      <c r="F369" s="10">
        <f t="shared" si="3"/>
        <v>45323</v>
      </c>
      <c r="G369" s="11"/>
    </row>
    <row r="370">
      <c r="A370" s="5">
        <f>IFERROR(__xludf.DUMMYFUNCTION("""COMPUTED_VALUE"""),7687.0)</f>
        <v>7687</v>
      </c>
      <c r="B370" s="9">
        <f>IFERROR(__xludf.DUMMYFUNCTION("""COMPUTED_VALUE"""),45329.16579861111)</f>
        <v>45329.1658</v>
      </c>
      <c r="C370" s="5" t="str">
        <f>IFERROR(__xludf.DUMMYFUNCTION("""COMPUTED_VALUE"""),"purchase")</f>
        <v>purchase</v>
      </c>
      <c r="D370" s="10">
        <f t="shared" si="1"/>
        <v>45329</v>
      </c>
      <c r="E370" s="10">
        <f t="shared" si="2"/>
        <v>45327</v>
      </c>
      <c r="F370" s="10">
        <f t="shared" si="3"/>
        <v>45323</v>
      </c>
      <c r="G370" s="11"/>
    </row>
    <row r="371">
      <c r="A371" s="5">
        <f>IFERROR(__xludf.DUMMYFUNCTION("""COMPUTED_VALUE"""),7894.0)</f>
        <v>7894</v>
      </c>
      <c r="B371" s="9">
        <f>IFERROR(__xludf.DUMMYFUNCTION("""COMPUTED_VALUE"""),45329.25690972222)</f>
        <v>45329.25691</v>
      </c>
      <c r="C371" s="5" t="str">
        <f>IFERROR(__xludf.DUMMYFUNCTION("""COMPUTED_VALUE"""),"purchase")</f>
        <v>purchase</v>
      </c>
      <c r="D371" s="10">
        <f t="shared" si="1"/>
        <v>45329</v>
      </c>
      <c r="E371" s="10">
        <f t="shared" si="2"/>
        <v>45327</v>
      </c>
      <c r="F371" s="10">
        <f t="shared" si="3"/>
        <v>45323</v>
      </c>
      <c r="G371" s="11"/>
    </row>
    <row r="372">
      <c r="A372" s="5">
        <f>IFERROR(__xludf.DUMMYFUNCTION("""COMPUTED_VALUE"""),7982.0)</f>
        <v>7982</v>
      </c>
      <c r="B372" s="9">
        <f>IFERROR(__xludf.DUMMYFUNCTION("""COMPUTED_VALUE"""),45329.38107638889)</f>
        <v>45329.38108</v>
      </c>
      <c r="C372" s="5" t="str">
        <f>IFERROR(__xludf.DUMMYFUNCTION("""COMPUTED_VALUE"""),"purchase")</f>
        <v>purchase</v>
      </c>
      <c r="D372" s="10">
        <f t="shared" si="1"/>
        <v>45329</v>
      </c>
      <c r="E372" s="10">
        <f t="shared" si="2"/>
        <v>45327</v>
      </c>
      <c r="F372" s="10">
        <f t="shared" si="3"/>
        <v>45323</v>
      </c>
      <c r="G372" s="11"/>
    </row>
    <row r="373">
      <c r="A373" s="5">
        <f>IFERROR(__xludf.DUMMYFUNCTION("""COMPUTED_VALUE"""),6926.0)</f>
        <v>6926</v>
      </c>
      <c r="B373" s="9">
        <f>IFERROR(__xludf.DUMMYFUNCTION("""COMPUTED_VALUE"""),45329.382361111115)</f>
        <v>45329.38236</v>
      </c>
      <c r="C373" s="5" t="str">
        <f>IFERROR(__xludf.DUMMYFUNCTION("""COMPUTED_VALUE"""),"purchase")</f>
        <v>purchase</v>
      </c>
      <c r="D373" s="10">
        <f t="shared" si="1"/>
        <v>45329</v>
      </c>
      <c r="E373" s="10">
        <f t="shared" si="2"/>
        <v>45327</v>
      </c>
      <c r="F373" s="10">
        <f t="shared" si="3"/>
        <v>45323</v>
      </c>
      <c r="G373" s="11"/>
    </row>
    <row r="374">
      <c r="A374" s="5">
        <f>IFERROR(__xludf.DUMMYFUNCTION("""COMPUTED_VALUE"""),3039.0)</f>
        <v>3039</v>
      </c>
      <c r="B374" s="9">
        <f>IFERROR(__xludf.DUMMYFUNCTION("""COMPUTED_VALUE"""),45329.39806712963)</f>
        <v>45329.39807</v>
      </c>
      <c r="C374" s="5" t="str">
        <f>IFERROR(__xludf.DUMMYFUNCTION("""COMPUTED_VALUE"""),"purchase")</f>
        <v>purchase</v>
      </c>
      <c r="D374" s="10">
        <f t="shared" si="1"/>
        <v>45329</v>
      </c>
      <c r="E374" s="10">
        <f t="shared" si="2"/>
        <v>45327</v>
      </c>
      <c r="F374" s="10">
        <f t="shared" si="3"/>
        <v>45323</v>
      </c>
      <c r="G374" s="11"/>
    </row>
    <row r="375">
      <c r="A375" s="5">
        <f>IFERROR(__xludf.DUMMYFUNCTION("""COMPUTED_VALUE"""),4963.0)</f>
        <v>4963</v>
      </c>
      <c r="B375" s="9">
        <f>IFERROR(__xludf.DUMMYFUNCTION("""COMPUTED_VALUE"""),45329.4422337963)</f>
        <v>45329.44223</v>
      </c>
      <c r="C375" s="5" t="str">
        <f>IFERROR(__xludf.DUMMYFUNCTION("""COMPUTED_VALUE"""),"purchase")</f>
        <v>purchase</v>
      </c>
      <c r="D375" s="10">
        <f t="shared" si="1"/>
        <v>45329</v>
      </c>
      <c r="E375" s="10">
        <f t="shared" si="2"/>
        <v>45327</v>
      </c>
      <c r="F375" s="10">
        <f t="shared" si="3"/>
        <v>45323</v>
      </c>
      <c r="G375" s="11"/>
    </row>
    <row r="376">
      <c r="A376" s="5">
        <f>IFERROR(__xludf.DUMMYFUNCTION("""COMPUTED_VALUE"""),7509.0)</f>
        <v>7509</v>
      </c>
      <c r="B376" s="9">
        <f>IFERROR(__xludf.DUMMYFUNCTION("""COMPUTED_VALUE"""),45329.53108796296)</f>
        <v>45329.53109</v>
      </c>
      <c r="C376" s="5" t="str">
        <f>IFERROR(__xludf.DUMMYFUNCTION("""COMPUTED_VALUE"""),"purchase")</f>
        <v>purchase</v>
      </c>
      <c r="D376" s="10">
        <f t="shared" si="1"/>
        <v>45329</v>
      </c>
      <c r="E376" s="10">
        <f t="shared" si="2"/>
        <v>45327</v>
      </c>
      <c r="F376" s="10">
        <f t="shared" si="3"/>
        <v>45323</v>
      </c>
      <c r="G376" s="11"/>
    </row>
    <row r="377">
      <c r="A377" s="5">
        <f>IFERROR(__xludf.DUMMYFUNCTION("""COMPUTED_VALUE"""),2992.0)</f>
        <v>2992</v>
      </c>
      <c r="B377" s="9">
        <f>IFERROR(__xludf.DUMMYFUNCTION("""COMPUTED_VALUE"""),45329.61849537037)</f>
        <v>45329.6185</v>
      </c>
      <c r="C377" s="5" t="str">
        <f>IFERROR(__xludf.DUMMYFUNCTION("""COMPUTED_VALUE"""),"purchase")</f>
        <v>purchase</v>
      </c>
      <c r="D377" s="10">
        <f t="shared" si="1"/>
        <v>45329</v>
      </c>
      <c r="E377" s="10">
        <f t="shared" si="2"/>
        <v>45327</v>
      </c>
      <c r="F377" s="10">
        <f t="shared" si="3"/>
        <v>45323</v>
      </c>
      <c r="G377" s="11"/>
    </row>
    <row r="378">
      <c r="A378" s="5">
        <f>IFERROR(__xludf.DUMMYFUNCTION("""COMPUTED_VALUE"""),5364.0)</f>
        <v>5364</v>
      </c>
      <c r="B378" s="9">
        <f>IFERROR(__xludf.DUMMYFUNCTION("""COMPUTED_VALUE"""),45329.65179398148)</f>
        <v>45329.65179</v>
      </c>
      <c r="C378" s="5" t="str">
        <f>IFERROR(__xludf.DUMMYFUNCTION("""COMPUTED_VALUE"""),"purchase")</f>
        <v>purchase</v>
      </c>
      <c r="D378" s="10">
        <f t="shared" si="1"/>
        <v>45329</v>
      </c>
      <c r="E378" s="10">
        <f t="shared" si="2"/>
        <v>45327</v>
      </c>
      <c r="F378" s="10">
        <f t="shared" si="3"/>
        <v>45323</v>
      </c>
      <c r="G378" s="11"/>
    </row>
    <row r="379">
      <c r="A379" s="5">
        <f>IFERROR(__xludf.DUMMYFUNCTION("""COMPUTED_VALUE"""),5883.0)</f>
        <v>5883</v>
      </c>
      <c r="B379" s="9">
        <f>IFERROR(__xludf.DUMMYFUNCTION("""COMPUTED_VALUE"""),45329.69118055556)</f>
        <v>45329.69118</v>
      </c>
      <c r="C379" s="5" t="str">
        <f>IFERROR(__xludf.DUMMYFUNCTION("""COMPUTED_VALUE"""),"purchase")</f>
        <v>purchase</v>
      </c>
      <c r="D379" s="10">
        <f t="shared" si="1"/>
        <v>45329</v>
      </c>
      <c r="E379" s="10">
        <f t="shared" si="2"/>
        <v>45327</v>
      </c>
      <c r="F379" s="10">
        <f t="shared" si="3"/>
        <v>45323</v>
      </c>
      <c r="G379" s="11"/>
    </row>
    <row r="380">
      <c r="A380" s="5">
        <f>IFERROR(__xludf.DUMMYFUNCTION("""COMPUTED_VALUE"""),6132.0)</f>
        <v>6132</v>
      </c>
      <c r="B380" s="9">
        <f>IFERROR(__xludf.DUMMYFUNCTION("""COMPUTED_VALUE"""),45329.7655787037)</f>
        <v>45329.76558</v>
      </c>
      <c r="C380" s="5" t="str">
        <f>IFERROR(__xludf.DUMMYFUNCTION("""COMPUTED_VALUE"""),"purchase")</f>
        <v>purchase</v>
      </c>
      <c r="D380" s="10">
        <f t="shared" si="1"/>
        <v>45329</v>
      </c>
      <c r="E380" s="10">
        <f t="shared" si="2"/>
        <v>45327</v>
      </c>
      <c r="F380" s="10">
        <f t="shared" si="3"/>
        <v>45323</v>
      </c>
      <c r="G380" s="11"/>
    </row>
    <row r="381">
      <c r="A381" s="5">
        <f>IFERROR(__xludf.DUMMYFUNCTION("""COMPUTED_VALUE"""),1116.0)</f>
        <v>1116</v>
      </c>
      <c r="B381" s="9">
        <f>IFERROR(__xludf.DUMMYFUNCTION("""COMPUTED_VALUE"""),45329.80318287037)</f>
        <v>45329.80318</v>
      </c>
      <c r="C381" s="5" t="str">
        <f>IFERROR(__xludf.DUMMYFUNCTION("""COMPUTED_VALUE"""),"purchase")</f>
        <v>purchase</v>
      </c>
      <c r="D381" s="10">
        <f t="shared" si="1"/>
        <v>45329</v>
      </c>
      <c r="E381" s="10">
        <f t="shared" si="2"/>
        <v>45327</v>
      </c>
      <c r="F381" s="10">
        <f t="shared" si="3"/>
        <v>45323</v>
      </c>
      <c r="G381" s="11"/>
    </row>
    <row r="382">
      <c r="A382" s="5">
        <f>IFERROR(__xludf.DUMMYFUNCTION("""COMPUTED_VALUE"""),3097.0)</f>
        <v>3097</v>
      </c>
      <c r="B382" s="9">
        <f>IFERROR(__xludf.DUMMYFUNCTION("""COMPUTED_VALUE"""),45329.82982638889)</f>
        <v>45329.82983</v>
      </c>
      <c r="C382" s="5" t="str">
        <f>IFERROR(__xludf.DUMMYFUNCTION("""COMPUTED_VALUE"""),"purchase")</f>
        <v>purchase</v>
      </c>
      <c r="D382" s="10">
        <f t="shared" si="1"/>
        <v>45329</v>
      </c>
      <c r="E382" s="10">
        <f t="shared" si="2"/>
        <v>45327</v>
      </c>
      <c r="F382" s="10">
        <f t="shared" si="3"/>
        <v>45323</v>
      </c>
      <c r="G382" s="11"/>
    </row>
    <row r="383">
      <c r="A383" s="5">
        <f>IFERROR(__xludf.DUMMYFUNCTION("""COMPUTED_VALUE"""),4589.0)</f>
        <v>4589</v>
      </c>
      <c r="B383" s="9">
        <f>IFERROR(__xludf.DUMMYFUNCTION("""COMPUTED_VALUE"""),45329.831712962965)</f>
        <v>45329.83171</v>
      </c>
      <c r="C383" s="5" t="str">
        <f>IFERROR(__xludf.DUMMYFUNCTION("""COMPUTED_VALUE"""),"purchase")</f>
        <v>purchase</v>
      </c>
      <c r="D383" s="10">
        <f t="shared" si="1"/>
        <v>45329</v>
      </c>
      <c r="E383" s="10">
        <f t="shared" si="2"/>
        <v>45327</v>
      </c>
      <c r="F383" s="10">
        <f t="shared" si="3"/>
        <v>45323</v>
      </c>
      <c r="G383" s="11"/>
    </row>
    <row r="384">
      <c r="A384" s="5">
        <f>IFERROR(__xludf.DUMMYFUNCTION("""COMPUTED_VALUE"""),3650.0)</f>
        <v>3650</v>
      </c>
      <c r="B384" s="9">
        <f>IFERROR(__xludf.DUMMYFUNCTION("""COMPUTED_VALUE"""),45329.88071759259)</f>
        <v>45329.88072</v>
      </c>
      <c r="C384" s="5" t="str">
        <f>IFERROR(__xludf.DUMMYFUNCTION("""COMPUTED_VALUE"""),"purchase")</f>
        <v>purchase</v>
      </c>
      <c r="D384" s="10">
        <f t="shared" si="1"/>
        <v>45329</v>
      </c>
      <c r="E384" s="10">
        <f t="shared" si="2"/>
        <v>45327</v>
      </c>
      <c r="F384" s="10">
        <f t="shared" si="3"/>
        <v>45323</v>
      </c>
      <c r="G384" s="11"/>
    </row>
    <row r="385">
      <c r="A385" s="5">
        <f>IFERROR(__xludf.DUMMYFUNCTION("""COMPUTED_VALUE"""),6060.0)</f>
        <v>6060</v>
      </c>
      <c r="B385" s="9">
        <f>IFERROR(__xludf.DUMMYFUNCTION("""COMPUTED_VALUE"""),45329.89879629629)</f>
        <v>45329.8988</v>
      </c>
      <c r="C385" s="5" t="str">
        <f>IFERROR(__xludf.DUMMYFUNCTION("""COMPUTED_VALUE"""),"purchase")</f>
        <v>purchase</v>
      </c>
      <c r="D385" s="10">
        <f t="shared" si="1"/>
        <v>45329</v>
      </c>
      <c r="E385" s="10">
        <f t="shared" si="2"/>
        <v>45327</v>
      </c>
      <c r="F385" s="10">
        <f t="shared" si="3"/>
        <v>45323</v>
      </c>
      <c r="G385" s="11"/>
    </row>
    <row r="386">
      <c r="A386" s="5">
        <f>IFERROR(__xludf.DUMMYFUNCTION("""COMPUTED_VALUE"""),1042.0)</f>
        <v>1042</v>
      </c>
      <c r="B386" s="9">
        <f>IFERROR(__xludf.DUMMYFUNCTION("""COMPUTED_VALUE"""),45329.981458333335)</f>
        <v>45329.98146</v>
      </c>
      <c r="C386" s="5" t="str">
        <f>IFERROR(__xludf.DUMMYFUNCTION("""COMPUTED_VALUE"""),"purchase")</f>
        <v>purchase</v>
      </c>
      <c r="D386" s="10">
        <f t="shared" si="1"/>
        <v>45329</v>
      </c>
      <c r="E386" s="10">
        <f t="shared" si="2"/>
        <v>45327</v>
      </c>
      <c r="F386" s="10">
        <f t="shared" si="3"/>
        <v>45323</v>
      </c>
      <c r="G386" s="11"/>
    </row>
    <row r="387">
      <c r="A387" s="5">
        <f>IFERROR(__xludf.DUMMYFUNCTION("""COMPUTED_VALUE"""),7932.0)</f>
        <v>7932</v>
      </c>
      <c r="B387" s="9">
        <f>IFERROR(__xludf.DUMMYFUNCTION("""COMPUTED_VALUE"""),45330.01466435185)</f>
        <v>45330.01466</v>
      </c>
      <c r="C387" s="5" t="str">
        <f>IFERROR(__xludf.DUMMYFUNCTION("""COMPUTED_VALUE"""),"purchase")</f>
        <v>purchase</v>
      </c>
      <c r="D387" s="10">
        <f t="shared" si="1"/>
        <v>45330</v>
      </c>
      <c r="E387" s="10">
        <f t="shared" si="2"/>
        <v>45327</v>
      </c>
      <c r="F387" s="10">
        <f t="shared" si="3"/>
        <v>45323</v>
      </c>
      <c r="G387" s="11"/>
    </row>
    <row r="388">
      <c r="A388" s="5">
        <f>IFERROR(__xludf.DUMMYFUNCTION("""COMPUTED_VALUE"""),5922.0)</f>
        <v>5922</v>
      </c>
      <c r="B388" s="9">
        <f>IFERROR(__xludf.DUMMYFUNCTION("""COMPUTED_VALUE"""),45330.04802083333)</f>
        <v>45330.04802</v>
      </c>
      <c r="C388" s="5" t="str">
        <f>IFERROR(__xludf.DUMMYFUNCTION("""COMPUTED_VALUE"""),"purchase")</f>
        <v>purchase</v>
      </c>
      <c r="D388" s="10">
        <f t="shared" si="1"/>
        <v>45330</v>
      </c>
      <c r="E388" s="10">
        <f t="shared" si="2"/>
        <v>45327</v>
      </c>
      <c r="F388" s="10">
        <f t="shared" si="3"/>
        <v>45323</v>
      </c>
      <c r="G388" s="11"/>
    </row>
    <row r="389">
      <c r="A389" s="5">
        <f>IFERROR(__xludf.DUMMYFUNCTION("""COMPUTED_VALUE"""),7948.0)</f>
        <v>7948</v>
      </c>
      <c r="B389" s="9">
        <f>IFERROR(__xludf.DUMMYFUNCTION("""COMPUTED_VALUE"""),45330.12824074074)</f>
        <v>45330.12824</v>
      </c>
      <c r="C389" s="5" t="str">
        <f>IFERROR(__xludf.DUMMYFUNCTION("""COMPUTED_VALUE"""),"purchase")</f>
        <v>purchase</v>
      </c>
      <c r="D389" s="10">
        <f t="shared" si="1"/>
        <v>45330</v>
      </c>
      <c r="E389" s="10">
        <f t="shared" si="2"/>
        <v>45327</v>
      </c>
      <c r="F389" s="10">
        <f t="shared" si="3"/>
        <v>45323</v>
      </c>
      <c r="G389" s="11"/>
    </row>
    <row r="390">
      <c r="A390" s="5">
        <f>IFERROR(__xludf.DUMMYFUNCTION("""COMPUTED_VALUE"""),1769.0)</f>
        <v>1769</v>
      </c>
      <c r="B390" s="9">
        <f>IFERROR(__xludf.DUMMYFUNCTION("""COMPUTED_VALUE"""),45330.32738425926)</f>
        <v>45330.32738</v>
      </c>
      <c r="C390" s="5" t="str">
        <f>IFERROR(__xludf.DUMMYFUNCTION("""COMPUTED_VALUE"""),"purchase")</f>
        <v>purchase</v>
      </c>
      <c r="D390" s="10">
        <f t="shared" si="1"/>
        <v>45330</v>
      </c>
      <c r="E390" s="10">
        <f t="shared" si="2"/>
        <v>45327</v>
      </c>
      <c r="F390" s="10">
        <f t="shared" si="3"/>
        <v>45323</v>
      </c>
      <c r="G390" s="11"/>
    </row>
    <row r="391">
      <c r="A391" s="5">
        <f>IFERROR(__xludf.DUMMYFUNCTION("""COMPUTED_VALUE"""),2095.0)</f>
        <v>2095</v>
      </c>
      <c r="B391" s="9">
        <f>IFERROR(__xludf.DUMMYFUNCTION("""COMPUTED_VALUE"""),45330.359247685185)</f>
        <v>45330.35925</v>
      </c>
      <c r="C391" s="5" t="str">
        <f>IFERROR(__xludf.DUMMYFUNCTION("""COMPUTED_VALUE"""),"purchase")</f>
        <v>purchase</v>
      </c>
      <c r="D391" s="10">
        <f t="shared" si="1"/>
        <v>45330</v>
      </c>
      <c r="E391" s="10">
        <f t="shared" si="2"/>
        <v>45327</v>
      </c>
      <c r="F391" s="10">
        <f t="shared" si="3"/>
        <v>45323</v>
      </c>
      <c r="G391" s="11"/>
    </row>
    <row r="392">
      <c r="A392" s="5">
        <f>IFERROR(__xludf.DUMMYFUNCTION("""COMPUTED_VALUE"""),697.0)</f>
        <v>697</v>
      </c>
      <c r="B392" s="9">
        <f>IFERROR(__xludf.DUMMYFUNCTION("""COMPUTED_VALUE"""),45330.46329861111)</f>
        <v>45330.4633</v>
      </c>
      <c r="C392" s="5" t="str">
        <f>IFERROR(__xludf.DUMMYFUNCTION("""COMPUTED_VALUE"""),"purchase")</f>
        <v>purchase</v>
      </c>
      <c r="D392" s="10">
        <f t="shared" si="1"/>
        <v>45330</v>
      </c>
      <c r="E392" s="10">
        <f t="shared" si="2"/>
        <v>45327</v>
      </c>
      <c r="F392" s="10">
        <f t="shared" si="3"/>
        <v>45323</v>
      </c>
      <c r="G392" s="11"/>
    </row>
    <row r="393">
      <c r="A393" s="5">
        <f>IFERROR(__xludf.DUMMYFUNCTION("""COMPUTED_VALUE"""),4702.0)</f>
        <v>4702</v>
      </c>
      <c r="B393" s="9">
        <f>IFERROR(__xludf.DUMMYFUNCTION("""COMPUTED_VALUE"""),45330.94650462963)</f>
        <v>45330.9465</v>
      </c>
      <c r="C393" s="5" t="str">
        <f>IFERROR(__xludf.DUMMYFUNCTION("""COMPUTED_VALUE"""),"purchase")</f>
        <v>purchase</v>
      </c>
      <c r="D393" s="10">
        <f t="shared" si="1"/>
        <v>45330</v>
      </c>
      <c r="E393" s="10">
        <f t="shared" si="2"/>
        <v>45327</v>
      </c>
      <c r="F393" s="10">
        <f t="shared" si="3"/>
        <v>45323</v>
      </c>
      <c r="G393" s="11"/>
    </row>
    <row r="394">
      <c r="A394" s="5">
        <f>IFERROR(__xludf.DUMMYFUNCTION("""COMPUTED_VALUE"""),101.0)</f>
        <v>101</v>
      </c>
      <c r="B394" s="9">
        <f>IFERROR(__xludf.DUMMYFUNCTION("""COMPUTED_VALUE"""),45331.08572916667)</f>
        <v>45331.08573</v>
      </c>
      <c r="C394" s="5" t="str">
        <f>IFERROR(__xludf.DUMMYFUNCTION("""COMPUTED_VALUE"""),"purchase")</f>
        <v>purchase</v>
      </c>
      <c r="D394" s="10">
        <f t="shared" si="1"/>
        <v>45331</v>
      </c>
      <c r="E394" s="10">
        <f t="shared" si="2"/>
        <v>45327</v>
      </c>
      <c r="F394" s="10">
        <f t="shared" si="3"/>
        <v>45323</v>
      </c>
      <c r="G394" s="11"/>
    </row>
    <row r="395">
      <c r="A395" s="5">
        <f>IFERROR(__xludf.DUMMYFUNCTION("""COMPUTED_VALUE"""),7788.0)</f>
        <v>7788</v>
      </c>
      <c r="B395" s="9">
        <f>IFERROR(__xludf.DUMMYFUNCTION("""COMPUTED_VALUE"""),45331.23510416667)</f>
        <v>45331.2351</v>
      </c>
      <c r="C395" s="5" t="str">
        <f>IFERROR(__xludf.DUMMYFUNCTION("""COMPUTED_VALUE"""),"purchase")</f>
        <v>purchase</v>
      </c>
      <c r="D395" s="10">
        <f t="shared" si="1"/>
        <v>45331</v>
      </c>
      <c r="E395" s="10">
        <f t="shared" si="2"/>
        <v>45327</v>
      </c>
      <c r="F395" s="10">
        <f t="shared" si="3"/>
        <v>45323</v>
      </c>
      <c r="G395" s="11"/>
    </row>
    <row r="396">
      <c r="A396" s="5">
        <f>IFERROR(__xludf.DUMMYFUNCTION("""COMPUTED_VALUE"""),2859.0)</f>
        <v>2859</v>
      </c>
      <c r="B396" s="9">
        <f>IFERROR(__xludf.DUMMYFUNCTION("""COMPUTED_VALUE"""),45331.37637731482)</f>
        <v>45331.37638</v>
      </c>
      <c r="C396" s="5" t="str">
        <f>IFERROR(__xludf.DUMMYFUNCTION("""COMPUTED_VALUE"""),"purchase")</f>
        <v>purchase</v>
      </c>
      <c r="D396" s="10">
        <f t="shared" si="1"/>
        <v>45331</v>
      </c>
      <c r="E396" s="10">
        <f t="shared" si="2"/>
        <v>45327</v>
      </c>
      <c r="F396" s="10">
        <f t="shared" si="3"/>
        <v>45323</v>
      </c>
      <c r="G396" s="11"/>
    </row>
    <row r="397">
      <c r="A397" s="5">
        <f>IFERROR(__xludf.DUMMYFUNCTION("""COMPUTED_VALUE"""),5169.0)</f>
        <v>5169</v>
      </c>
      <c r="B397" s="9">
        <f>IFERROR(__xludf.DUMMYFUNCTION("""COMPUTED_VALUE"""),45331.627071759256)</f>
        <v>45331.62707</v>
      </c>
      <c r="C397" s="5" t="str">
        <f>IFERROR(__xludf.DUMMYFUNCTION("""COMPUTED_VALUE"""),"purchase")</f>
        <v>purchase</v>
      </c>
      <c r="D397" s="10">
        <f t="shared" si="1"/>
        <v>45331</v>
      </c>
      <c r="E397" s="10">
        <f t="shared" si="2"/>
        <v>45327</v>
      </c>
      <c r="F397" s="10">
        <f t="shared" si="3"/>
        <v>45323</v>
      </c>
      <c r="G397" s="11"/>
    </row>
    <row r="398">
      <c r="A398" s="5">
        <f>IFERROR(__xludf.DUMMYFUNCTION("""COMPUTED_VALUE"""),3414.0)</f>
        <v>3414</v>
      </c>
      <c r="B398" s="9">
        <f>IFERROR(__xludf.DUMMYFUNCTION("""COMPUTED_VALUE"""),45331.68204861111)</f>
        <v>45331.68205</v>
      </c>
      <c r="C398" s="5" t="str">
        <f>IFERROR(__xludf.DUMMYFUNCTION("""COMPUTED_VALUE"""),"purchase")</f>
        <v>purchase</v>
      </c>
      <c r="D398" s="10">
        <f t="shared" si="1"/>
        <v>45331</v>
      </c>
      <c r="E398" s="10">
        <f t="shared" si="2"/>
        <v>45327</v>
      </c>
      <c r="F398" s="10">
        <f t="shared" si="3"/>
        <v>45323</v>
      </c>
      <c r="G398" s="11"/>
    </row>
    <row r="399">
      <c r="A399" s="5">
        <f>IFERROR(__xludf.DUMMYFUNCTION("""COMPUTED_VALUE"""),5707.0)</f>
        <v>5707</v>
      </c>
      <c r="B399" s="9">
        <f>IFERROR(__xludf.DUMMYFUNCTION("""COMPUTED_VALUE"""),45331.69096064815)</f>
        <v>45331.69096</v>
      </c>
      <c r="C399" s="5" t="str">
        <f>IFERROR(__xludf.DUMMYFUNCTION("""COMPUTED_VALUE"""),"purchase")</f>
        <v>purchase</v>
      </c>
      <c r="D399" s="10">
        <f t="shared" si="1"/>
        <v>45331</v>
      </c>
      <c r="E399" s="10">
        <f t="shared" si="2"/>
        <v>45327</v>
      </c>
      <c r="F399" s="10">
        <f t="shared" si="3"/>
        <v>45323</v>
      </c>
      <c r="G399" s="11"/>
    </row>
    <row r="400">
      <c r="A400" s="5">
        <f>IFERROR(__xludf.DUMMYFUNCTION("""COMPUTED_VALUE"""),133.0)</f>
        <v>133</v>
      </c>
      <c r="B400" s="9">
        <f>IFERROR(__xludf.DUMMYFUNCTION("""COMPUTED_VALUE"""),45331.797685185185)</f>
        <v>45331.79769</v>
      </c>
      <c r="C400" s="5" t="str">
        <f>IFERROR(__xludf.DUMMYFUNCTION("""COMPUTED_VALUE"""),"purchase")</f>
        <v>purchase</v>
      </c>
      <c r="D400" s="10">
        <f t="shared" si="1"/>
        <v>45331</v>
      </c>
      <c r="E400" s="10">
        <f t="shared" si="2"/>
        <v>45327</v>
      </c>
      <c r="F400" s="10">
        <f t="shared" si="3"/>
        <v>45323</v>
      </c>
      <c r="G400" s="11"/>
    </row>
    <row r="401">
      <c r="A401" s="5">
        <f>IFERROR(__xludf.DUMMYFUNCTION("""COMPUTED_VALUE"""),319.0)</f>
        <v>319</v>
      </c>
      <c r="B401" s="9">
        <f>IFERROR(__xludf.DUMMYFUNCTION("""COMPUTED_VALUE"""),45331.80137731481)</f>
        <v>45331.80138</v>
      </c>
      <c r="C401" s="5" t="str">
        <f>IFERROR(__xludf.DUMMYFUNCTION("""COMPUTED_VALUE"""),"purchase")</f>
        <v>purchase</v>
      </c>
      <c r="D401" s="10">
        <f t="shared" si="1"/>
        <v>45331</v>
      </c>
      <c r="E401" s="10">
        <f t="shared" si="2"/>
        <v>45327</v>
      </c>
      <c r="F401" s="10">
        <f t="shared" si="3"/>
        <v>45323</v>
      </c>
      <c r="G401" s="11"/>
    </row>
    <row r="402">
      <c r="A402" s="5">
        <f>IFERROR(__xludf.DUMMYFUNCTION("""COMPUTED_VALUE"""),2158.0)</f>
        <v>2158</v>
      </c>
      <c r="B402" s="9">
        <f>IFERROR(__xludf.DUMMYFUNCTION("""COMPUTED_VALUE"""),45331.89716435185)</f>
        <v>45331.89716</v>
      </c>
      <c r="C402" s="5" t="str">
        <f>IFERROR(__xludf.DUMMYFUNCTION("""COMPUTED_VALUE"""),"purchase")</f>
        <v>purchase</v>
      </c>
      <c r="D402" s="10">
        <f t="shared" si="1"/>
        <v>45331</v>
      </c>
      <c r="E402" s="10">
        <f t="shared" si="2"/>
        <v>45327</v>
      </c>
      <c r="F402" s="10">
        <f t="shared" si="3"/>
        <v>45323</v>
      </c>
      <c r="G402" s="11"/>
    </row>
    <row r="403">
      <c r="A403" s="5">
        <f>IFERROR(__xludf.DUMMYFUNCTION("""COMPUTED_VALUE"""),3275.0)</f>
        <v>3275</v>
      </c>
      <c r="B403" s="9">
        <f>IFERROR(__xludf.DUMMYFUNCTION("""COMPUTED_VALUE"""),45332.202210648145)</f>
        <v>45332.20221</v>
      </c>
      <c r="C403" s="5" t="str">
        <f>IFERROR(__xludf.DUMMYFUNCTION("""COMPUTED_VALUE"""),"purchase")</f>
        <v>purchase</v>
      </c>
      <c r="D403" s="10">
        <f t="shared" si="1"/>
        <v>45332</v>
      </c>
      <c r="E403" s="10">
        <f t="shared" si="2"/>
        <v>45327</v>
      </c>
      <c r="F403" s="10">
        <f t="shared" si="3"/>
        <v>45323</v>
      </c>
      <c r="G403" s="11"/>
    </row>
    <row r="404">
      <c r="A404" s="5">
        <f>IFERROR(__xludf.DUMMYFUNCTION("""COMPUTED_VALUE"""),6373.0)</f>
        <v>6373</v>
      </c>
      <c r="B404" s="9">
        <f>IFERROR(__xludf.DUMMYFUNCTION("""COMPUTED_VALUE"""),45332.28023148148)</f>
        <v>45332.28023</v>
      </c>
      <c r="C404" s="5" t="str">
        <f>IFERROR(__xludf.DUMMYFUNCTION("""COMPUTED_VALUE"""),"purchase")</f>
        <v>purchase</v>
      </c>
      <c r="D404" s="10">
        <f t="shared" si="1"/>
        <v>45332</v>
      </c>
      <c r="E404" s="10">
        <f t="shared" si="2"/>
        <v>45327</v>
      </c>
      <c r="F404" s="10">
        <f t="shared" si="3"/>
        <v>45323</v>
      </c>
      <c r="G404" s="11"/>
    </row>
    <row r="405">
      <c r="A405" s="5">
        <f>IFERROR(__xludf.DUMMYFUNCTION("""COMPUTED_VALUE"""),2089.0)</f>
        <v>2089</v>
      </c>
      <c r="B405" s="9">
        <f>IFERROR(__xludf.DUMMYFUNCTION("""COMPUTED_VALUE"""),45332.324895833335)</f>
        <v>45332.3249</v>
      </c>
      <c r="C405" s="5" t="str">
        <f>IFERROR(__xludf.DUMMYFUNCTION("""COMPUTED_VALUE"""),"purchase")</f>
        <v>purchase</v>
      </c>
      <c r="D405" s="10">
        <f t="shared" si="1"/>
        <v>45332</v>
      </c>
      <c r="E405" s="10">
        <f t="shared" si="2"/>
        <v>45327</v>
      </c>
      <c r="F405" s="10">
        <f t="shared" si="3"/>
        <v>45323</v>
      </c>
      <c r="G405" s="11"/>
    </row>
    <row r="406">
      <c r="A406" s="5">
        <f>IFERROR(__xludf.DUMMYFUNCTION("""COMPUTED_VALUE"""),2224.0)</f>
        <v>2224</v>
      </c>
      <c r="B406" s="9">
        <f>IFERROR(__xludf.DUMMYFUNCTION("""COMPUTED_VALUE"""),45332.32550925926)</f>
        <v>45332.32551</v>
      </c>
      <c r="C406" s="5" t="str">
        <f>IFERROR(__xludf.DUMMYFUNCTION("""COMPUTED_VALUE"""),"purchase")</f>
        <v>purchase</v>
      </c>
      <c r="D406" s="10">
        <f t="shared" si="1"/>
        <v>45332</v>
      </c>
      <c r="E406" s="10">
        <f t="shared" si="2"/>
        <v>45327</v>
      </c>
      <c r="F406" s="10">
        <f t="shared" si="3"/>
        <v>45323</v>
      </c>
      <c r="G406" s="11"/>
    </row>
    <row r="407">
      <c r="A407" s="5">
        <f>IFERROR(__xludf.DUMMYFUNCTION("""COMPUTED_VALUE"""),6267.0)</f>
        <v>6267</v>
      </c>
      <c r="B407" s="9">
        <f>IFERROR(__xludf.DUMMYFUNCTION("""COMPUTED_VALUE"""),45332.521840277775)</f>
        <v>45332.52184</v>
      </c>
      <c r="C407" s="5" t="str">
        <f>IFERROR(__xludf.DUMMYFUNCTION("""COMPUTED_VALUE"""),"purchase")</f>
        <v>purchase</v>
      </c>
      <c r="D407" s="10">
        <f t="shared" si="1"/>
        <v>45332</v>
      </c>
      <c r="E407" s="10">
        <f t="shared" si="2"/>
        <v>45327</v>
      </c>
      <c r="F407" s="10">
        <f t="shared" si="3"/>
        <v>45323</v>
      </c>
      <c r="G407" s="11"/>
    </row>
    <row r="408">
      <c r="A408" s="5">
        <f>IFERROR(__xludf.DUMMYFUNCTION("""COMPUTED_VALUE"""),1329.0)</f>
        <v>1329</v>
      </c>
      <c r="B408" s="9">
        <f>IFERROR(__xludf.DUMMYFUNCTION("""COMPUTED_VALUE"""),45332.592835648145)</f>
        <v>45332.59284</v>
      </c>
      <c r="C408" s="5" t="str">
        <f>IFERROR(__xludf.DUMMYFUNCTION("""COMPUTED_VALUE"""),"purchase")</f>
        <v>purchase</v>
      </c>
      <c r="D408" s="10">
        <f t="shared" si="1"/>
        <v>45332</v>
      </c>
      <c r="E408" s="10">
        <f t="shared" si="2"/>
        <v>45327</v>
      </c>
      <c r="F408" s="10">
        <f t="shared" si="3"/>
        <v>45323</v>
      </c>
      <c r="G408" s="11"/>
    </row>
    <row r="409">
      <c r="A409" s="5">
        <f>IFERROR(__xludf.DUMMYFUNCTION("""COMPUTED_VALUE"""),1422.0)</f>
        <v>1422</v>
      </c>
      <c r="B409" s="9">
        <f>IFERROR(__xludf.DUMMYFUNCTION("""COMPUTED_VALUE"""),45332.62815972222)</f>
        <v>45332.62816</v>
      </c>
      <c r="C409" s="5" t="str">
        <f>IFERROR(__xludf.DUMMYFUNCTION("""COMPUTED_VALUE"""),"purchase")</f>
        <v>purchase</v>
      </c>
      <c r="D409" s="10">
        <f t="shared" si="1"/>
        <v>45332</v>
      </c>
      <c r="E409" s="10">
        <f t="shared" si="2"/>
        <v>45327</v>
      </c>
      <c r="F409" s="10">
        <f t="shared" si="3"/>
        <v>45323</v>
      </c>
      <c r="G409" s="11"/>
    </row>
    <row r="410">
      <c r="A410" s="5">
        <f>IFERROR(__xludf.DUMMYFUNCTION("""COMPUTED_VALUE"""),5494.0)</f>
        <v>5494</v>
      </c>
      <c r="B410" s="9">
        <f>IFERROR(__xludf.DUMMYFUNCTION("""COMPUTED_VALUE"""),45332.63421296296)</f>
        <v>45332.63421</v>
      </c>
      <c r="C410" s="5" t="str">
        <f>IFERROR(__xludf.DUMMYFUNCTION("""COMPUTED_VALUE"""),"purchase")</f>
        <v>purchase</v>
      </c>
      <c r="D410" s="10">
        <f t="shared" si="1"/>
        <v>45332</v>
      </c>
      <c r="E410" s="10">
        <f t="shared" si="2"/>
        <v>45327</v>
      </c>
      <c r="F410" s="10">
        <f t="shared" si="3"/>
        <v>45323</v>
      </c>
      <c r="G410" s="11"/>
    </row>
    <row r="411">
      <c r="A411" s="5">
        <f>IFERROR(__xludf.DUMMYFUNCTION("""COMPUTED_VALUE"""),2752.0)</f>
        <v>2752</v>
      </c>
      <c r="B411" s="9">
        <f>IFERROR(__xludf.DUMMYFUNCTION("""COMPUTED_VALUE"""),45332.6578125)</f>
        <v>45332.65781</v>
      </c>
      <c r="C411" s="5" t="str">
        <f>IFERROR(__xludf.DUMMYFUNCTION("""COMPUTED_VALUE"""),"purchase")</f>
        <v>purchase</v>
      </c>
      <c r="D411" s="10">
        <f t="shared" si="1"/>
        <v>45332</v>
      </c>
      <c r="E411" s="10">
        <f t="shared" si="2"/>
        <v>45327</v>
      </c>
      <c r="F411" s="10">
        <f t="shared" si="3"/>
        <v>45323</v>
      </c>
      <c r="G411" s="11"/>
    </row>
    <row r="412">
      <c r="A412" s="5">
        <f>IFERROR(__xludf.DUMMYFUNCTION("""COMPUTED_VALUE"""),1451.0)</f>
        <v>1451</v>
      </c>
      <c r="B412" s="9">
        <f>IFERROR(__xludf.DUMMYFUNCTION("""COMPUTED_VALUE"""),45332.68445601852)</f>
        <v>45332.68446</v>
      </c>
      <c r="C412" s="5" t="str">
        <f>IFERROR(__xludf.DUMMYFUNCTION("""COMPUTED_VALUE"""),"purchase")</f>
        <v>purchase</v>
      </c>
      <c r="D412" s="10">
        <f t="shared" si="1"/>
        <v>45332</v>
      </c>
      <c r="E412" s="10">
        <f t="shared" si="2"/>
        <v>45327</v>
      </c>
      <c r="F412" s="10">
        <f t="shared" si="3"/>
        <v>45323</v>
      </c>
      <c r="G412" s="11"/>
    </row>
    <row r="413">
      <c r="A413" s="5">
        <f>IFERROR(__xludf.DUMMYFUNCTION("""COMPUTED_VALUE"""),5547.0)</f>
        <v>5547</v>
      </c>
      <c r="B413" s="9">
        <f>IFERROR(__xludf.DUMMYFUNCTION("""COMPUTED_VALUE"""),45332.689780092594)</f>
        <v>45332.68978</v>
      </c>
      <c r="C413" s="5" t="str">
        <f>IFERROR(__xludf.DUMMYFUNCTION("""COMPUTED_VALUE"""),"purchase")</f>
        <v>purchase</v>
      </c>
      <c r="D413" s="10">
        <f t="shared" si="1"/>
        <v>45332</v>
      </c>
      <c r="E413" s="10">
        <f t="shared" si="2"/>
        <v>45327</v>
      </c>
      <c r="F413" s="10">
        <f t="shared" si="3"/>
        <v>45323</v>
      </c>
      <c r="G413" s="11"/>
    </row>
    <row r="414">
      <c r="A414" s="5">
        <f>IFERROR(__xludf.DUMMYFUNCTION("""COMPUTED_VALUE"""),2032.0)</f>
        <v>2032</v>
      </c>
      <c r="B414" s="9">
        <f>IFERROR(__xludf.DUMMYFUNCTION("""COMPUTED_VALUE"""),45332.69099537037)</f>
        <v>45332.691</v>
      </c>
      <c r="C414" s="5" t="str">
        <f>IFERROR(__xludf.DUMMYFUNCTION("""COMPUTED_VALUE"""),"purchase")</f>
        <v>purchase</v>
      </c>
      <c r="D414" s="10">
        <f t="shared" si="1"/>
        <v>45332</v>
      </c>
      <c r="E414" s="10">
        <f t="shared" si="2"/>
        <v>45327</v>
      </c>
      <c r="F414" s="10">
        <f t="shared" si="3"/>
        <v>45323</v>
      </c>
      <c r="G414" s="11"/>
    </row>
    <row r="415">
      <c r="A415" s="5">
        <f>IFERROR(__xludf.DUMMYFUNCTION("""COMPUTED_VALUE"""),7019.0)</f>
        <v>7019</v>
      </c>
      <c r="B415" s="9">
        <f>IFERROR(__xludf.DUMMYFUNCTION("""COMPUTED_VALUE"""),45332.83961805556)</f>
        <v>45332.83962</v>
      </c>
      <c r="C415" s="5" t="str">
        <f>IFERROR(__xludf.DUMMYFUNCTION("""COMPUTED_VALUE"""),"purchase")</f>
        <v>purchase</v>
      </c>
      <c r="D415" s="10">
        <f t="shared" si="1"/>
        <v>45332</v>
      </c>
      <c r="E415" s="10">
        <f t="shared" si="2"/>
        <v>45327</v>
      </c>
      <c r="F415" s="10">
        <f t="shared" si="3"/>
        <v>45323</v>
      </c>
      <c r="G415" s="11"/>
    </row>
    <row r="416">
      <c r="A416" s="5">
        <f>IFERROR(__xludf.DUMMYFUNCTION("""COMPUTED_VALUE"""),2945.0)</f>
        <v>2945</v>
      </c>
      <c r="B416" s="9">
        <f>IFERROR(__xludf.DUMMYFUNCTION("""COMPUTED_VALUE"""),45332.85799768518)</f>
        <v>45332.858</v>
      </c>
      <c r="C416" s="5" t="str">
        <f>IFERROR(__xludf.DUMMYFUNCTION("""COMPUTED_VALUE"""),"purchase")</f>
        <v>purchase</v>
      </c>
      <c r="D416" s="10">
        <f t="shared" si="1"/>
        <v>45332</v>
      </c>
      <c r="E416" s="10">
        <f t="shared" si="2"/>
        <v>45327</v>
      </c>
      <c r="F416" s="10">
        <f t="shared" si="3"/>
        <v>45323</v>
      </c>
      <c r="G416" s="11"/>
    </row>
    <row r="417">
      <c r="A417" s="5">
        <f>IFERROR(__xludf.DUMMYFUNCTION("""COMPUTED_VALUE"""),1889.0)</f>
        <v>1889</v>
      </c>
      <c r="B417" s="9">
        <f>IFERROR(__xludf.DUMMYFUNCTION("""COMPUTED_VALUE"""),45332.93591435185)</f>
        <v>45332.93591</v>
      </c>
      <c r="C417" s="5" t="str">
        <f>IFERROR(__xludf.DUMMYFUNCTION("""COMPUTED_VALUE"""),"purchase")</f>
        <v>purchase</v>
      </c>
      <c r="D417" s="10">
        <f t="shared" si="1"/>
        <v>45332</v>
      </c>
      <c r="E417" s="10">
        <f t="shared" si="2"/>
        <v>45327</v>
      </c>
      <c r="F417" s="10">
        <f t="shared" si="3"/>
        <v>45323</v>
      </c>
      <c r="G417" s="11"/>
    </row>
    <row r="418">
      <c r="A418" s="5">
        <f>IFERROR(__xludf.DUMMYFUNCTION("""COMPUTED_VALUE"""),3817.0)</f>
        <v>3817</v>
      </c>
      <c r="B418" s="9">
        <f>IFERROR(__xludf.DUMMYFUNCTION("""COMPUTED_VALUE"""),45332.99270833333)</f>
        <v>45332.99271</v>
      </c>
      <c r="C418" s="5" t="str">
        <f>IFERROR(__xludf.DUMMYFUNCTION("""COMPUTED_VALUE"""),"purchase")</f>
        <v>purchase</v>
      </c>
      <c r="D418" s="10">
        <f t="shared" si="1"/>
        <v>45332</v>
      </c>
      <c r="E418" s="10">
        <f t="shared" si="2"/>
        <v>45327</v>
      </c>
      <c r="F418" s="10">
        <f t="shared" si="3"/>
        <v>45323</v>
      </c>
      <c r="G418" s="11"/>
    </row>
    <row r="419">
      <c r="A419" s="5">
        <f>IFERROR(__xludf.DUMMYFUNCTION("""COMPUTED_VALUE"""),4425.0)</f>
        <v>4425</v>
      </c>
      <c r="B419" s="9">
        <f>IFERROR(__xludf.DUMMYFUNCTION("""COMPUTED_VALUE"""),45333.197696759256)</f>
        <v>45333.1977</v>
      </c>
      <c r="C419" s="5" t="str">
        <f>IFERROR(__xludf.DUMMYFUNCTION("""COMPUTED_VALUE"""),"purchase")</f>
        <v>purchase</v>
      </c>
      <c r="D419" s="10">
        <f t="shared" si="1"/>
        <v>45333</v>
      </c>
      <c r="E419" s="10">
        <f t="shared" si="2"/>
        <v>45327</v>
      </c>
      <c r="F419" s="10">
        <f t="shared" si="3"/>
        <v>45323</v>
      </c>
      <c r="G419" s="11"/>
    </row>
    <row r="420">
      <c r="A420" s="5">
        <f>IFERROR(__xludf.DUMMYFUNCTION("""COMPUTED_VALUE"""),2288.0)</f>
        <v>2288</v>
      </c>
      <c r="B420" s="9">
        <f>IFERROR(__xludf.DUMMYFUNCTION("""COMPUTED_VALUE"""),45333.238854166666)</f>
        <v>45333.23885</v>
      </c>
      <c r="C420" s="5" t="str">
        <f>IFERROR(__xludf.DUMMYFUNCTION("""COMPUTED_VALUE"""),"purchase")</f>
        <v>purchase</v>
      </c>
      <c r="D420" s="10">
        <f t="shared" si="1"/>
        <v>45333</v>
      </c>
      <c r="E420" s="10">
        <f t="shared" si="2"/>
        <v>45327</v>
      </c>
      <c r="F420" s="10">
        <f t="shared" si="3"/>
        <v>45323</v>
      </c>
      <c r="G420" s="11"/>
    </row>
    <row r="421">
      <c r="A421" s="5">
        <f>IFERROR(__xludf.DUMMYFUNCTION("""COMPUTED_VALUE"""),3902.0)</f>
        <v>3902</v>
      </c>
      <c r="B421" s="9">
        <f>IFERROR(__xludf.DUMMYFUNCTION("""COMPUTED_VALUE"""),45333.398252314815)</f>
        <v>45333.39825</v>
      </c>
      <c r="C421" s="5" t="str">
        <f>IFERROR(__xludf.DUMMYFUNCTION("""COMPUTED_VALUE"""),"purchase")</f>
        <v>purchase</v>
      </c>
      <c r="D421" s="10">
        <f t="shared" si="1"/>
        <v>45333</v>
      </c>
      <c r="E421" s="10">
        <f t="shared" si="2"/>
        <v>45327</v>
      </c>
      <c r="F421" s="10">
        <f t="shared" si="3"/>
        <v>45323</v>
      </c>
      <c r="G421" s="11"/>
    </row>
    <row r="422">
      <c r="A422" s="5">
        <f>IFERROR(__xludf.DUMMYFUNCTION("""COMPUTED_VALUE"""),3833.0)</f>
        <v>3833</v>
      </c>
      <c r="B422" s="9">
        <f>IFERROR(__xludf.DUMMYFUNCTION("""COMPUTED_VALUE"""),45333.4825)</f>
        <v>45333.4825</v>
      </c>
      <c r="C422" s="5" t="str">
        <f>IFERROR(__xludf.DUMMYFUNCTION("""COMPUTED_VALUE"""),"purchase")</f>
        <v>purchase</v>
      </c>
      <c r="D422" s="10">
        <f t="shared" si="1"/>
        <v>45333</v>
      </c>
      <c r="E422" s="10">
        <f t="shared" si="2"/>
        <v>45327</v>
      </c>
      <c r="F422" s="10">
        <f t="shared" si="3"/>
        <v>45323</v>
      </c>
      <c r="G422" s="11"/>
    </row>
    <row r="423">
      <c r="A423" s="5">
        <f>IFERROR(__xludf.DUMMYFUNCTION("""COMPUTED_VALUE"""),4953.0)</f>
        <v>4953</v>
      </c>
      <c r="B423" s="9">
        <f>IFERROR(__xludf.DUMMYFUNCTION("""COMPUTED_VALUE"""),45333.5)</f>
        <v>45333.5</v>
      </c>
      <c r="C423" s="5" t="str">
        <f>IFERROR(__xludf.DUMMYFUNCTION("""COMPUTED_VALUE"""),"purchase")</f>
        <v>purchase</v>
      </c>
      <c r="D423" s="10">
        <f t="shared" si="1"/>
        <v>45333</v>
      </c>
      <c r="E423" s="10">
        <f t="shared" si="2"/>
        <v>45327</v>
      </c>
      <c r="F423" s="10">
        <f t="shared" si="3"/>
        <v>45323</v>
      </c>
      <c r="G423" s="11"/>
    </row>
    <row r="424">
      <c r="A424" s="5">
        <f>IFERROR(__xludf.DUMMYFUNCTION("""COMPUTED_VALUE"""),7245.0)</f>
        <v>7245</v>
      </c>
      <c r="B424" s="9">
        <f>IFERROR(__xludf.DUMMYFUNCTION("""COMPUTED_VALUE"""),45333.53576388889)</f>
        <v>45333.53576</v>
      </c>
      <c r="C424" s="5" t="str">
        <f>IFERROR(__xludf.DUMMYFUNCTION("""COMPUTED_VALUE"""),"purchase")</f>
        <v>purchase</v>
      </c>
      <c r="D424" s="10">
        <f t="shared" si="1"/>
        <v>45333</v>
      </c>
      <c r="E424" s="10">
        <f t="shared" si="2"/>
        <v>45327</v>
      </c>
      <c r="F424" s="10">
        <f t="shared" si="3"/>
        <v>45323</v>
      </c>
      <c r="G424" s="11"/>
    </row>
    <row r="425">
      <c r="A425" s="5">
        <f>IFERROR(__xludf.DUMMYFUNCTION("""COMPUTED_VALUE"""),5712.0)</f>
        <v>5712</v>
      </c>
      <c r="B425" s="9">
        <f>IFERROR(__xludf.DUMMYFUNCTION("""COMPUTED_VALUE"""),45333.92346064815)</f>
        <v>45333.92346</v>
      </c>
      <c r="C425" s="5" t="str">
        <f>IFERROR(__xludf.DUMMYFUNCTION("""COMPUTED_VALUE"""),"purchase")</f>
        <v>purchase</v>
      </c>
      <c r="D425" s="10">
        <f t="shared" si="1"/>
        <v>45333</v>
      </c>
      <c r="E425" s="10">
        <f t="shared" si="2"/>
        <v>45327</v>
      </c>
      <c r="F425" s="10">
        <f t="shared" si="3"/>
        <v>45323</v>
      </c>
      <c r="G425" s="11"/>
    </row>
    <row r="426">
      <c r="A426" s="5">
        <f>IFERROR(__xludf.DUMMYFUNCTION("""COMPUTED_VALUE"""),4787.0)</f>
        <v>4787</v>
      </c>
      <c r="B426" s="9">
        <f>IFERROR(__xludf.DUMMYFUNCTION("""COMPUTED_VALUE"""),45334.01219907407)</f>
        <v>45334.0122</v>
      </c>
      <c r="C426" s="5" t="str">
        <f>IFERROR(__xludf.DUMMYFUNCTION("""COMPUTED_VALUE"""),"purchase")</f>
        <v>purchase</v>
      </c>
      <c r="D426" s="10">
        <f t="shared" si="1"/>
        <v>45334</v>
      </c>
      <c r="E426" s="10">
        <f t="shared" si="2"/>
        <v>45334</v>
      </c>
      <c r="F426" s="10">
        <f t="shared" si="3"/>
        <v>45323</v>
      </c>
      <c r="G426" s="11"/>
    </row>
    <row r="427">
      <c r="A427" s="5">
        <f>IFERROR(__xludf.DUMMYFUNCTION("""COMPUTED_VALUE"""),3182.0)</f>
        <v>3182</v>
      </c>
      <c r="B427" s="9">
        <f>IFERROR(__xludf.DUMMYFUNCTION("""COMPUTED_VALUE"""),45334.12777777778)</f>
        <v>45334.12778</v>
      </c>
      <c r="C427" s="5" t="str">
        <f>IFERROR(__xludf.DUMMYFUNCTION("""COMPUTED_VALUE"""),"purchase")</f>
        <v>purchase</v>
      </c>
      <c r="D427" s="10">
        <f t="shared" si="1"/>
        <v>45334</v>
      </c>
      <c r="E427" s="10">
        <f t="shared" si="2"/>
        <v>45334</v>
      </c>
      <c r="F427" s="10">
        <f t="shared" si="3"/>
        <v>45323</v>
      </c>
      <c r="G427" s="11"/>
    </row>
    <row r="428">
      <c r="A428" s="5">
        <f>IFERROR(__xludf.DUMMYFUNCTION("""COMPUTED_VALUE"""),85.0)</f>
        <v>85</v>
      </c>
      <c r="B428" s="9">
        <f>IFERROR(__xludf.DUMMYFUNCTION("""COMPUTED_VALUE"""),45334.235300925924)</f>
        <v>45334.2353</v>
      </c>
      <c r="C428" s="5" t="str">
        <f>IFERROR(__xludf.DUMMYFUNCTION("""COMPUTED_VALUE"""),"purchase")</f>
        <v>purchase</v>
      </c>
      <c r="D428" s="10">
        <f t="shared" si="1"/>
        <v>45334</v>
      </c>
      <c r="E428" s="10">
        <f t="shared" si="2"/>
        <v>45334</v>
      </c>
      <c r="F428" s="10">
        <f t="shared" si="3"/>
        <v>45323</v>
      </c>
      <c r="G428" s="11"/>
    </row>
    <row r="429">
      <c r="A429" s="5">
        <f>IFERROR(__xludf.DUMMYFUNCTION("""COMPUTED_VALUE"""),2185.0)</f>
        <v>2185</v>
      </c>
      <c r="B429" s="9">
        <f>IFERROR(__xludf.DUMMYFUNCTION("""COMPUTED_VALUE"""),45334.31240740741)</f>
        <v>45334.31241</v>
      </c>
      <c r="C429" s="5" t="str">
        <f>IFERROR(__xludf.DUMMYFUNCTION("""COMPUTED_VALUE"""),"purchase")</f>
        <v>purchase</v>
      </c>
      <c r="D429" s="10">
        <f t="shared" si="1"/>
        <v>45334</v>
      </c>
      <c r="E429" s="10">
        <f t="shared" si="2"/>
        <v>45334</v>
      </c>
      <c r="F429" s="10">
        <f t="shared" si="3"/>
        <v>45323</v>
      </c>
      <c r="G429" s="11"/>
    </row>
    <row r="430">
      <c r="A430" s="5">
        <f>IFERROR(__xludf.DUMMYFUNCTION("""COMPUTED_VALUE"""),7699.0)</f>
        <v>7699</v>
      </c>
      <c r="B430" s="9">
        <f>IFERROR(__xludf.DUMMYFUNCTION("""COMPUTED_VALUE"""),45334.34663194444)</f>
        <v>45334.34663</v>
      </c>
      <c r="C430" s="5" t="str">
        <f>IFERROR(__xludf.DUMMYFUNCTION("""COMPUTED_VALUE"""),"purchase")</f>
        <v>purchase</v>
      </c>
      <c r="D430" s="10">
        <f t="shared" si="1"/>
        <v>45334</v>
      </c>
      <c r="E430" s="10">
        <f t="shared" si="2"/>
        <v>45334</v>
      </c>
      <c r="F430" s="10">
        <f t="shared" si="3"/>
        <v>45323</v>
      </c>
      <c r="G430" s="11"/>
    </row>
    <row r="431">
      <c r="A431" s="5">
        <f>IFERROR(__xludf.DUMMYFUNCTION("""COMPUTED_VALUE"""),173.0)</f>
        <v>173</v>
      </c>
      <c r="B431" s="9">
        <f>IFERROR(__xludf.DUMMYFUNCTION("""COMPUTED_VALUE"""),45334.38329861111)</f>
        <v>45334.3833</v>
      </c>
      <c r="C431" s="5" t="str">
        <f>IFERROR(__xludf.DUMMYFUNCTION("""COMPUTED_VALUE"""),"purchase")</f>
        <v>purchase</v>
      </c>
      <c r="D431" s="10">
        <f t="shared" si="1"/>
        <v>45334</v>
      </c>
      <c r="E431" s="10">
        <f t="shared" si="2"/>
        <v>45334</v>
      </c>
      <c r="F431" s="10">
        <f t="shared" si="3"/>
        <v>45323</v>
      </c>
      <c r="G431" s="11"/>
    </row>
    <row r="432">
      <c r="A432" s="5">
        <f>IFERROR(__xludf.DUMMYFUNCTION("""COMPUTED_VALUE"""),3296.0)</f>
        <v>3296</v>
      </c>
      <c r="B432" s="9">
        <f>IFERROR(__xludf.DUMMYFUNCTION("""COMPUTED_VALUE"""),45334.54394675926)</f>
        <v>45334.54395</v>
      </c>
      <c r="C432" s="5" t="str">
        <f>IFERROR(__xludf.DUMMYFUNCTION("""COMPUTED_VALUE"""),"purchase")</f>
        <v>purchase</v>
      </c>
      <c r="D432" s="10">
        <f t="shared" si="1"/>
        <v>45334</v>
      </c>
      <c r="E432" s="10">
        <f t="shared" si="2"/>
        <v>45334</v>
      </c>
      <c r="F432" s="10">
        <f t="shared" si="3"/>
        <v>45323</v>
      </c>
      <c r="G432" s="11"/>
    </row>
    <row r="433">
      <c r="A433" s="5">
        <f>IFERROR(__xludf.DUMMYFUNCTION("""COMPUTED_VALUE"""),7206.0)</f>
        <v>7206</v>
      </c>
      <c r="B433" s="9">
        <f>IFERROR(__xludf.DUMMYFUNCTION("""COMPUTED_VALUE"""),45334.69378472222)</f>
        <v>45334.69378</v>
      </c>
      <c r="C433" s="5" t="str">
        <f>IFERROR(__xludf.DUMMYFUNCTION("""COMPUTED_VALUE"""),"purchase")</f>
        <v>purchase</v>
      </c>
      <c r="D433" s="10">
        <f t="shared" si="1"/>
        <v>45334</v>
      </c>
      <c r="E433" s="10">
        <f t="shared" si="2"/>
        <v>45334</v>
      </c>
      <c r="F433" s="10">
        <f t="shared" si="3"/>
        <v>45323</v>
      </c>
      <c r="G433" s="11"/>
    </row>
    <row r="434">
      <c r="A434" s="5">
        <f>IFERROR(__xludf.DUMMYFUNCTION("""COMPUTED_VALUE"""),88.0)</f>
        <v>88</v>
      </c>
      <c r="B434" s="9">
        <f>IFERROR(__xludf.DUMMYFUNCTION("""COMPUTED_VALUE"""),45334.70542824074)</f>
        <v>45334.70543</v>
      </c>
      <c r="C434" s="5" t="str">
        <f>IFERROR(__xludf.DUMMYFUNCTION("""COMPUTED_VALUE"""),"purchase")</f>
        <v>purchase</v>
      </c>
      <c r="D434" s="10">
        <f t="shared" si="1"/>
        <v>45334</v>
      </c>
      <c r="E434" s="10">
        <f t="shared" si="2"/>
        <v>45334</v>
      </c>
      <c r="F434" s="10">
        <f t="shared" si="3"/>
        <v>45323</v>
      </c>
      <c r="G434" s="11"/>
    </row>
    <row r="435">
      <c r="A435" s="5">
        <f>IFERROR(__xludf.DUMMYFUNCTION("""COMPUTED_VALUE"""),5575.0)</f>
        <v>5575</v>
      </c>
      <c r="B435" s="9">
        <f>IFERROR(__xludf.DUMMYFUNCTION("""COMPUTED_VALUE"""),45334.907997685186)</f>
        <v>45334.908</v>
      </c>
      <c r="C435" s="5" t="str">
        <f>IFERROR(__xludf.DUMMYFUNCTION("""COMPUTED_VALUE"""),"purchase")</f>
        <v>purchase</v>
      </c>
      <c r="D435" s="10">
        <f t="shared" si="1"/>
        <v>45334</v>
      </c>
      <c r="E435" s="10">
        <f t="shared" si="2"/>
        <v>45334</v>
      </c>
      <c r="F435" s="10">
        <f t="shared" si="3"/>
        <v>45323</v>
      </c>
      <c r="G435" s="11"/>
    </row>
    <row r="436">
      <c r="A436" s="5">
        <f>IFERROR(__xludf.DUMMYFUNCTION("""COMPUTED_VALUE"""),3222.0)</f>
        <v>3222</v>
      </c>
      <c r="B436" s="9">
        <f>IFERROR(__xludf.DUMMYFUNCTION("""COMPUTED_VALUE"""),45335.073912037034)</f>
        <v>45335.07391</v>
      </c>
      <c r="C436" s="5" t="str">
        <f>IFERROR(__xludf.DUMMYFUNCTION("""COMPUTED_VALUE"""),"purchase")</f>
        <v>purchase</v>
      </c>
      <c r="D436" s="10">
        <f t="shared" si="1"/>
        <v>45335</v>
      </c>
      <c r="E436" s="10">
        <f t="shared" si="2"/>
        <v>45334</v>
      </c>
      <c r="F436" s="10">
        <f t="shared" si="3"/>
        <v>45323</v>
      </c>
      <c r="G436" s="11"/>
    </row>
    <row r="437">
      <c r="A437" s="5">
        <f>IFERROR(__xludf.DUMMYFUNCTION("""COMPUTED_VALUE"""),6129.0)</f>
        <v>6129</v>
      </c>
      <c r="B437" s="9">
        <f>IFERROR(__xludf.DUMMYFUNCTION("""COMPUTED_VALUE"""),45335.17842592593)</f>
        <v>45335.17843</v>
      </c>
      <c r="C437" s="5" t="str">
        <f>IFERROR(__xludf.DUMMYFUNCTION("""COMPUTED_VALUE"""),"purchase")</f>
        <v>purchase</v>
      </c>
      <c r="D437" s="10">
        <f t="shared" si="1"/>
        <v>45335</v>
      </c>
      <c r="E437" s="10">
        <f t="shared" si="2"/>
        <v>45334</v>
      </c>
      <c r="F437" s="10">
        <f t="shared" si="3"/>
        <v>45323</v>
      </c>
      <c r="G437" s="11"/>
    </row>
    <row r="438">
      <c r="A438" s="5">
        <f>IFERROR(__xludf.DUMMYFUNCTION("""COMPUTED_VALUE"""),6927.0)</f>
        <v>6927</v>
      </c>
      <c r="B438" s="9">
        <f>IFERROR(__xludf.DUMMYFUNCTION("""COMPUTED_VALUE"""),45335.246145833335)</f>
        <v>45335.24615</v>
      </c>
      <c r="C438" s="5" t="str">
        <f>IFERROR(__xludf.DUMMYFUNCTION("""COMPUTED_VALUE"""),"purchase")</f>
        <v>purchase</v>
      </c>
      <c r="D438" s="10">
        <f t="shared" si="1"/>
        <v>45335</v>
      </c>
      <c r="E438" s="10">
        <f t="shared" si="2"/>
        <v>45334</v>
      </c>
      <c r="F438" s="10">
        <f t="shared" si="3"/>
        <v>45323</v>
      </c>
      <c r="G438" s="11"/>
    </row>
    <row r="439">
      <c r="A439" s="5">
        <f>IFERROR(__xludf.DUMMYFUNCTION("""COMPUTED_VALUE"""),6855.0)</f>
        <v>6855</v>
      </c>
      <c r="B439" s="9">
        <f>IFERROR(__xludf.DUMMYFUNCTION("""COMPUTED_VALUE"""),45335.25635416667)</f>
        <v>45335.25635</v>
      </c>
      <c r="C439" s="5" t="str">
        <f>IFERROR(__xludf.DUMMYFUNCTION("""COMPUTED_VALUE"""),"purchase")</f>
        <v>purchase</v>
      </c>
      <c r="D439" s="10">
        <f t="shared" si="1"/>
        <v>45335</v>
      </c>
      <c r="E439" s="10">
        <f t="shared" si="2"/>
        <v>45334</v>
      </c>
      <c r="F439" s="10">
        <f t="shared" si="3"/>
        <v>45323</v>
      </c>
      <c r="G439" s="11"/>
    </row>
    <row r="440">
      <c r="A440" s="5">
        <f>IFERROR(__xludf.DUMMYFUNCTION("""COMPUTED_VALUE"""),5841.0)</f>
        <v>5841</v>
      </c>
      <c r="B440" s="9">
        <f>IFERROR(__xludf.DUMMYFUNCTION("""COMPUTED_VALUE"""),45335.357256944444)</f>
        <v>45335.35726</v>
      </c>
      <c r="C440" s="5" t="str">
        <f>IFERROR(__xludf.DUMMYFUNCTION("""COMPUTED_VALUE"""),"purchase")</f>
        <v>purchase</v>
      </c>
      <c r="D440" s="10">
        <f t="shared" si="1"/>
        <v>45335</v>
      </c>
      <c r="E440" s="10">
        <f t="shared" si="2"/>
        <v>45334</v>
      </c>
      <c r="F440" s="10">
        <f t="shared" si="3"/>
        <v>45323</v>
      </c>
      <c r="G440" s="11"/>
    </row>
    <row r="441">
      <c r="A441" s="5">
        <f>IFERROR(__xludf.DUMMYFUNCTION("""COMPUTED_VALUE"""),1211.0)</f>
        <v>1211</v>
      </c>
      <c r="B441" s="9">
        <f>IFERROR(__xludf.DUMMYFUNCTION("""COMPUTED_VALUE"""),45335.437106481484)</f>
        <v>45335.43711</v>
      </c>
      <c r="C441" s="5" t="str">
        <f>IFERROR(__xludf.DUMMYFUNCTION("""COMPUTED_VALUE"""),"purchase")</f>
        <v>purchase</v>
      </c>
      <c r="D441" s="10">
        <f t="shared" si="1"/>
        <v>45335</v>
      </c>
      <c r="E441" s="10">
        <f t="shared" si="2"/>
        <v>45334</v>
      </c>
      <c r="F441" s="10">
        <f t="shared" si="3"/>
        <v>45323</v>
      </c>
      <c r="G441" s="11"/>
    </row>
    <row r="442">
      <c r="A442" s="5">
        <f>IFERROR(__xludf.DUMMYFUNCTION("""COMPUTED_VALUE"""),5329.0)</f>
        <v>5329</v>
      </c>
      <c r="B442" s="9">
        <f>IFERROR(__xludf.DUMMYFUNCTION("""COMPUTED_VALUE"""),45335.47142361111)</f>
        <v>45335.47142</v>
      </c>
      <c r="C442" s="5" t="str">
        <f>IFERROR(__xludf.DUMMYFUNCTION("""COMPUTED_VALUE"""),"purchase")</f>
        <v>purchase</v>
      </c>
      <c r="D442" s="10">
        <f t="shared" si="1"/>
        <v>45335</v>
      </c>
      <c r="E442" s="10">
        <f t="shared" si="2"/>
        <v>45334</v>
      </c>
      <c r="F442" s="10">
        <f t="shared" si="3"/>
        <v>45323</v>
      </c>
      <c r="G442" s="11"/>
    </row>
    <row r="443">
      <c r="A443" s="5">
        <f>IFERROR(__xludf.DUMMYFUNCTION("""COMPUTED_VALUE"""),4817.0)</f>
        <v>4817</v>
      </c>
      <c r="B443" s="9">
        <f>IFERROR(__xludf.DUMMYFUNCTION("""COMPUTED_VALUE"""),45335.58347222222)</f>
        <v>45335.58347</v>
      </c>
      <c r="C443" s="5" t="str">
        <f>IFERROR(__xludf.DUMMYFUNCTION("""COMPUTED_VALUE"""),"purchase")</f>
        <v>purchase</v>
      </c>
      <c r="D443" s="10">
        <f t="shared" si="1"/>
        <v>45335</v>
      </c>
      <c r="E443" s="10">
        <f t="shared" si="2"/>
        <v>45334</v>
      </c>
      <c r="F443" s="10">
        <f t="shared" si="3"/>
        <v>45323</v>
      </c>
      <c r="G443" s="11"/>
    </row>
    <row r="444">
      <c r="A444" s="5">
        <f>IFERROR(__xludf.DUMMYFUNCTION("""COMPUTED_VALUE"""),7050.0)</f>
        <v>7050</v>
      </c>
      <c r="B444" s="9">
        <f>IFERROR(__xludf.DUMMYFUNCTION("""COMPUTED_VALUE"""),45335.67273148148)</f>
        <v>45335.67273</v>
      </c>
      <c r="C444" s="5" t="str">
        <f>IFERROR(__xludf.DUMMYFUNCTION("""COMPUTED_VALUE"""),"purchase")</f>
        <v>purchase</v>
      </c>
      <c r="D444" s="10">
        <f t="shared" si="1"/>
        <v>45335</v>
      </c>
      <c r="E444" s="10">
        <f t="shared" si="2"/>
        <v>45334</v>
      </c>
      <c r="F444" s="10">
        <f t="shared" si="3"/>
        <v>45323</v>
      </c>
      <c r="G444" s="11"/>
    </row>
    <row r="445">
      <c r="A445" s="5">
        <f>IFERROR(__xludf.DUMMYFUNCTION("""COMPUTED_VALUE"""),5096.0)</f>
        <v>5096</v>
      </c>
      <c r="B445" s="9">
        <f>IFERROR(__xludf.DUMMYFUNCTION("""COMPUTED_VALUE"""),45335.699641203704)</f>
        <v>45335.69964</v>
      </c>
      <c r="C445" s="5" t="str">
        <f>IFERROR(__xludf.DUMMYFUNCTION("""COMPUTED_VALUE"""),"purchase")</f>
        <v>purchase</v>
      </c>
      <c r="D445" s="10">
        <f t="shared" si="1"/>
        <v>45335</v>
      </c>
      <c r="E445" s="10">
        <f t="shared" si="2"/>
        <v>45334</v>
      </c>
      <c r="F445" s="10">
        <f t="shared" si="3"/>
        <v>45323</v>
      </c>
      <c r="G445" s="11"/>
    </row>
    <row r="446">
      <c r="A446" s="5">
        <f>IFERROR(__xludf.DUMMYFUNCTION("""COMPUTED_VALUE"""),5665.0)</f>
        <v>5665</v>
      </c>
      <c r="B446" s="9">
        <f>IFERROR(__xludf.DUMMYFUNCTION("""COMPUTED_VALUE"""),45335.75064814815)</f>
        <v>45335.75065</v>
      </c>
      <c r="C446" s="5" t="str">
        <f>IFERROR(__xludf.DUMMYFUNCTION("""COMPUTED_VALUE"""),"purchase")</f>
        <v>purchase</v>
      </c>
      <c r="D446" s="10">
        <f t="shared" si="1"/>
        <v>45335</v>
      </c>
      <c r="E446" s="10">
        <f t="shared" si="2"/>
        <v>45334</v>
      </c>
      <c r="F446" s="10">
        <f t="shared" si="3"/>
        <v>45323</v>
      </c>
      <c r="G446" s="11"/>
    </row>
    <row r="447">
      <c r="A447" s="5">
        <f>IFERROR(__xludf.DUMMYFUNCTION("""COMPUTED_VALUE"""),7815.0)</f>
        <v>7815</v>
      </c>
      <c r="B447" s="9">
        <f>IFERROR(__xludf.DUMMYFUNCTION("""COMPUTED_VALUE"""),45335.81736111111)</f>
        <v>45335.81736</v>
      </c>
      <c r="C447" s="5" t="str">
        <f>IFERROR(__xludf.DUMMYFUNCTION("""COMPUTED_VALUE"""),"purchase")</f>
        <v>purchase</v>
      </c>
      <c r="D447" s="10">
        <f t="shared" si="1"/>
        <v>45335</v>
      </c>
      <c r="E447" s="10">
        <f t="shared" si="2"/>
        <v>45334</v>
      </c>
      <c r="F447" s="10">
        <f t="shared" si="3"/>
        <v>45323</v>
      </c>
      <c r="G447" s="11"/>
    </row>
    <row r="448">
      <c r="A448" s="5">
        <f>IFERROR(__xludf.DUMMYFUNCTION("""COMPUTED_VALUE"""),1262.0)</f>
        <v>1262</v>
      </c>
      <c r="B448" s="9">
        <f>IFERROR(__xludf.DUMMYFUNCTION("""COMPUTED_VALUE"""),45335.90797453704)</f>
        <v>45335.90797</v>
      </c>
      <c r="C448" s="5" t="str">
        <f>IFERROR(__xludf.DUMMYFUNCTION("""COMPUTED_VALUE"""),"purchase")</f>
        <v>purchase</v>
      </c>
      <c r="D448" s="10">
        <f t="shared" si="1"/>
        <v>45335</v>
      </c>
      <c r="E448" s="10">
        <f t="shared" si="2"/>
        <v>45334</v>
      </c>
      <c r="F448" s="10">
        <f t="shared" si="3"/>
        <v>45323</v>
      </c>
      <c r="G448" s="11"/>
    </row>
    <row r="449">
      <c r="A449" s="5">
        <f>IFERROR(__xludf.DUMMYFUNCTION("""COMPUTED_VALUE"""),1618.0)</f>
        <v>1618</v>
      </c>
      <c r="B449" s="9">
        <f>IFERROR(__xludf.DUMMYFUNCTION("""COMPUTED_VALUE"""),45335.95444444445)</f>
        <v>45335.95444</v>
      </c>
      <c r="C449" s="5" t="str">
        <f>IFERROR(__xludf.DUMMYFUNCTION("""COMPUTED_VALUE"""),"purchase")</f>
        <v>purchase</v>
      </c>
      <c r="D449" s="10">
        <f t="shared" si="1"/>
        <v>45335</v>
      </c>
      <c r="E449" s="10">
        <f t="shared" si="2"/>
        <v>45334</v>
      </c>
      <c r="F449" s="10">
        <f t="shared" si="3"/>
        <v>45323</v>
      </c>
      <c r="G449" s="11"/>
    </row>
    <row r="450">
      <c r="A450" s="5">
        <f>IFERROR(__xludf.DUMMYFUNCTION("""COMPUTED_VALUE"""),4551.0)</f>
        <v>4551</v>
      </c>
      <c r="B450" s="9">
        <f>IFERROR(__xludf.DUMMYFUNCTION("""COMPUTED_VALUE"""),45336.004895833335)</f>
        <v>45336.0049</v>
      </c>
      <c r="C450" s="5" t="str">
        <f>IFERROR(__xludf.DUMMYFUNCTION("""COMPUTED_VALUE"""),"purchase")</f>
        <v>purchase</v>
      </c>
      <c r="D450" s="10">
        <f t="shared" si="1"/>
        <v>45336</v>
      </c>
      <c r="E450" s="10">
        <f t="shared" si="2"/>
        <v>45334</v>
      </c>
      <c r="F450" s="10">
        <f t="shared" si="3"/>
        <v>45323</v>
      </c>
      <c r="G450" s="11"/>
    </row>
    <row r="451">
      <c r="A451" s="5">
        <f>IFERROR(__xludf.DUMMYFUNCTION("""COMPUTED_VALUE"""),1732.0)</f>
        <v>1732</v>
      </c>
      <c r="B451" s="9">
        <f>IFERROR(__xludf.DUMMYFUNCTION("""COMPUTED_VALUE"""),45336.04078703704)</f>
        <v>45336.04079</v>
      </c>
      <c r="C451" s="5" t="str">
        <f>IFERROR(__xludf.DUMMYFUNCTION("""COMPUTED_VALUE"""),"purchase")</f>
        <v>purchase</v>
      </c>
      <c r="D451" s="10">
        <f t="shared" si="1"/>
        <v>45336</v>
      </c>
      <c r="E451" s="10">
        <f t="shared" si="2"/>
        <v>45334</v>
      </c>
      <c r="F451" s="10">
        <f t="shared" si="3"/>
        <v>45323</v>
      </c>
      <c r="G451" s="11"/>
    </row>
    <row r="452">
      <c r="A452" s="5">
        <f>IFERROR(__xludf.DUMMYFUNCTION("""COMPUTED_VALUE"""),2689.0)</f>
        <v>2689</v>
      </c>
      <c r="B452" s="9">
        <f>IFERROR(__xludf.DUMMYFUNCTION("""COMPUTED_VALUE"""),45336.14498842593)</f>
        <v>45336.14499</v>
      </c>
      <c r="C452" s="5" t="str">
        <f>IFERROR(__xludf.DUMMYFUNCTION("""COMPUTED_VALUE"""),"purchase")</f>
        <v>purchase</v>
      </c>
      <c r="D452" s="10">
        <f t="shared" si="1"/>
        <v>45336</v>
      </c>
      <c r="E452" s="10">
        <f t="shared" si="2"/>
        <v>45334</v>
      </c>
      <c r="F452" s="10">
        <f t="shared" si="3"/>
        <v>45323</v>
      </c>
      <c r="G452" s="11"/>
    </row>
    <row r="453">
      <c r="A453" s="5">
        <f>IFERROR(__xludf.DUMMYFUNCTION("""COMPUTED_VALUE"""),7597.0)</f>
        <v>7597</v>
      </c>
      <c r="B453" s="9">
        <f>IFERROR(__xludf.DUMMYFUNCTION("""COMPUTED_VALUE"""),45336.20028935185)</f>
        <v>45336.20029</v>
      </c>
      <c r="C453" s="5" t="str">
        <f>IFERROR(__xludf.DUMMYFUNCTION("""COMPUTED_VALUE"""),"purchase")</f>
        <v>purchase</v>
      </c>
      <c r="D453" s="10">
        <f t="shared" si="1"/>
        <v>45336</v>
      </c>
      <c r="E453" s="10">
        <f t="shared" si="2"/>
        <v>45334</v>
      </c>
      <c r="F453" s="10">
        <f t="shared" si="3"/>
        <v>45323</v>
      </c>
      <c r="G453" s="11"/>
    </row>
    <row r="454">
      <c r="A454" s="5">
        <f>IFERROR(__xludf.DUMMYFUNCTION("""COMPUTED_VALUE"""),4295.0)</f>
        <v>4295</v>
      </c>
      <c r="B454" s="9">
        <f>IFERROR(__xludf.DUMMYFUNCTION("""COMPUTED_VALUE"""),45336.34916666667)</f>
        <v>45336.34917</v>
      </c>
      <c r="C454" s="5" t="str">
        <f>IFERROR(__xludf.DUMMYFUNCTION("""COMPUTED_VALUE"""),"purchase")</f>
        <v>purchase</v>
      </c>
      <c r="D454" s="10">
        <f t="shared" si="1"/>
        <v>45336</v>
      </c>
      <c r="E454" s="10">
        <f t="shared" si="2"/>
        <v>45334</v>
      </c>
      <c r="F454" s="10">
        <f t="shared" si="3"/>
        <v>45323</v>
      </c>
      <c r="G454" s="11"/>
    </row>
    <row r="455">
      <c r="A455" s="5">
        <f>IFERROR(__xludf.DUMMYFUNCTION("""COMPUTED_VALUE"""),1845.0)</f>
        <v>1845</v>
      </c>
      <c r="B455" s="9">
        <f>IFERROR(__xludf.DUMMYFUNCTION("""COMPUTED_VALUE"""),45336.416967592595)</f>
        <v>45336.41697</v>
      </c>
      <c r="C455" s="5" t="str">
        <f>IFERROR(__xludf.DUMMYFUNCTION("""COMPUTED_VALUE"""),"purchase")</f>
        <v>purchase</v>
      </c>
      <c r="D455" s="10">
        <f t="shared" si="1"/>
        <v>45336</v>
      </c>
      <c r="E455" s="10">
        <f t="shared" si="2"/>
        <v>45334</v>
      </c>
      <c r="F455" s="10">
        <f t="shared" si="3"/>
        <v>45323</v>
      </c>
      <c r="G455" s="11"/>
    </row>
    <row r="456">
      <c r="A456" s="5">
        <f>IFERROR(__xludf.DUMMYFUNCTION("""COMPUTED_VALUE"""),2216.0)</f>
        <v>2216</v>
      </c>
      <c r="B456" s="9">
        <f>IFERROR(__xludf.DUMMYFUNCTION("""COMPUTED_VALUE"""),45336.483252314814)</f>
        <v>45336.48325</v>
      </c>
      <c r="C456" s="5" t="str">
        <f>IFERROR(__xludf.DUMMYFUNCTION("""COMPUTED_VALUE"""),"purchase")</f>
        <v>purchase</v>
      </c>
      <c r="D456" s="10">
        <f t="shared" si="1"/>
        <v>45336</v>
      </c>
      <c r="E456" s="10">
        <f t="shared" si="2"/>
        <v>45334</v>
      </c>
      <c r="F456" s="10">
        <f t="shared" si="3"/>
        <v>45323</v>
      </c>
      <c r="G456" s="11"/>
    </row>
    <row r="457">
      <c r="A457" s="5">
        <f>IFERROR(__xludf.DUMMYFUNCTION("""COMPUTED_VALUE"""),5863.0)</f>
        <v>5863</v>
      </c>
      <c r="B457" s="9">
        <f>IFERROR(__xludf.DUMMYFUNCTION("""COMPUTED_VALUE"""),45336.50643518518)</f>
        <v>45336.50644</v>
      </c>
      <c r="C457" s="5" t="str">
        <f>IFERROR(__xludf.DUMMYFUNCTION("""COMPUTED_VALUE"""),"purchase")</f>
        <v>purchase</v>
      </c>
      <c r="D457" s="10">
        <f t="shared" si="1"/>
        <v>45336</v>
      </c>
      <c r="E457" s="10">
        <f t="shared" si="2"/>
        <v>45334</v>
      </c>
      <c r="F457" s="10">
        <f t="shared" si="3"/>
        <v>45323</v>
      </c>
      <c r="G457" s="11"/>
    </row>
    <row r="458">
      <c r="A458" s="5">
        <f>IFERROR(__xludf.DUMMYFUNCTION("""COMPUTED_VALUE"""),5904.0)</f>
        <v>5904</v>
      </c>
      <c r="B458" s="9">
        <f>IFERROR(__xludf.DUMMYFUNCTION("""COMPUTED_VALUE"""),45336.52857638889)</f>
        <v>45336.52858</v>
      </c>
      <c r="C458" s="5" t="str">
        <f>IFERROR(__xludf.DUMMYFUNCTION("""COMPUTED_VALUE"""),"purchase")</f>
        <v>purchase</v>
      </c>
      <c r="D458" s="10">
        <f t="shared" si="1"/>
        <v>45336</v>
      </c>
      <c r="E458" s="10">
        <f t="shared" si="2"/>
        <v>45334</v>
      </c>
      <c r="F458" s="10">
        <f t="shared" si="3"/>
        <v>45323</v>
      </c>
      <c r="G458" s="11"/>
    </row>
    <row r="459">
      <c r="A459" s="5">
        <f>IFERROR(__xludf.DUMMYFUNCTION("""COMPUTED_VALUE"""),7249.0)</f>
        <v>7249</v>
      </c>
      <c r="B459" s="9">
        <f>IFERROR(__xludf.DUMMYFUNCTION("""COMPUTED_VALUE"""),45336.72630787037)</f>
        <v>45336.72631</v>
      </c>
      <c r="C459" s="5" t="str">
        <f>IFERROR(__xludf.DUMMYFUNCTION("""COMPUTED_VALUE"""),"purchase")</f>
        <v>purchase</v>
      </c>
      <c r="D459" s="10">
        <f t="shared" si="1"/>
        <v>45336</v>
      </c>
      <c r="E459" s="10">
        <f t="shared" si="2"/>
        <v>45334</v>
      </c>
      <c r="F459" s="10">
        <f t="shared" si="3"/>
        <v>45323</v>
      </c>
      <c r="G459" s="11"/>
    </row>
    <row r="460">
      <c r="A460" s="5">
        <f>IFERROR(__xludf.DUMMYFUNCTION("""COMPUTED_VALUE"""),5000.0)</f>
        <v>5000</v>
      </c>
      <c r="B460" s="9">
        <f>IFERROR(__xludf.DUMMYFUNCTION("""COMPUTED_VALUE"""),45336.80712962963)</f>
        <v>45336.80713</v>
      </c>
      <c r="C460" s="5" t="str">
        <f>IFERROR(__xludf.DUMMYFUNCTION("""COMPUTED_VALUE"""),"purchase")</f>
        <v>purchase</v>
      </c>
      <c r="D460" s="10">
        <f t="shared" si="1"/>
        <v>45336</v>
      </c>
      <c r="E460" s="10">
        <f t="shared" si="2"/>
        <v>45334</v>
      </c>
      <c r="F460" s="10">
        <f t="shared" si="3"/>
        <v>45323</v>
      </c>
      <c r="G460" s="11"/>
    </row>
    <row r="461">
      <c r="A461" s="5">
        <f>IFERROR(__xludf.DUMMYFUNCTION("""COMPUTED_VALUE"""),4922.0)</f>
        <v>4922</v>
      </c>
      <c r="B461" s="9">
        <f>IFERROR(__xludf.DUMMYFUNCTION("""COMPUTED_VALUE"""),45336.92146990741)</f>
        <v>45336.92147</v>
      </c>
      <c r="C461" s="5" t="str">
        <f>IFERROR(__xludf.DUMMYFUNCTION("""COMPUTED_VALUE"""),"purchase")</f>
        <v>purchase</v>
      </c>
      <c r="D461" s="10">
        <f t="shared" si="1"/>
        <v>45336</v>
      </c>
      <c r="E461" s="10">
        <f t="shared" si="2"/>
        <v>45334</v>
      </c>
      <c r="F461" s="10">
        <f t="shared" si="3"/>
        <v>45323</v>
      </c>
      <c r="G461" s="11"/>
    </row>
    <row r="462">
      <c r="A462" s="5">
        <f>IFERROR(__xludf.DUMMYFUNCTION("""COMPUTED_VALUE"""),249.0)</f>
        <v>249</v>
      </c>
      <c r="B462" s="9">
        <f>IFERROR(__xludf.DUMMYFUNCTION("""COMPUTED_VALUE"""),45336.96428240741)</f>
        <v>45336.96428</v>
      </c>
      <c r="C462" s="5" t="str">
        <f>IFERROR(__xludf.DUMMYFUNCTION("""COMPUTED_VALUE"""),"purchase")</f>
        <v>purchase</v>
      </c>
      <c r="D462" s="10">
        <f t="shared" si="1"/>
        <v>45336</v>
      </c>
      <c r="E462" s="10">
        <f t="shared" si="2"/>
        <v>45334</v>
      </c>
      <c r="F462" s="10">
        <f t="shared" si="3"/>
        <v>45323</v>
      </c>
      <c r="G462" s="11"/>
    </row>
    <row r="463">
      <c r="A463" s="5">
        <f>IFERROR(__xludf.DUMMYFUNCTION("""COMPUTED_VALUE"""),2352.0)</f>
        <v>2352</v>
      </c>
      <c r="B463" s="9">
        <f>IFERROR(__xludf.DUMMYFUNCTION("""COMPUTED_VALUE"""),45337.02457175926)</f>
        <v>45337.02457</v>
      </c>
      <c r="C463" s="5" t="str">
        <f>IFERROR(__xludf.DUMMYFUNCTION("""COMPUTED_VALUE"""),"purchase")</f>
        <v>purchase</v>
      </c>
      <c r="D463" s="10">
        <f t="shared" si="1"/>
        <v>45337</v>
      </c>
      <c r="E463" s="10">
        <f t="shared" si="2"/>
        <v>45334</v>
      </c>
      <c r="F463" s="10">
        <f t="shared" si="3"/>
        <v>45323</v>
      </c>
      <c r="G463" s="11"/>
    </row>
    <row r="464">
      <c r="A464" s="5">
        <f>IFERROR(__xludf.DUMMYFUNCTION("""COMPUTED_VALUE"""),6345.0)</f>
        <v>6345</v>
      </c>
      <c r="B464" s="9">
        <f>IFERROR(__xludf.DUMMYFUNCTION("""COMPUTED_VALUE"""),45337.02657407407)</f>
        <v>45337.02657</v>
      </c>
      <c r="C464" s="5" t="str">
        <f>IFERROR(__xludf.DUMMYFUNCTION("""COMPUTED_VALUE"""),"purchase")</f>
        <v>purchase</v>
      </c>
      <c r="D464" s="10">
        <f t="shared" si="1"/>
        <v>45337</v>
      </c>
      <c r="E464" s="10">
        <f t="shared" si="2"/>
        <v>45334</v>
      </c>
      <c r="F464" s="10">
        <f t="shared" si="3"/>
        <v>45323</v>
      </c>
      <c r="G464" s="11"/>
    </row>
    <row r="465">
      <c r="A465" s="5">
        <f>IFERROR(__xludf.DUMMYFUNCTION("""COMPUTED_VALUE"""),738.0)</f>
        <v>738</v>
      </c>
      <c r="B465" s="9">
        <f>IFERROR(__xludf.DUMMYFUNCTION("""COMPUTED_VALUE"""),45337.040185185186)</f>
        <v>45337.04019</v>
      </c>
      <c r="C465" s="5" t="str">
        <f>IFERROR(__xludf.DUMMYFUNCTION("""COMPUTED_VALUE"""),"purchase")</f>
        <v>purchase</v>
      </c>
      <c r="D465" s="10">
        <f t="shared" si="1"/>
        <v>45337</v>
      </c>
      <c r="E465" s="10">
        <f t="shared" si="2"/>
        <v>45334</v>
      </c>
      <c r="F465" s="10">
        <f t="shared" si="3"/>
        <v>45323</v>
      </c>
      <c r="G465" s="11"/>
    </row>
    <row r="466">
      <c r="A466" s="5">
        <f>IFERROR(__xludf.DUMMYFUNCTION("""COMPUTED_VALUE"""),4921.0)</f>
        <v>4921</v>
      </c>
      <c r="B466" s="9">
        <f>IFERROR(__xludf.DUMMYFUNCTION("""COMPUTED_VALUE"""),45337.32575231481)</f>
        <v>45337.32575</v>
      </c>
      <c r="C466" s="5" t="str">
        <f>IFERROR(__xludf.DUMMYFUNCTION("""COMPUTED_VALUE"""),"purchase")</f>
        <v>purchase</v>
      </c>
      <c r="D466" s="10">
        <f t="shared" si="1"/>
        <v>45337</v>
      </c>
      <c r="E466" s="10">
        <f t="shared" si="2"/>
        <v>45334</v>
      </c>
      <c r="F466" s="10">
        <f t="shared" si="3"/>
        <v>45323</v>
      </c>
      <c r="G466" s="11"/>
    </row>
    <row r="467">
      <c r="A467" s="5">
        <f>IFERROR(__xludf.DUMMYFUNCTION("""COMPUTED_VALUE"""),157.0)</f>
        <v>157</v>
      </c>
      <c r="B467" s="9">
        <f>IFERROR(__xludf.DUMMYFUNCTION("""COMPUTED_VALUE"""),45337.33855324074)</f>
        <v>45337.33855</v>
      </c>
      <c r="C467" s="5" t="str">
        <f>IFERROR(__xludf.DUMMYFUNCTION("""COMPUTED_VALUE"""),"purchase")</f>
        <v>purchase</v>
      </c>
      <c r="D467" s="10">
        <f t="shared" si="1"/>
        <v>45337</v>
      </c>
      <c r="E467" s="10">
        <f t="shared" si="2"/>
        <v>45334</v>
      </c>
      <c r="F467" s="10">
        <f t="shared" si="3"/>
        <v>45323</v>
      </c>
      <c r="G467" s="11"/>
    </row>
    <row r="468">
      <c r="A468" s="5">
        <f>IFERROR(__xludf.DUMMYFUNCTION("""COMPUTED_VALUE"""),3976.0)</f>
        <v>3976</v>
      </c>
      <c r="B468" s="9">
        <f>IFERROR(__xludf.DUMMYFUNCTION("""COMPUTED_VALUE"""),45337.34112268518)</f>
        <v>45337.34112</v>
      </c>
      <c r="C468" s="5" t="str">
        <f>IFERROR(__xludf.DUMMYFUNCTION("""COMPUTED_VALUE"""),"purchase")</f>
        <v>purchase</v>
      </c>
      <c r="D468" s="10">
        <f t="shared" si="1"/>
        <v>45337</v>
      </c>
      <c r="E468" s="10">
        <f t="shared" si="2"/>
        <v>45334</v>
      </c>
      <c r="F468" s="10">
        <f t="shared" si="3"/>
        <v>45323</v>
      </c>
      <c r="G468" s="11"/>
    </row>
    <row r="469">
      <c r="A469" s="5">
        <f>IFERROR(__xludf.DUMMYFUNCTION("""COMPUTED_VALUE"""),1841.0)</f>
        <v>1841</v>
      </c>
      <c r="B469" s="9">
        <f>IFERROR(__xludf.DUMMYFUNCTION("""COMPUTED_VALUE"""),45337.43761574074)</f>
        <v>45337.43762</v>
      </c>
      <c r="C469" s="5" t="str">
        <f>IFERROR(__xludf.DUMMYFUNCTION("""COMPUTED_VALUE"""),"purchase")</f>
        <v>purchase</v>
      </c>
      <c r="D469" s="10">
        <f t="shared" si="1"/>
        <v>45337</v>
      </c>
      <c r="E469" s="10">
        <f t="shared" si="2"/>
        <v>45334</v>
      </c>
      <c r="F469" s="10">
        <f t="shared" si="3"/>
        <v>45323</v>
      </c>
      <c r="G469" s="11"/>
    </row>
    <row r="470">
      <c r="A470" s="5">
        <f>IFERROR(__xludf.DUMMYFUNCTION("""COMPUTED_VALUE"""),5014.0)</f>
        <v>5014</v>
      </c>
      <c r="B470" s="9">
        <f>IFERROR(__xludf.DUMMYFUNCTION("""COMPUTED_VALUE"""),45337.48746527778)</f>
        <v>45337.48747</v>
      </c>
      <c r="C470" s="5" t="str">
        <f>IFERROR(__xludf.DUMMYFUNCTION("""COMPUTED_VALUE"""),"purchase")</f>
        <v>purchase</v>
      </c>
      <c r="D470" s="10">
        <f t="shared" si="1"/>
        <v>45337</v>
      </c>
      <c r="E470" s="10">
        <f t="shared" si="2"/>
        <v>45334</v>
      </c>
      <c r="F470" s="10">
        <f t="shared" si="3"/>
        <v>45323</v>
      </c>
      <c r="G470" s="11"/>
    </row>
    <row r="471">
      <c r="A471" s="5">
        <f>IFERROR(__xludf.DUMMYFUNCTION("""COMPUTED_VALUE"""),5929.0)</f>
        <v>5929</v>
      </c>
      <c r="B471" s="9">
        <f>IFERROR(__xludf.DUMMYFUNCTION("""COMPUTED_VALUE"""),45337.69994212963)</f>
        <v>45337.69994</v>
      </c>
      <c r="C471" s="5" t="str">
        <f>IFERROR(__xludf.DUMMYFUNCTION("""COMPUTED_VALUE"""),"purchase")</f>
        <v>purchase</v>
      </c>
      <c r="D471" s="10">
        <f t="shared" si="1"/>
        <v>45337</v>
      </c>
      <c r="E471" s="10">
        <f t="shared" si="2"/>
        <v>45334</v>
      </c>
      <c r="F471" s="10">
        <f t="shared" si="3"/>
        <v>45323</v>
      </c>
      <c r="G471" s="11"/>
    </row>
    <row r="472">
      <c r="A472" s="5">
        <f>IFERROR(__xludf.DUMMYFUNCTION("""COMPUTED_VALUE"""),7537.0)</f>
        <v>7537</v>
      </c>
      <c r="B472" s="9">
        <f>IFERROR(__xludf.DUMMYFUNCTION("""COMPUTED_VALUE"""),45337.71195601852)</f>
        <v>45337.71196</v>
      </c>
      <c r="C472" s="5" t="str">
        <f>IFERROR(__xludf.DUMMYFUNCTION("""COMPUTED_VALUE"""),"purchase")</f>
        <v>purchase</v>
      </c>
      <c r="D472" s="10">
        <f t="shared" si="1"/>
        <v>45337</v>
      </c>
      <c r="E472" s="10">
        <f t="shared" si="2"/>
        <v>45334</v>
      </c>
      <c r="F472" s="10">
        <f t="shared" si="3"/>
        <v>45323</v>
      </c>
      <c r="G472" s="11"/>
    </row>
    <row r="473">
      <c r="A473" s="5">
        <f>IFERROR(__xludf.DUMMYFUNCTION("""COMPUTED_VALUE"""),5608.0)</f>
        <v>5608</v>
      </c>
      <c r="B473" s="9">
        <f>IFERROR(__xludf.DUMMYFUNCTION("""COMPUTED_VALUE"""),45337.74015046296)</f>
        <v>45337.74015</v>
      </c>
      <c r="C473" s="5" t="str">
        <f>IFERROR(__xludf.DUMMYFUNCTION("""COMPUTED_VALUE"""),"purchase")</f>
        <v>purchase</v>
      </c>
      <c r="D473" s="10">
        <f t="shared" si="1"/>
        <v>45337</v>
      </c>
      <c r="E473" s="10">
        <f t="shared" si="2"/>
        <v>45334</v>
      </c>
      <c r="F473" s="10">
        <f t="shared" si="3"/>
        <v>45323</v>
      </c>
      <c r="G473" s="11"/>
    </row>
    <row r="474">
      <c r="A474" s="5">
        <f>IFERROR(__xludf.DUMMYFUNCTION("""COMPUTED_VALUE"""),1859.0)</f>
        <v>1859</v>
      </c>
      <c r="B474" s="9">
        <f>IFERROR(__xludf.DUMMYFUNCTION("""COMPUTED_VALUE"""),45337.8190625)</f>
        <v>45337.81906</v>
      </c>
      <c r="C474" s="5" t="str">
        <f>IFERROR(__xludf.DUMMYFUNCTION("""COMPUTED_VALUE"""),"purchase")</f>
        <v>purchase</v>
      </c>
      <c r="D474" s="10">
        <f t="shared" si="1"/>
        <v>45337</v>
      </c>
      <c r="E474" s="10">
        <f t="shared" si="2"/>
        <v>45334</v>
      </c>
      <c r="F474" s="10">
        <f t="shared" si="3"/>
        <v>45323</v>
      </c>
      <c r="G474" s="11"/>
    </row>
    <row r="475">
      <c r="A475" s="5">
        <f>IFERROR(__xludf.DUMMYFUNCTION("""COMPUTED_VALUE"""),5412.0)</f>
        <v>5412</v>
      </c>
      <c r="B475" s="9">
        <f>IFERROR(__xludf.DUMMYFUNCTION("""COMPUTED_VALUE"""),45337.89952546296)</f>
        <v>45337.89953</v>
      </c>
      <c r="C475" s="5" t="str">
        <f>IFERROR(__xludf.DUMMYFUNCTION("""COMPUTED_VALUE"""),"purchase")</f>
        <v>purchase</v>
      </c>
      <c r="D475" s="10">
        <f t="shared" si="1"/>
        <v>45337</v>
      </c>
      <c r="E475" s="10">
        <f t="shared" si="2"/>
        <v>45334</v>
      </c>
      <c r="F475" s="10">
        <f t="shared" si="3"/>
        <v>45323</v>
      </c>
      <c r="G475" s="11"/>
    </row>
    <row r="476">
      <c r="A476" s="5">
        <f>IFERROR(__xludf.DUMMYFUNCTION("""COMPUTED_VALUE"""),1546.0)</f>
        <v>1546</v>
      </c>
      <c r="B476" s="9">
        <f>IFERROR(__xludf.DUMMYFUNCTION("""COMPUTED_VALUE"""),45337.91222222222)</f>
        <v>45337.91222</v>
      </c>
      <c r="C476" s="5" t="str">
        <f>IFERROR(__xludf.DUMMYFUNCTION("""COMPUTED_VALUE"""),"purchase")</f>
        <v>purchase</v>
      </c>
      <c r="D476" s="10">
        <f t="shared" si="1"/>
        <v>45337</v>
      </c>
      <c r="E476" s="10">
        <f t="shared" si="2"/>
        <v>45334</v>
      </c>
      <c r="F476" s="10">
        <f t="shared" si="3"/>
        <v>45323</v>
      </c>
      <c r="G476" s="11"/>
    </row>
    <row r="477">
      <c r="A477" s="5">
        <f>IFERROR(__xludf.DUMMYFUNCTION("""COMPUTED_VALUE"""),1840.0)</f>
        <v>1840</v>
      </c>
      <c r="B477" s="9">
        <f>IFERROR(__xludf.DUMMYFUNCTION("""COMPUTED_VALUE"""),45338.11306712963)</f>
        <v>45338.11307</v>
      </c>
      <c r="C477" s="5" t="str">
        <f>IFERROR(__xludf.DUMMYFUNCTION("""COMPUTED_VALUE"""),"purchase")</f>
        <v>purchase</v>
      </c>
      <c r="D477" s="10">
        <f t="shared" si="1"/>
        <v>45338</v>
      </c>
      <c r="E477" s="10">
        <f t="shared" si="2"/>
        <v>45334</v>
      </c>
      <c r="F477" s="10">
        <f t="shared" si="3"/>
        <v>45323</v>
      </c>
      <c r="G477" s="11"/>
    </row>
    <row r="478">
      <c r="A478" s="5">
        <f>IFERROR(__xludf.DUMMYFUNCTION("""COMPUTED_VALUE"""),3978.0)</f>
        <v>3978</v>
      </c>
      <c r="B478" s="9">
        <f>IFERROR(__xludf.DUMMYFUNCTION("""COMPUTED_VALUE"""),45338.30569444445)</f>
        <v>45338.30569</v>
      </c>
      <c r="C478" s="5" t="str">
        <f>IFERROR(__xludf.DUMMYFUNCTION("""COMPUTED_VALUE"""),"purchase")</f>
        <v>purchase</v>
      </c>
      <c r="D478" s="10">
        <f t="shared" si="1"/>
        <v>45338</v>
      </c>
      <c r="E478" s="10">
        <f t="shared" si="2"/>
        <v>45334</v>
      </c>
      <c r="F478" s="10">
        <f t="shared" si="3"/>
        <v>45323</v>
      </c>
      <c r="G478" s="11"/>
    </row>
    <row r="479">
      <c r="A479" s="5">
        <f>IFERROR(__xludf.DUMMYFUNCTION("""COMPUTED_VALUE"""),2665.0)</f>
        <v>2665</v>
      </c>
      <c r="B479" s="9">
        <f>IFERROR(__xludf.DUMMYFUNCTION("""COMPUTED_VALUE"""),45338.387974537036)</f>
        <v>45338.38797</v>
      </c>
      <c r="C479" s="5" t="str">
        <f>IFERROR(__xludf.DUMMYFUNCTION("""COMPUTED_VALUE"""),"purchase")</f>
        <v>purchase</v>
      </c>
      <c r="D479" s="10">
        <f t="shared" si="1"/>
        <v>45338</v>
      </c>
      <c r="E479" s="10">
        <f t="shared" si="2"/>
        <v>45334</v>
      </c>
      <c r="F479" s="10">
        <f t="shared" si="3"/>
        <v>45323</v>
      </c>
      <c r="G479" s="11"/>
    </row>
    <row r="480">
      <c r="A480" s="5">
        <f>IFERROR(__xludf.DUMMYFUNCTION("""COMPUTED_VALUE"""),922.0)</f>
        <v>922</v>
      </c>
      <c r="B480" s="9">
        <f>IFERROR(__xludf.DUMMYFUNCTION("""COMPUTED_VALUE"""),45338.502650462964)</f>
        <v>45338.50265</v>
      </c>
      <c r="C480" s="5" t="str">
        <f>IFERROR(__xludf.DUMMYFUNCTION("""COMPUTED_VALUE"""),"purchase")</f>
        <v>purchase</v>
      </c>
      <c r="D480" s="10">
        <f t="shared" si="1"/>
        <v>45338</v>
      </c>
      <c r="E480" s="10">
        <f t="shared" si="2"/>
        <v>45334</v>
      </c>
      <c r="F480" s="10">
        <f t="shared" si="3"/>
        <v>45323</v>
      </c>
      <c r="G480" s="11"/>
    </row>
    <row r="481">
      <c r="A481" s="5">
        <f>IFERROR(__xludf.DUMMYFUNCTION("""COMPUTED_VALUE"""),6590.0)</f>
        <v>6590</v>
      </c>
      <c r="B481" s="9">
        <f>IFERROR(__xludf.DUMMYFUNCTION("""COMPUTED_VALUE"""),45338.59782407407)</f>
        <v>45338.59782</v>
      </c>
      <c r="C481" s="5" t="str">
        <f>IFERROR(__xludf.DUMMYFUNCTION("""COMPUTED_VALUE"""),"purchase")</f>
        <v>purchase</v>
      </c>
      <c r="D481" s="10">
        <f t="shared" si="1"/>
        <v>45338</v>
      </c>
      <c r="E481" s="10">
        <f t="shared" si="2"/>
        <v>45334</v>
      </c>
      <c r="F481" s="10">
        <f t="shared" si="3"/>
        <v>45323</v>
      </c>
      <c r="G481" s="11"/>
    </row>
    <row r="482">
      <c r="A482" s="5">
        <f>IFERROR(__xludf.DUMMYFUNCTION("""COMPUTED_VALUE"""),2253.0)</f>
        <v>2253</v>
      </c>
      <c r="B482" s="9">
        <f>IFERROR(__xludf.DUMMYFUNCTION("""COMPUTED_VALUE"""),45338.68625)</f>
        <v>45338.68625</v>
      </c>
      <c r="C482" s="5" t="str">
        <f>IFERROR(__xludf.DUMMYFUNCTION("""COMPUTED_VALUE"""),"purchase")</f>
        <v>purchase</v>
      </c>
      <c r="D482" s="10">
        <f t="shared" si="1"/>
        <v>45338</v>
      </c>
      <c r="E482" s="10">
        <f t="shared" si="2"/>
        <v>45334</v>
      </c>
      <c r="F482" s="10">
        <f t="shared" si="3"/>
        <v>45323</v>
      </c>
      <c r="G482" s="11"/>
    </row>
    <row r="483">
      <c r="A483" s="5">
        <f>IFERROR(__xludf.DUMMYFUNCTION("""COMPUTED_VALUE"""),4177.0)</f>
        <v>4177</v>
      </c>
      <c r="B483" s="9">
        <f>IFERROR(__xludf.DUMMYFUNCTION("""COMPUTED_VALUE"""),45338.70234953704)</f>
        <v>45338.70235</v>
      </c>
      <c r="C483" s="5" t="str">
        <f>IFERROR(__xludf.DUMMYFUNCTION("""COMPUTED_VALUE"""),"purchase")</f>
        <v>purchase</v>
      </c>
      <c r="D483" s="10">
        <f t="shared" si="1"/>
        <v>45338</v>
      </c>
      <c r="E483" s="10">
        <f t="shared" si="2"/>
        <v>45334</v>
      </c>
      <c r="F483" s="10">
        <f t="shared" si="3"/>
        <v>45323</v>
      </c>
      <c r="G483" s="11"/>
    </row>
    <row r="484">
      <c r="A484" s="5">
        <f>IFERROR(__xludf.DUMMYFUNCTION("""COMPUTED_VALUE"""),4895.0)</f>
        <v>4895</v>
      </c>
      <c r="B484" s="9">
        <f>IFERROR(__xludf.DUMMYFUNCTION("""COMPUTED_VALUE"""),45338.879699074074)</f>
        <v>45338.8797</v>
      </c>
      <c r="C484" s="5" t="str">
        <f>IFERROR(__xludf.DUMMYFUNCTION("""COMPUTED_VALUE"""),"purchase")</f>
        <v>purchase</v>
      </c>
      <c r="D484" s="10">
        <f t="shared" si="1"/>
        <v>45338</v>
      </c>
      <c r="E484" s="10">
        <f t="shared" si="2"/>
        <v>45334</v>
      </c>
      <c r="F484" s="10">
        <f t="shared" si="3"/>
        <v>45323</v>
      </c>
      <c r="G484" s="11"/>
    </row>
    <row r="485">
      <c r="A485" s="5">
        <f>IFERROR(__xludf.DUMMYFUNCTION("""COMPUTED_VALUE"""),2575.0)</f>
        <v>2575</v>
      </c>
      <c r="B485" s="9">
        <f>IFERROR(__xludf.DUMMYFUNCTION("""COMPUTED_VALUE"""),45339.135567129626)</f>
        <v>45339.13557</v>
      </c>
      <c r="C485" s="5" t="str">
        <f>IFERROR(__xludf.DUMMYFUNCTION("""COMPUTED_VALUE"""),"purchase")</f>
        <v>purchase</v>
      </c>
      <c r="D485" s="10">
        <f t="shared" si="1"/>
        <v>45339</v>
      </c>
      <c r="E485" s="10">
        <f t="shared" si="2"/>
        <v>45334</v>
      </c>
      <c r="F485" s="10">
        <f t="shared" si="3"/>
        <v>45323</v>
      </c>
      <c r="G485" s="11"/>
    </row>
    <row r="486">
      <c r="A486" s="5">
        <f>IFERROR(__xludf.DUMMYFUNCTION("""COMPUTED_VALUE"""),1088.0)</f>
        <v>1088</v>
      </c>
      <c r="B486" s="9">
        <f>IFERROR(__xludf.DUMMYFUNCTION("""COMPUTED_VALUE"""),45339.18119212963)</f>
        <v>45339.18119</v>
      </c>
      <c r="C486" s="5" t="str">
        <f>IFERROR(__xludf.DUMMYFUNCTION("""COMPUTED_VALUE"""),"purchase")</f>
        <v>purchase</v>
      </c>
      <c r="D486" s="10">
        <f t="shared" si="1"/>
        <v>45339</v>
      </c>
      <c r="E486" s="10">
        <f t="shared" si="2"/>
        <v>45334</v>
      </c>
      <c r="F486" s="10">
        <f t="shared" si="3"/>
        <v>45323</v>
      </c>
      <c r="G486" s="11"/>
    </row>
    <row r="487">
      <c r="A487" s="5">
        <f>IFERROR(__xludf.DUMMYFUNCTION("""COMPUTED_VALUE"""),9.0)</f>
        <v>9</v>
      </c>
      <c r="B487" s="9">
        <f>IFERROR(__xludf.DUMMYFUNCTION("""COMPUTED_VALUE"""),45339.186840277776)</f>
        <v>45339.18684</v>
      </c>
      <c r="C487" s="5" t="str">
        <f>IFERROR(__xludf.DUMMYFUNCTION("""COMPUTED_VALUE"""),"purchase")</f>
        <v>purchase</v>
      </c>
      <c r="D487" s="10">
        <f t="shared" si="1"/>
        <v>45339</v>
      </c>
      <c r="E487" s="10">
        <f t="shared" si="2"/>
        <v>45334</v>
      </c>
      <c r="F487" s="10">
        <f t="shared" si="3"/>
        <v>45323</v>
      </c>
      <c r="G487" s="11"/>
    </row>
    <row r="488">
      <c r="A488" s="5">
        <f>IFERROR(__xludf.DUMMYFUNCTION("""COMPUTED_VALUE"""),3297.0)</f>
        <v>3297</v>
      </c>
      <c r="B488" s="9">
        <f>IFERROR(__xludf.DUMMYFUNCTION("""COMPUTED_VALUE"""),45339.43064814815)</f>
        <v>45339.43065</v>
      </c>
      <c r="C488" s="5" t="str">
        <f>IFERROR(__xludf.DUMMYFUNCTION("""COMPUTED_VALUE"""),"purchase")</f>
        <v>purchase</v>
      </c>
      <c r="D488" s="10">
        <f t="shared" si="1"/>
        <v>45339</v>
      </c>
      <c r="E488" s="10">
        <f t="shared" si="2"/>
        <v>45334</v>
      </c>
      <c r="F488" s="10">
        <f t="shared" si="3"/>
        <v>45323</v>
      </c>
      <c r="G488" s="11"/>
    </row>
    <row r="489">
      <c r="A489" s="5">
        <f>IFERROR(__xludf.DUMMYFUNCTION("""COMPUTED_VALUE"""),448.0)</f>
        <v>448</v>
      </c>
      <c r="B489" s="9">
        <f>IFERROR(__xludf.DUMMYFUNCTION("""COMPUTED_VALUE"""),45339.59756944444)</f>
        <v>45339.59757</v>
      </c>
      <c r="C489" s="5" t="str">
        <f>IFERROR(__xludf.DUMMYFUNCTION("""COMPUTED_VALUE"""),"purchase")</f>
        <v>purchase</v>
      </c>
      <c r="D489" s="10">
        <f t="shared" si="1"/>
        <v>45339</v>
      </c>
      <c r="E489" s="10">
        <f t="shared" si="2"/>
        <v>45334</v>
      </c>
      <c r="F489" s="10">
        <f t="shared" si="3"/>
        <v>45323</v>
      </c>
      <c r="G489" s="11"/>
    </row>
    <row r="490">
      <c r="A490" s="5">
        <f>IFERROR(__xludf.DUMMYFUNCTION("""COMPUTED_VALUE"""),6305.0)</f>
        <v>6305</v>
      </c>
      <c r="B490" s="9">
        <f>IFERROR(__xludf.DUMMYFUNCTION("""COMPUTED_VALUE"""),45339.61859953704)</f>
        <v>45339.6186</v>
      </c>
      <c r="C490" s="5" t="str">
        <f>IFERROR(__xludf.DUMMYFUNCTION("""COMPUTED_VALUE"""),"purchase")</f>
        <v>purchase</v>
      </c>
      <c r="D490" s="10">
        <f t="shared" si="1"/>
        <v>45339</v>
      </c>
      <c r="E490" s="10">
        <f t="shared" si="2"/>
        <v>45334</v>
      </c>
      <c r="F490" s="10">
        <f t="shared" si="3"/>
        <v>45323</v>
      </c>
      <c r="G490" s="11"/>
    </row>
    <row r="491">
      <c r="A491" s="5">
        <f>IFERROR(__xludf.DUMMYFUNCTION("""COMPUTED_VALUE"""),7588.0)</f>
        <v>7588</v>
      </c>
      <c r="B491" s="9">
        <f>IFERROR(__xludf.DUMMYFUNCTION("""COMPUTED_VALUE"""),45339.64208333333)</f>
        <v>45339.64208</v>
      </c>
      <c r="C491" s="5" t="str">
        <f>IFERROR(__xludf.DUMMYFUNCTION("""COMPUTED_VALUE"""),"purchase")</f>
        <v>purchase</v>
      </c>
      <c r="D491" s="10">
        <f t="shared" si="1"/>
        <v>45339</v>
      </c>
      <c r="E491" s="10">
        <f t="shared" si="2"/>
        <v>45334</v>
      </c>
      <c r="F491" s="10">
        <f t="shared" si="3"/>
        <v>45323</v>
      </c>
      <c r="G491" s="11"/>
    </row>
    <row r="492">
      <c r="A492" s="5">
        <f>IFERROR(__xludf.DUMMYFUNCTION("""COMPUTED_VALUE"""),6707.0)</f>
        <v>6707</v>
      </c>
      <c r="B492" s="9">
        <f>IFERROR(__xludf.DUMMYFUNCTION("""COMPUTED_VALUE"""),45339.84611111111)</f>
        <v>45339.84611</v>
      </c>
      <c r="C492" s="5" t="str">
        <f>IFERROR(__xludf.DUMMYFUNCTION("""COMPUTED_VALUE"""),"purchase")</f>
        <v>purchase</v>
      </c>
      <c r="D492" s="10">
        <f t="shared" si="1"/>
        <v>45339</v>
      </c>
      <c r="E492" s="10">
        <f t="shared" si="2"/>
        <v>45334</v>
      </c>
      <c r="F492" s="10">
        <f t="shared" si="3"/>
        <v>45323</v>
      </c>
      <c r="G492" s="11"/>
    </row>
    <row r="493">
      <c r="A493" s="5">
        <f>IFERROR(__xludf.DUMMYFUNCTION("""COMPUTED_VALUE"""),2440.0)</f>
        <v>2440</v>
      </c>
      <c r="B493" s="9">
        <f>IFERROR(__xludf.DUMMYFUNCTION("""COMPUTED_VALUE"""),45339.898356481484)</f>
        <v>45339.89836</v>
      </c>
      <c r="C493" s="5" t="str">
        <f>IFERROR(__xludf.DUMMYFUNCTION("""COMPUTED_VALUE"""),"purchase")</f>
        <v>purchase</v>
      </c>
      <c r="D493" s="10">
        <f t="shared" si="1"/>
        <v>45339</v>
      </c>
      <c r="E493" s="10">
        <f t="shared" si="2"/>
        <v>45334</v>
      </c>
      <c r="F493" s="10">
        <f t="shared" si="3"/>
        <v>45323</v>
      </c>
      <c r="G493" s="11"/>
    </row>
    <row r="494">
      <c r="A494" s="5">
        <f>IFERROR(__xludf.DUMMYFUNCTION("""COMPUTED_VALUE"""),551.0)</f>
        <v>551</v>
      </c>
      <c r="B494" s="9">
        <f>IFERROR(__xludf.DUMMYFUNCTION("""COMPUTED_VALUE"""),45340.21134259259)</f>
        <v>45340.21134</v>
      </c>
      <c r="C494" s="5" t="str">
        <f>IFERROR(__xludf.DUMMYFUNCTION("""COMPUTED_VALUE"""),"purchase")</f>
        <v>purchase</v>
      </c>
      <c r="D494" s="10">
        <f t="shared" si="1"/>
        <v>45340</v>
      </c>
      <c r="E494" s="10">
        <f t="shared" si="2"/>
        <v>45334</v>
      </c>
      <c r="F494" s="10">
        <f t="shared" si="3"/>
        <v>45323</v>
      </c>
      <c r="G494" s="11"/>
    </row>
    <row r="495">
      <c r="A495" s="5">
        <f>IFERROR(__xludf.DUMMYFUNCTION("""COMPUTED_VALUE"""),7131.0)</f>
        <v>7131</v>
      </c>
      <c r="B495" s="9">
        <f>IFERROR(__xludf.DUMMYFUNCTION("""COMPUTED_VALUE"""),45340.41921296297)</f>
        <v>45340.41921</v>
      </c>
      <c r="C495" s="5" t="str">
        <f>IFERROR(__xludf.DUMMYFUNCTION("""COMPUTED_VALUE"""),"purchase")</f>
        <v>purchase</v>
      </c>
      <c r="D495" s="10">
        <f t="shared" si="1"/>
        <v>45340</v>
      </c>
      <c r="E495" s="10">
        <f t="shared" si="2"/>
        <v>45334</v>
      </c>
      <c r="F495" s="10">
        <f t="shared" si="3"/>
        <v>45323</v>
      </c>
      <c r="G495" s="11"/>
    </row>
    <row r="496">
      <c r="A496" s="5">
        <f>IFERROR(__xludf.DUMMYFUNCTION("""COMPUTED_VALUE"""),2250.0)</f>
        <v>2250</v>
      </c>
      <c r="B496" s="9">
        <f>IFERROR(__xludf.DUMMYFUNCTION("""COMPUTED_VALUE"""),45340.8022337963)</f>
        <v>45340.80223</v>
      </c>
      <c r="C496" s="5" t="str">
        <f>IFERROR(__xludf.DUMMYFUNCTION("""COMPUTED_VALUE"""),"purchase")</f>
        <v>purchase</v>
      </c>
      <c r="D496" s="10">
        <f t="shared" si="1"/>
        <v>45340</v>
      </c>
      <c r="E496" s="10">
        <f t="shared" si="2"/>
        <v>45334</v>
      </c>
      <c r="F496" s="10">
        <f t="shared" si="3"/>
        <v>45323</v>
      </c>
      <c r="G496" s="11"/>
    </row>
    <row r="497">
      <c r="A497" s="5">
        <f>IFERROR(__xludf.DUMMYFUNCTION("""COMPUTED_VALUE"""),2400.0)</f>
        <v>2400</v>
      </c>
      <c r="B497" s="9">
        <f>IFERROR(__xludf.DUMMYFUNCTION("""COMPUTED_VALUE"""),45340.84408564815)</f>
        <v>45340.84409</v>
      </c>
      <c r="C497" s="5" t="str">
        <f>IFERROR(__xludf.DUMMYFUNCTION("""COMPUTED_VALUE"""),"purchase")</f>
        <v>purchase</v>
      </c>
      <c r="D497" s="10">
        <f t="shared" si="1"/>
        <v>45340</v>
      </c>
      <c r="E497" s="10">
        <f t="shared" si="2"/>
        <v>45334</v>
      </c>
      <c r="F497" s="10">
        <f t="shared" si="3"/>
        <v>45323</v>
      </c>
      <c r="G497" s="11"/>
    </row>
    <row r="498">
      <c r="A498" s="5">
        <f>IFERROR(__xludf.DUMMYFUNCTION("""COMPUTED_VALUE"""),6022.0)</f>
        <v>6022</v>
      </c>
      <c r="B498" s="9">
        <f>IFERROR(__xludf.DUMMYFUNCTION("""COMPUTED_VALUE"""),45341.02704861111)</f>
        <v>45341.02705</v>
      </c>
      <c r="C498" s="5" t="str">
        <f>IFERROR(__xludf.DUMMYFUNCTION("""COMPUTED_VALUE"""),"purchase")</f>
        <v>purchase</v>
      </c>
      <c r="D498" s="10">
        <f t="shared" si="1"/>
        <v>45341</v>
      </c>
      <c r="E498" s="10">
        <f t="shared" si="2"/>
        <v>45341</v>
      </c>
      <c r="F498" s="10">
        <f t="shared" si="3"/>
        <v>45323</v>
      </c>
      <c r="G498" s="11"/>
    </row>
    <row r="499">
      <c r="A499" s="5">
        <f>IFERROR(__xludf.DUMMYFUNCTION("""COMPUTED_VALUE"""),7547.0)</f>
        <v>7547</v>
      </c>
      <c r="B499" s="9">
        <f>IFERROR(__xludf.DUMMYFUNCTION("""COMPUTED_VALUE"""),45341.09576388889)</f>
        <v>45341.09576</v>
      </c>
      <c r="C499" s="5" t="str">
        <f>IFERROR(__xludf.DUMMYFUNCTION("""COMPUTED_VALUE"""),"purchase")</f>
        <v>purchase</v>
      </c>
      <c r="D499" s="10">
        <f t="shared" si="1"/>
        <v>45341</v>
      </c>
      <c r="E499" s="10">
        <f t="shared" si="2"/>
        <v>45341</v>
      </c>
      <c r="F499" s="10">
        <f t="shared" si="3"/>
        <v>45323</v>
      </c>
      <c r="G499" s="11"/>
    </row>
    <row r="500">
      <c r="A500" s="5">
        <f>IFERROR(__xludf.DUMMYFUNCTION("""COMPUTED_VALUE"""),1678.0)</f>
        <v>1678</v>
      </c>
      <c r="B500" s="9">
        <f>IFERROR(__xludf.DUMMYFUNCTION("""COMPUTED_VALUE"""),45341.15929398148)</f>
        <v>45341.15929</v>
      </c>
      <c r="C500" s="5" t="str">
        <f>IFERROR(__xludf.DUMMYFUNCTION("""COMPUTED_VALUE"""),"purchase")</f>
        <v>purchase</v>
      </c>
      <c r="D500" s="10">
        <f t="shared" si="1"/>
        <v>45341</v>
      </c>
      <c r="E500" s="10">
        <f t="shared" si="2"/>
        <v>45341</v>
      </c>
      <c r="F500" s="10">
        <f t="shared" si="3"/>
        <v>45323</v>
      </c>
      <c r="G500" s="11"/>
    </row>
    <row r="501">
      <c r="A501" s="5">
        <f>IFERROR(__xludf.DUMMYFUNCTION("""COMPUTED_VALUE"""),7040.0)</f>
        <v>7040</v>
      </c>
      <c r="B501" s="9">
        <f>IFERROR(__xludf.DUMMYFUNCTION("""COMPUTED_VALUE"""),45341.334965277776)</f>
        <v>45341.33497</v>
      </c>
      <c r="C501" s="5" t="str">
        <f>IFERROR(__xludf.DUMMYFUNCTION("""COMPUTED_VALUE"""),"purchase")</f>
        <v>purchase</v>
      </c>
      <c r="D501" s="10">
        <f t="shared" si="1"/>
        <v>45341</v>
      </c>
      <c r="E501" s="10">
        <f t="shared" si="2"/>
        <v>45341</v>
      </c>
      <c r="F501" s="10">
        <f t="shared" si="3"/>
        <v>45323</v>
      </c>
      <c r="G501" s="11"/>
    </row>
    <row r="502">
      <c r="A502" s="5">
        <f>IFERROR(__xludf.DUMMYFUNCTION("""COMPUTED_VALUE"""),6252.0)</f>
        <v>6252</v>
      </c>
      <c r="B502" s="9">
        <f>IFERROR(__xludf.DUMMYFUNCTION("""COMPUTED_VALUE"""),45341.38856481481)</f>
        <v>45341.38856</v>
      </c>
      <c r="C502" s="5" t="str">
        <f>IFERROR(__xludf.DUMMYFUNCTION("""COMPUTED_VALUE"""),"purchase")</f>
        <v>purchase</v>
      </c>
      <c r="D502" s="10">
        <f t="shared" si="1"/>
        <v>45341</v>
      </c>
      <c r="E502" s="10">
        <f t="shared" si="2"/>
        <v>45341</v>
      </c>
      <c r="F502" s="10">
        <f t="shared" si="3"/>
        <v>45323</v>
      </c>
      <c r="G502" s="11"/>
    </row>
    <row r="503">
      <c r="A503" s="5">
        <f>IFERROR(__xludf.DUMMYFUNCTION("""COMPUTED_VALUE"""),6863.0)</f>
        <v>6863</v>
      </c>
      <c r="B503" s="9">
        <f>IFERROR(__xludf.DUMMYFUNCTION("""COMPUTED_VALUE"""),45341.561944444446)</f>
        <v>45341.56194</v>
      </c>
      <c r="C503" s="5" t="str">
        <f>IFERROR(__xludf.DUMMYFUNCTION("""COMPUTED_VALUE"""),"purchase")</f>
        <v>purchase</v>
      </c>
      <c r="D503" s="10">
        <f t="shared" si="1"/>
        <v>45341</v>
      </c>
      <c r="E503" s="10">
        <f t="shared" si="2"/>
        <v>45341</v>
      </c>
      <c r="F503" s="10">
        <f t="shared" si="3"/>
        <v>45323</v>
      </c>
      <c r="G503" s="11"/>
    </row>
    <row r="504">
      <c r="A504" s="5">
        <f>IFERROR(__xludf.DUMMYFUNCTION("""COMPUTED_VALUE"""),3622.0)</f>
        <v>3622</v>
      </c>
      <c r="B504" s="9">
        <f>IFERROR(__xludf.DUMMYFUNCTION("""COMPUTED_VALUE"""),45341.566342592596)</f>
        <v>45341.56634</v>
      </c>
      <c r="C504" s="5" t="str">
        <f>IFERROR(__xludf.DUMMYFUNCTION("""COMPUTED_VALUE"""),"purchase")</f>
        <v>purchase</v>
      </c>
      <c r="D504" s="10">
        <f t="shared" si="1"/>
        <v>45341</v>
      </c>
      <c r="E504" s="10">
        <f t="shared" si="2"/>
        <v>45341</v>
      </c>
      <c r="F504" s="10">
        <f t="shared" si="3"/>
        <v>45323</v>
      </c>
      <c r="G504" s="11"/>
    </row>
    <row r="505">
      <c r="A505" s="5">
        <f>IFERROR(__xludf.DUMMYFUNCTION("""COMPUTED_VALUE"""),1050.0)</f>
        <v>1050</v>
      </c>
      <c r="B505" s="9">
        <f>IFERROR(__xludf.DUMMYFUNCTION("""COMPUTED_VALUE"""),45341.58331018518)</f>
        <v>45341.58331</v>
      </c>
      <c r="C505" s="5" t="str">
        <f>IFERROR(__xludf.DUMMYFUNCTION("""COMPUTED_VALUE"""),"purchase")</f>
        <v>purchase</v>
      </c>
      <c r="D505" s="10">
        <f t="shared" si="1"/>
        <v>45341</v>
      </c>
      <c r="E505" s="10">
        <f t="shared" si="2"/>
        <v>45341</v>
      </c>
      <c r="F505" s="10">
        <f t="shared" si="3"/>
        <v>45323</v>
      </c>
      <c r="G505" s="11"/>
    </row>
    <row r="506">
      <c r="A506" s="5">
        <f>IFERROR(__xludf.DUMMYFUNCTION("""COMPUTED_VALUE"""),4463.0)</f>
        <v>4463</v>
      </c>
      <c r="B506" s="9">
        <f>IFERROR(__xludf.DUMMYFUNCTION("""COMPUTED_VALUE"""),45341.60456018519)</f>
        <v>45341.60456</v>
      </c>
      <c r="C506" s="5" t="str">
        <f>IFERROR(__xludf.DUMMYFUNCTION("""COMPUTED_VALUE"""),"purchase")</f>
        <v>purchase</v>
      </c>
      <c r="D506" s="10">
        <f t="shared" si="1"/>
        <v>45341</v>
      </c>
      <c r="E506" s="10">
        <f t="shared" si="2"/>
        <v>45341</v>
      </c>
      <c r="F506" s="10">
        <f t="shared" si="3"/>
        <v>45323</v>
      </c>
      <c r="G506" s="11"/>
    </row>
    <row r="507">
      <c r="A507" s="5">
        <f>IFERROR(__xludf.DUMMYFUNCTION("""COMPUTED_VALUE"""),1702.0)</f>
        <v>1702</v>
      </c>
      <c r="B507" s="9">
        <f>IFERROR(__xludf.DUMMYFUNCTION("""COMPUTED_VALUE"""),45341.607939814814)</f>
        <v>45341.60794</v>
      </c>
      <c r="C507" s="5" t="str">
        <f>IFERROR(__xludf.DUMMYFUNCTION("""COMPUTED_VALUE"""),"purchase")</f>
        <v>purchase</v>
      </c>
      <c r="D507" s="10">
        <f t="shared" si="1"/>
        <v>45341</v>
      </c>
      <c r="E507" s="10">
        <f t="shared" si="2"/>
        <v>45341</v>
      </c>
      <c r="F507" s="10">
        <f t="shared" si="3"/>
        <v>45323</v>
      </c>
      <c r="G507" s="11"/>
    </row>
    <row r="508">
      <c r="A508" s="5">
        <f>IFERROR(__xludf.DUMMYFUNCTION("""COMPUTED_VALUE"""),3543.0)</f>
        <v>3543</v>
      </c>
      <c r="B508" s="9">
        <f>IFERROR(__xludf.DUMMYFUNCTION("""COMPUTED_VALUE"""),45341.67576388889)</f>
        <v>45341.67576</v>
      </c>
      <c r="C508" s="5" t="str">
        <f>IFERROR(__xludf.DUMMYFUNCTION("""COMPUTED_VALUE"""),"purchase")</f>
        <v>purchase</v>
      </c>
      <c r="D508" s="10">
        <f t="shared" si="1"/>
        <v>45341</v>
      </c>
      <c r="E508" s="10">
        <f t="shared" si="2"/>
        <v>45341</v>
      </c>
      <c r="F508" s="10">
        <f t="shared" si="3"/>
        <v>45323</v>
      </c>
      <c r="G508" s="11"/>
    </row>
    <row r="509">
      <c r="A509" s="5">
        <f>IFERROR(__xludf.DUMMYFUNCTION("""COMPUTED_VALUE"""),497.0)</f>
        <v>497</v>
      </c>
      <c r="B509" s="9">
        <f>IFERROR(__xludf.DUMMYFUNCTION("""COMPUTED_VALUE"""),45341.762395833335)</f>
        <v>45341.7624</v>
      </c>
      <c r="C509" s="5" t="str">
        <f>IFERROR(__xludf.DUMMYFUNCTION("""COMPUTED_VALUE"""),"purchase")</f>
        <v>purchase</v>
      </c>
      <c r="D509" s="10">
        <f t="shared" si="1"/>
        <v>45341</v>
      </c>
      <c r="E509" s="10">
        <f t="shared" si="2"/>
        <v>45341</v>
      </c>
      <c r="F509" s="10">
        <f t="shared" si="3"/>
        <v>45323</v>
      </c>
      <c r="G509" s="11"/>
    </row>
    <row r="510">
      <c r="A510" s="5">
        <f>IFERROR(__xludf.DUMMYFUNCTION("""COMPUTED_VALUE"""),574.0)</f>
        <v>574</v>
      </c>
      <c r="B510" s="9">
        <f>IFERROR(__xludf.DUMMYFUNCTION("""COMPUTED_VALUE"""),45341.908680555556)</f>
        <v>45341.90868</v>
      </c>
      <c r="C510" s="5" t="str">
        <f>IFERROR(__xludf.DUMMYFUNCTION("""COMPUTED_VALUE"""),"purchase")</f>
        <v>purchase</v>
      </c>
      <c r="D510" s="10">
        <f t="shared" si="1"/>
        <v>45341</v>
      </c>
      <c r="E510" s="10">
        <f t="shared" si="2"/>
        <v>45341</v>
      </c>
      <c r="F510" s="10">
        <f t="shared" si="3"/>
        <v>45323</v>
      </c>
      <c r="G510" s="11"/>
    </row>
    <row r="511">
      <c r="A511" s="5">
        <f>IFERROR(__xludf.DUMMYFUNCTION("""COMPUTED_VALUE"""),6233.0)</f>
        <v>6233</v>
      </c>
      <c r="B511" s="9">
        <f>IFERROR(__xludf.DUMMYFUNCTION("""COMPUTED_VALUE"""),45342.143842592595)</f>
        <v>45342.14384</v>
      </c>
      <c r="C511" s="5" t="str">
        <f>IFERROR(__xludf.DUMMYFUNCTION("""COMPUTED_VALUE"""),"purchase")</f>
        <v>purchase</v>
      </c>
      <c r="D511" s="10">
        <f t="shared" si="1"/>
        <v>45342</v>
      </c>
      <c r="E511" s="10">
        <f t="shared" si="2"/>
        <v>45341</v>
      </c>
      <c r="F511" s="10">
        <f t="shared" si="3"/>
        <v>45323</v>
      </c>
      <c r="G511" s="11"/>
    </row>
    <row r="512">
      <c r="A512" s="5">
        <f>IFERROR(__xludf.DUMMYFUNCTION("""COMPUTED_VALUE"""),677.0)</f>
        <v>677</v>
      </c>
      <c r="B512" s="9">
        <f>IFERROR(__xludf.DUMMYFUNCTION("""COMPUTED_VALUE"""),45342.232523148145)</f>
        <v>45342.23252</v>
      </c>
      <c r="C512" s="5" t="str">
        <f>IFERROR(__xludf.DUMMYFUNCTION("""COMPUTED_VALUE"""),"purchase")</f>
        <v>purchase</v>
      </c>
      <c r="D512" s="10">
        <f t="shared" si="1"/>
        <v>45342</v>
      </c>
      <c r="E512" s="10">
        <f t="shared" si="2"/>
        <v>45341</v>
      </c>
      <c r="F512" s="10">
        <f t="shared" si="3"/>
        <v>45323</v>
      </c>
      <c r="G512" s="11"/>
    </row>
    <row r="513">
      <c r="A513" s="5">
        <f>IFERROR(__xludf.DUMMYFUNCTION("""COMPUTED_VALUE"""),1818.0)</f>
        <v>1818</v>
      </c>
      <c r="B513" s="9">
        <f>IFERROR(__xludf.DUMMYFUNCTION("""COMPUTED_VALUE"""),45342.30189814815)</f>
        <v>45342.3019</v>
      </c>
      <c r="C513" s="5" t="str">
        <f>IFERROR(__xludf.DUMMYFUNCTION("""COMPUTED_VALUE"""),"purchase")</f>
        <v>purchase</v>
      </c>
      <c r="D513" s="10">
        <f t="shared" si="1"/>
        <v>45342</v>
      </c>
      <c r="E513" s="10">
        <f t="shared" si="2"/>
        <v>45341</v>
      </c>
      <c r="F513" s="10">
        <f t="shared" si="3"/>
        <v>45323</v>
      </c>
      <c r="G513" s="11"/>
    </row>
    <row r="514">
      <c r="A514" s="5">
        <f>IFERROR(__xludf.DUMMYFUNCTION("""COMPUTED_VALUE"""),92.0)</f>
        <v>92</v>
      </c>
      <c r="B514" s="9">
        <f>IFERROR(__xludf.DUMMYFUNCTION("""COMPUTED_VALUE"""),45342.37792824074)</f>
        <v>45342.37793</v>
      </c>
      <c r="C514" s="5" t="str">
        <f>IFERROR(__xludf.DUMMYFUNCTION("""COMPUTED_VALUE"""),"purchase")</f>
        <v>purchase</v>
      </c>
      <c r="D514" s="10">
        <f t="shared" si="1"/>
        <v>45342</v>
      </c>
      <c r="E514" s="10">
        <f t="shared" si="2"/>
        <v>45341</v>
      </c>
      <c r="F514" s="10">
        <f t="shared" si="3"/>
        <v>45323</v>
      </c>
      <c r="G514" s="11"/>
    </row>
    <row r="515">
      <c r="A515" s="5">
        <f>IFERROR(__xludf.DUMMYFUNCTION("""COMPUTED_VALUE"""),5787.0)</f>
        <v>5787</v>
      </c>
      <c r="B515" s="9">
        <f>IFERROR(__xludf.DUMMYFUNCTION("""COMPUTED_VALUE"""),45342.40006944445)</f>
        <v>45342.40007</v>
      </c>
      <c r="C515" s="5" t="str">
        <f>IFERROR(__xludf.DUMMYFUNCTION("""COMPUTED_VALUE"""),"purchase")</f>
        <v>purchase</v>
      </c>
      <c r="D515" s="10">
        <f t="shared" si="1"/>
        <v>45342</v>
      </c>
      <c r="E515" s="10">
        <f t="shared" si="2"/>
        <v>45341</v>
      </c>
      <c r="F515" s="10">
        <f t="shared" si="3"/>
        <v>45323</v>
      </c>
      <c r="G515" s="11"/>
    </row>
    <row r="516">
      <c r="A516" s="5">
        <f>IFERROR(__xludf.DUMMYFUNCTION("""COMPUTED_VALUE"""),7133.0)</f>
        <v>7133</v>
      </c>
      <c r="B516" s="9">
        <f>IFERROR(__xludf.DUMMYFUNCTION("""COMPUTED_VALUE"""),45342.595138888886)</f>
        <v>45342.59514</v>
      </c>
      <c r="C516" s="5" t="str">
        <f>IFERROR(__xludf.DUMMYFUNCTION("""COMPUTED_VALUE"""),"purchase")</f>
        <v>purchase</v>
      </c>
      <c r="D516" s="10">
        <f t="shared" si="1"/>
        <v>45342</v>
      </c>
      <c r="E516" s="10">
        <f t="shared" si="2"/>
        <v>45341</v>
      </c>
      <c r="F516" s="10">
        <f t="shared" si="3"/>
        <v>45323</v>
      </c>
      <c r="G516" s="11"/>
    </row>
    <row r="517">
      <c r="A517" s="5">
        <f>IFERROR(__xludf.DUMMYFUNCTION("""COMPUTED_VALUE"""),712.0)</f>
        <v>712</v>
      </c>
      <c r="B517" s="9">
        <f>IFERROR(__xludf.DUMMYFUNCTION("""COMPUTED_VALUE"""),45342.71685185185)</f>
        <v>45342.71685</v>
      </c>
      <c r="C517" s="5" t="str">
        <f>IFERROR(__xludf.DUMMYFUNCTION("""COMPUTED_VALUE"""),"purchase")</f>
        <v>purchase</v>
      </c>
      <c r="D517" s="10">
        <f t="shared" si="1"/>
        <v>45342</v>
      </c>
      <c r="E517" s="10">
        <f t="shared" si="2"/>
        <v>45341</v>
      </c>
      <c r="F517" s="10">
        <f t="shared" si="3"/>
        <v>45323</v>
      </c>
      <c r="G517" s="11"/>
    </row>
    <row r="518">
      <c r="A518" s="5">
        <f>IFERROR(__xludf.DUMMYFUNCTION("""COMPUTED_VALUE"""),1245.0)</f>
        <v>1245</v>
      </c>
      <c r="B518" s="9">
        <f>IFERROR(__xludf.DUMMYFUNCTION("""COMPUTED_VALUE"""),45342.81893518518)</f>
        <v>45342.81894</v>
      </c>
      <c r="C518" s="5" t="str">
        <f>IFERROR(__xludf.DUMMYFUNCTION("""COMPUTED_VALUE"""),"purchase")</f>
        <v>purchase</v>
      </c>
      <c r="D518" s="10">
        <f t="shared" si="1"/>
        <v>45342</v>
      </c>
      <c r="E518" s="10">
        <f t="shared" si="2"/>
        <v>45341</v>
      </c>
      <c r="F518" s="10">
        <f t="shared" si="3"/>
        <v>45323</v>
      </c>
      <c r="G518" s="11"/>
    </row>
    <row r="519">
      <c r="A519" s="5">
        <f>IFERROR(__xludf.DUMMYFUNCTION("""COMPUTED_VALUE"""),3796.0)</f>
        <v>3796</v>
      </c>
      <c r="B519" s="9">
        <f>IFERROR(__xludf.DUMMYFUNCTION("""COMPUTED_VALUE"""),45342.83611111111)</f>
        <v>45342.83611</v>
      </c>
      <c r="C519" s="5" t="str">
        <f>IFERROR(__xludf.DUMMYFUNCTION("""COMPUTED_VALUE"""),"purchase")</f>
        <v>purchase</v>
      </c>
      <c r="D519" s="10">
        <f t="shared" si="1"/>
        <v>45342</v>
      </c>
      <c r="E519" s="10">
        <f t="shared" si="2"/>
        <v>45341</v>
      </c>
      <c r="F519" s="10">
        <f t="shared" si="3"/>
        <v>45323</v>
      </c>
      <c r="G519" s="11"/>
    </row>
    <row r="520">
      <c r="A520" s="5">
        <f>IFERROR(__xludf.DUMMYFUNCTION("""COMPUTED_VALUE"""),1514.0)</f>
        <v>1514</v>
      </c>
      <c r="B520" s="9">
        <f>IFERROR(__xludf.DUMMYFUNCTION("""COMPUTED_VALUE"""),45342.903761574074)</f>
        <v>45342.90376</v>
      </c>
      <c r="C520" s="5" t="str">
        <f>IFERROR(__xludf.DUMMYFUNCTION("""COMPUTED_VALUE"""),"purchase")</f>
        <v>purchase</v>
      </c>
      <c r="D520" s="10">
        <f t="shared" si="1"/>
        <v>45342</v>
      </c>
      <c r="E520" s="10">
        <f t="shared" si="2"/>
        <v>45341</v>
      </c>
      <c r="F520" s="10">
        <f t="shared" si="3"/>
        <v>45323</v>
      </c>
      <c r="G520" s="11"/>
    </row>
    <row r="521">
      <c r="A521" s="5">
        <f>IFERROR(__xludf.DUMMYFUNCTION("""COMPUTED_VALUE"""),2459.0)</f>
        <v>2459</v>
      </c>
      <c r="B521" s="9">
        <f>IFERROR(__xludf.DUMMYFUNCTION("""COMPUTED_VALUE"""),45342.94431712963)</f>
        <v>45342.94432</v>
      </c>
      <c r="C521" s="5" t="str">
        <f>IFERROR(__xludf.DUMMYFUNCTION("""COMPUTED_VALUE"""),"purchase")</f>
        <v>purchase</v>
      </c>
      <c r="D521" s="10">
        <f t="shared" si="1"/>
        <v>45342</v>
      </c>
      <c r="E521" s="10">
        <f t="shared" si="2"/>
        <v>45341</v>
      </c>
      <c r="F521" s="10">
        <f t="shared" si="3"/>
        <v>45323</v>
      </c>
      <c r="G521" s="11"/>
    </row>
    <row r="522">
      <c r="A522" s="5">
        <f>IFERROR(__xludf.DUMMYFUNCTION("""COMPUTED_VALUE"""),2629.0)</f>
        <v>2629</v>
      </c>
      <c r="B522" s="9">
        <f>IFERROR(__xludf.DUMMYFUNCTION("""COMPUTED_VALUE"""),45343.064409722225)</f>
        <v>45343.06441</v>
      </c>
      <c r="C522" s="5" t="str">
        <f>IFERROR(__xludf.DUMMYFUNCTION("""COMPUTED_VALUE"""),"purchase")</f>
        <v>purchase</v>
      </c>
      <c r="D522" s="10">
        <f t="shared" si="1"/>
        <v>45343</v>
      </c>
      <c r="E522" s="10">
        <f t="shared" si="2"/>
        <v>45341</v>
      </c>
      <c r="F522" s="10">
        <f t="shared" si="3"/>
        <v>45323</v>
      </c>
      <c r="G522" s="11"/>
    </row>
    <row r="523">
      <c r="A523" s="5">
        <f>IFERROR(__xludf.DUMMYFUNCTION("""COMPUTED_VALUE"""),4768.0)</f>
        <v>4768</v>
      </c>
      <c r="B523" s="9">
        <f>IFERROR(__xludf.DUMMYFUNCTION("""COMPUTED_VALUE"""),45343.12590277778)</f>
        <v>45343.1259</v>
      </c>
      <c r="C523" s="5" t="str">
        <f>IFERROR(__xludf.DUMMYFUNCTION("""COMPUTED_VALUE"""),"purchase")</f>
        <v>purchase</v>
      </c>
      <c r="D523" s="10">
        <f t="shared" si="1"/>
        <v>45343</v>
      </c>
      <c r="E523" s="10">
        <f t="shared" si="2"/>
        <v>45341</v>
      </c>
      <c r="F523" s="10">
        <f t="shared" si="3"/>
        <v>45323</v>
      </c>
      <c r="G523" s="11"/>
    </row>
    <row r="524">
      <c r="A524" s="5">
        <f>IFERROR(__xludf.DUMMYFUNCTION("""COMPUTED_VALUE"""),6996.0)</f>
        <v>6996</v>
      </c>
      <c r="B524" s="9">
        <f>IFERROR(__xludf.DUMMYFUNCTION("""COMPUTED_VALUE"""),45343.18284722222)</f>
        <v>45343.18285</v>
      </c>
      <c r="C524" s="5" t="str">
        <f>IFERROR(__xludf.DUMMYFUNCTION("""COMPUTED_VALUE"""),"purchase")</f>
        <v>purchase</v>
      </c>
      <c r="D524" s="10">
        <f t="shared" si="1"/>
        <v>45343</v>
      </c>
      <c r="E524" s="10">
        <f t="shared" si="2"/>
        <v>45341</v>
      </c>
      <c r="F524" s="10">
        <f t="shared" si="3"/>
        <v>45323</v>
      </c>
      <c r="G524" s="11"/>
    </row>
    <row r="525">
      <c r="A525" s="5">
        <f>IFERROR(__xludf.DUMMYFUNCTION("""COMPUTED_VALUE"""),5539.0)</f>
        <v>5539</v>
      </c>
      <c r="B525" s="9">
        <f>IFERROR(__xludf.DUMMYFUNCTION("""COMPUTED_VALUE"""),45343.2908912037)</f>
        <v>45343.29089</v>
      </c>
      <c r="C525" s="5" t="str">
        <f>IFERROR(__xludf.DUMMYFUNCTION("""COMPUTED_VALUE"""),"purchase")</f>
        <v>purchase</v>
      </c>
      <c r="D525" s="10">
        <f t="shared" si="1"/>
        <v>45343</v>
      </c>
      <c r="E525" s="10">
        <f t="shared" si="2"/>
        <v>45341</v>
      </c>
      <c r="F525" s="10">
        <f t="shared" si="3"/>
        <v>45323</v>
      </c>
      <c r="G525" s="11"/>
    </row>
    <row r="526">
      <c r="A526" s="5">
        <f>IFERROR(__xludf.DUMMYFUNCTION("""COMPUTED_VALUE"""),2003.0)</f>
        <v>2003</v>
      </c>
      <c r="B526" s="9">
        <f>IFERROR(__xludf.DUMMYFUNCTION("""COMPUTED_VALUE"""),45343.44326388889)</f>
        <v>45343.44326</v>
      </c>
      <c r="C526" s="5" t="str">
        <f>IFERROR(__xludf.DUMMYFUNCTION("""COMPUTED_VALUE"""),"purchase")</f>
        <v>purchase</v>
      </c>
      <c r="D526" s="10">
        <f t="shared" si="1"/>
        <v>45343</v>
      </c>
      <c r="E526" s="10">
        <f t="shared" si="2"/>
        <v>45341</v>
      </c>
      <c r="F526" s="10">
        <f t="shared" si="3"/>
        <v>45323</v>
      </c>
      <c r="G526" s="11"/>
    </row>
    <row r="527">
      <c r="A527" s="5">
        <f>IFERROR(__xludf.DUMMYFUNCTION("""COMPUTED_VALUE"""),5357.0)</f>
        <v>5357</v>
      </c>
      <c r="B527" s="9">
        <f>IFERROR(__xludf.DUMMYFUNCTION("""COMPUTED_VALUE"""),45343.46836805555)</f>
        <v>45343.46837</v>
      </c>
      <c r="C527" s="5" t="str">
        <f>IFERROR(__xludf.DUMMYFUNCTION("""COMPUTED_VALUE"""),"purchase")</f>
        <v>purchase</v>
      </c>
      <c r="D527" s="10">
        <f t="shared" si="1"/>
        <v>45343</v>
      </c>
      <c r="E527" s="10">
        <f t="shared" si="2"/>
        <v>45341</v>
      </c>
      <c r="F527" s="10">
        <f t="shared" si="3"/>
        <v>45323</v>
      </c>
      <c r="G527" s="11"/>
    </row>
    <row r="528">
      <c r="A528" s="5">
        <f>IFERROR(__xludf.DUMMYFUNCTION("""COMPUTED_VALUE"""),1452.0)</f>
        <v>1452</v>
      </c>
      <c r="B528" s="9">
        <f>IFERROR(__xludf.DUMMYFUNCTION("""COMPUTED_VALUE"""),45343.50042824074)</f>
        <v>45343.50043</v>
      </c>
      <c r="C528" s="5" t="str">
        <f>IFERROR(__xludf.DUMMYFUNCTION("""COMPUTED_VALUE"""),"purchase")</f>
        <v>purchase</v>
      </c>
      <c r="D528" s="10">
        <f t="shared" si="1"/>
        <v>45343</v>
      </c>
      <c r="E528" s="10">
        <f t="shared" si="2"/>
        <v>45341</v>
      </c>
      <c r="F528" s="10">
        <f t="shared" si="3"/>
        <v>45323</v>
      </c>
      <c r="G528" s="11"/>
    </row>
    <row r="529">
      <c r="A529" s="5">
        <f>IFERROR(__xludf.DUMMYFUNCTION("""COMPUTED_VALUE"""),58.0)</f>
        <v>58</v>
      </c>
      <c r="B529" s="9">
        <f>IFERROR(__xludf.DUMMYFUNCTION("""COMPUTED_VALUE"""),45343.6084837963)</f>
        <v>45343.60848</v>
      </c>
      <c r="C529" s="5" t="str">
        <f>IFERROR(__xludf.DUMMYFUNCTION("""COMPUTED_VALUE"""),"purchase")</f>
        <v>purchase</v>
      </c>
      <c r="D529" s="10">
        <f t="shared" si="1"/>
        <v>45343</v>
      </c>
      <c r="E529" s="10">
        <f t="shared" si="2"/>
        <v>45341</v>
      </c>
      <c r="F529" s="10">
        <f t="shared" si="3"/>
        <v>45323</v>
      </c>
      <c r="G529" s="11"/>
    </row>
    <row r="530">
      <c r="A530" s="5">
        <f>IFERROR(__xludf.DUMMYFUNCTION("""COMPUTED_VALUE"""),3930.0)</f>
        <v>3930</v>
      </c>
      <c r="B530" s="9">
        <f>IFERROR(__xludf.DUMMYFUNCTION("""COMPUTED_VALUE"""),45343.966458333336)</f>
        <v>45343.96646</v>
      </c>
      <c r="C530" s="5" t="str">
        <f>IFERROR(__xludf.DUMMYFUNCTION("""COMPUTED_VALUE"""),"purchase")</f>
        <v>purchase</v>
      </c>
      <c r="D530" s="10">
        <f t="shared" si="1"/>
        <v>45343</v>
      </c>
      <c r="E530" s="10">
        <f t="shared" si="2"/>
        <v>45341</v>
      </c>
      <c r="F530" s="10">
        <f t="shared" si="3"/>
        <v>45323</v>
      </c>
      <c r="G530" s="11"/>
    </row>
    <row r="531">
      <c r="A531" s="5">
        <f>IFERROR(__xludf.DUMMYFUNCTION("""COMPUTED_VALUE"""),7260.0)</f>
        <v>7260</v>
      </c>
      <c r="B531" s="9">
        <f>IFERROR(__xludf.DUMMYFUNCTION("""COMPUTED_VALUE"""),45344.06921296296)</f>
        <v>45344.06921</v>
      </c>
      <c r="C531" s="5" t="str">
        <f>IFERROR(__xludf.DUMMYFUNCTION("""COMPUTED_VALUE"""),"purchase")</f>
        <v>purchase</v>
      </c>
      <c r="D531" s="10">
        <f t="shared" si="1"/>
        <v>45344</v>
      </c>
      <c r="E531" s="10">
        <f t="shared" si="2"/>
        <v>45341</v>
      </c>
      <c r="F531" s="10">
        <f t="shared" si="3"/>
        <v>45323</v>
      </c>
      <c r="G531" s="11"/>
    </row>
    <row r="532">
      <c r="A532" s="5">
        <f>IFERROR(__xludf.DUMMYFUNCTION("""COMPUTED_VALUE"""),122.0)</f>
        <v>122</v>
      </c>
      <c r="B532" s="9">
        <f>IFERROR(__xludf.DUMMYFUNCTION("""COMPUTED_VALUE"""),45344.09532407407)</f>
        <v>45344.09532</v>
      </c>
      <c r="C532" s="5" t="str">
        <f>IFERROR(__xludf.DUMMYFUNCTION("""COMPUTED_VALUE"""),"purchase")</f>
        <v>purchase</v>
      </c>
      <c r="D532" s="10">
        <f t="shared" si="1"/>
        <v>45344</v>
      </c>
      <c r="E532" s="10">
        <f t="shared" si="2"/>
        <v>45341</v>
      </c>
      <c r="F532" s="10">
        <f t="shared" si="3"/>
        <v>45323</v>
      </c>
      <c r="G532" s="11"/>
    </row>
    <row r="533">
      <c r="A533" s="5">
        <f>IFERROR(__xludf.DUMMYFUNCTION("""COMPUTED_VALUE"""),7282.0)</f>
        <v>7282</v>
      </c>
      <c r="B533" s="9">
        <f>IFERROR(__xludf.DUMMYFUNCTION("""COMPUTED_VALUE"""),45344.10806712963)</f>
        <v>45344.10807</v>
      </c>
      <c r="C533" s="5" t="str">
        <f>IFERROR(__xludf.DUMMYFUNCTION("""COMPUTED_VALUE"""),"purchase")</f>
        <v>purchase</v>
      </c>
      <c r="D533" s="10">
        <f t="shared" si="1"/>
        <v>45344</v>
      </c>
      <c r="E533" s="10">
        <f t="shared" si="2"/>
        <v>45341</v>
      </c>
      <c r="F533" s="10">
        <f t="shared" si="3"/>
        <v>45323</v>
      </c>
      <c r="G533" s="11"/>
    </row>
    <row r="534">
      <c r="A534" s="5">
        <f>IFERROR(__xludf.DUMMYFUNCTION("""COMPUTED_VALUE"""),7217.0)</f>
        <v>7217</v>
      </c>
      <c r="B534" s="9">
        <f>IFERROR(__xludf.DUMMYFUNCTION("""COMPUTED_VALUE"""),45344.165451388886)</f>
        <v>45344.16545</v>
      </c>
      <c r="C534" s="5" t="str">
        <f>IFERROR(__xludf.DUMMYFUNCTION("""COMPUTED_VALUE"""),"purchase")</f>
        <v>purchase</v>
      </c>
      <c r="D534" s="10">
        <f t="shared" si="1"/>
        <v>45344</v>
      </c>
      <c r="E534" s="10">
        <f t="shared" si="2"/>
        <v>45341</v>
      </c>
      <c r="F534" s="10">
        <f t="shared" si="3"/>
        <v>45323</v>
      </c>
      <c r="G534" s="11"/>
    </row>
    <row r="535">
      <c r="A535" s="5">
        <f>IFERROR(__xludf.DUMMYFUNCTION("""COMPUTED_VALUE"""),5304.0)</f>
        <v>5304</v>
      </c>
      <c r="B535" s="9">
        <f>IFERROR(__xludf.DUMMYFUNCTION("""COMPUTED_VALUE"""),45344.32826388889)</f>
        <v>45344.32826</v>
      </c>
      <c r="C535" s="5" t="str">
        <f>IFERROR(__xludf.DUMMYFUNCTION("""COMPUTED_VALUE"""),"purchase")</f>
        <v>purchase</v>
      </c>
      <c r="D535" s="10">
        <f t="shared" si="1"/>
        <v>45344</v>
      </c>
      <c r="E535" s="10">
        <f t="shared" si="2"/>
        <v>45341</v>
      </c>
      <c r="F535" s="10">
        <f t="shared" si="3"/>
        <v>45323</v>
      </c>
      <c r="G535" s="11"/>
    </row>
    <row r="536">
      <c r="A536" s="5">
        <f>IFERROR(__xludf.DUMMYFUNCTION("""COMPUTED_VALUE"""),881.0)</f>
        <v>881</v>
      </c>
      <c r="B536" s="9">
        <f>IFERROR(__xludf.DUMMYFUNCTION("""COMPUTED_VALUE"""),45344.3365162037)</f>
        <v>45344.33652</v>
      </c>
      <c r="C536" s="5" t="str">
        <f>IFERROR(__xludf.DUMMYFUNCTION("""COMPUTED_VALUE"""),"purchase")</f>
        <v>purchase</v>
      </c>
      <c r="D536" s="10">
        <f t="shared" si="1"/>
        <v>45344</v>
      </c>
      <c r="E536" s="10">
        <f t="shared" si="2"/>
        <v>45341</v>
      </c>
      <c r="F536" s="10">
        <f t="shared" si="3"/>
        <v>45323</v>
      </c>
      <c r="G536" s="11"/>
    </row>
    <row r="537">
      <c r="A537" s="5">
        <f>IFERROR(__xludf.DUMMYFUNCTION("""COMPUTED_VALUE"""),6952.0)</f>
        <v>6952</v>
      </c>
      <c r="B537" s="9">
        <f>IFERROR(__xludf.DUMMYFUNCTION("""COMPUTED_VALUE"""),45344.39047453704)</f>
        <v>45344.39047</v>
      </c>
      <c r="C537" s="5" t="str">
        <f>IFERROR(__xludf.DUMMYFUNCTION("""COMPUTED_VALUE"""),"purchase")</f>
        <v>purchase</v>
      </c>
      <c r="D537" s="10">
        <f t="shared" si="1"/>
        <v>45344</v>
      </c>
      <c r="E537" s="10">
        <f t="shared" si="2"/>
        <v>45341</v>
      </c>
      <c r="F537" s="10">
        <f t="shared" si="3"/>
        <v>45323</v>
      </c>
      <c r="G537" s="11"/>
    </row>
    <row r="538">
      <c r="A538" s="5">
        <f>IFERROR(__xludf.DUMMYFUNCTION("""COMPUTED_VALUE"""),7033.0)</f>
        <v>7033</v>
      </c>
      <c r="B538" s="9">
        <f>IFERROR(__xludf.DUMMYFUNCTION("""COMPUTED_VALUE"""),45344.54472222222)</f>
        <v>45344.54472</v>
      </c>
      <c r="C538" s="5" t="str">
        <f>IFERROR(__xludf.DUMMYFUNCTION("""COMPUTED_VALUE"""),"purchase")</f>
        <v>purchase</v>
      </c>
      <c r="D538" s="10">
        <f t="shared" si="1"/>
        <v>45344</v>
      </c>
      <c r="E538" s="10">
        <f t="shared" si="2"/>
        <v>45341</v>
      </c>
      <c r="F538" s="10">
        <f t="shared" si="3"/>
        <v>45323</v>
      </c>
      <c r="G538" s="11"/>
    </row>
    <row r="539">
      <c r="A539" s="5">
        <f>IFERROR(__xludf.DUMMYFUNCTION("""COMPUTED_VALUE"""),1204.0)</f>
        <v>1204</v>
      </c>
      <c r="B539" s="9">
        <f>IFERROR(__xludf.DUMMYFUNCTION("""COMPUTED_VALUE"""),45344.67501157407)</f>
        <v>45344.67501</v>
      </c>
      <c r="C539" s="5" t="str">
        <f>IFERROR(__xludf.DUMMYFUNCTION("""COMPUTED_VALUE"""),"purchase")</f>
        <v>purchase</v>
      </c>
      <c r="D539" s="10">
        <f t="shared" si="1"/>
        <v>45344</v>
      </c>
      <c r="E539" s="10">
        <f t="shared" si="2"/>
        <v>45341</v>
      </c>
      <c r="F539" s="10">
        <f t="shared" si="3"/>
        <v>45323</v>
      </c>
      <c r="G539" s="11"/>
    </row>
    <row r="540">
      <c r="A540" s="5">
        <f>IFERROR(__xludf.DUMMYFUNCTION("""COMPUTED_VALUE"""),3471.0)</f>
        <v>3471</v>
      </c>
      <c r="B540" s="9">
        <f>IFERROR(__xludf.DUMMYFUNCTION("""COMPUTED_VALUE"""),45344.73672453704)</f>
        <v>45344.73672</v>
      </c>
      <c r="C540" s="5" t="str">
        <f>IFERROR(__xludf.DUMMYFUNCTION("""COMPUTED_VALUE"""),"purchase")</f>
        <v>purchase</v>
      </c>
      <c r="D540" s="10">
        <f t="shared" si="1"/>
        <v>45344</v>
      </c>
      <c r="E540" s="10">
        <f t="shared" si="2"/>
        <v>45341</v>
      </c>
      <c r="F540" s="10">
        <f t="shared" si="3"/>
        <v>45323</v>
      </c>
      <c r="G540" s="11"/>
    </row>
    <row r="541">
      <c r="A541" s="5">
        <f>IFERROR(__xludf.DUMMYFUNCTION("""COMPUTED_VALUE"""),5503.0)</f>
        <v>5503</v>
      </c>
      <c r="B541" s="9">
        <f>IFERROR(__xludf.DUMMYFUNCTION("""COMPUTED_VALUE"""),45344.81952546296)</f>
        <v>45344.81953</v>
      </c>
      <c r="C541" s="5" t="str">
        <f>IFERROR(__xludf.DUMMYFUNCTION("""COMPUTED_VALUE"""),"purchase")</f>
        <v>purchase</v>
      </c>
      <c r="D541" s="10">
        <f t="shared" si="1"/>
        <v>45344</v>
      </c>
      <c r="E541" s="10">
        <f t="shared" si="2"/>
        <v>45341</v>
      </c>
      <c r="F541" s="10">
        <f t="shared" si="3"/>
        <v>45323</v>
      </c>
      <c r="G541" s="11"/>
    </row>
    <row r="542">
      <c r="A542" s="5">
        <f>IFERROR(__xludf.DUMMYFUNCTION("""COMPUTED_VALUE"""),333.0)</f>
        <v>333</v>
      </c>
      <c r="B542" s="9">
        <f>IFERROR(__xludf.DUMMYFUNCTION("""COMPUTED_VALUE"""),45344.84119212963)</f>
        <v>45344.84119</v>
      </c>
      <c r="C542" s="5" t="str">
        <f>IFERROR(__xludf.DUMMYFUNCTION("""COMPUTED_VALUE"""),"purchase")</f>
        <v>purchase</v>
      </c>
      <c r="D542" s="10">
        <f t="shared" si="1"/>
        <v>45344</v>
      </c>
      <c r="E542" s="10">
        <f t="shared" si="2"/>
        <v>45341</v>
      </c>
      <c r="F542" s="10">
        <f t="shared" si="3"/>
        <v>45323</v>
      </c>
      <c r="G542" s="11"/>
    </row>
    <row r="543">
      <c r="A543" s="5">
        <f>IFERROR(__xludf.DUMMYFUNCTION("""COMPUTED_VALUE"""),7805.0)</f>
        <v>7805</v>
      </c>
      <c r="B543" s="9">
        <f>IFERROR(__xludf.DUMMYFUNCTION("""COMPUTED_VALUE"""),45344.91101851852)</f>
        <v>45344.91102</v>
      </c>
      <c r="C543" s="5" t="str">
        <f>IFERROR(__xludf.DUMMYFUNCTION("""COMPUTED_VALUE"""),"purchase")</f>
        <v>purchase</v>
      </c>
      <c r="D543" s="10">
        <f t="shared" si="1"/>
        <v>45344</v>
      </c>
      <c r="E543" s="10">
        <f t="shared" si="2"/>
        <v>45341</v>
      </c>
      <c r="F543" s="10">
        <f t="shared" si="3"/>
        <v>45323</v>
      </c>
      <c r="G543" s="11"/>
    </row>
    <row r="544">
      <c r="A544" s="5">
        <f>IFERROR(__xludf.DUMMYFUNCTION("""COMPUTED_VALUE"""),1563.0)</f>
        <v>1563</v>
      </c>
      <c r="B544" s="9">
        <f>IFERROR(__xludf.DUMMYFUNCTION("""COMPUTED_VALUE"""),45344.988541666666)</f>
        <v>45344.98854</v>
      </c>
      <c r="C544" s="5" t="str">
        <f>IFERROR(__xludf.DUMMYFUNCTION("""COMPUTED_VALUE"""),"purchase")</f>
        <v>purchase</v>
      </c>
      <c r="D544" s="10">
        <f t="shared" si="1"/>
        <v>45344</v>
      </c>
      <c r="E544" s="10">
        <f t="shared" si="2"/>
        <v>45341</v>
      </c>
      <c r="F544" s="10">
        <f t="shared" si="3"/>
        <v>45323</v>
      </c>
      <c r="G544" s="11"/>
    </row>
    <row r="545">
      <c r="A545" s="5">
        <f>IFERROR(__xludf.DUMMYFUNCTION("""COMPUTED_VALUE"""),7606.0)</f>
        <v>7606</v>
      </c>
      <c r="B545" s="9">
        <f>IFERROR(__xludf.DUMMYFUNCTION("""COMPUTED_VALUE"""),45345.22179398148)</f>
        <v>45345.22179</v>
      </c>
      <c r="C545" s="5" t="str">
        <f>IFERROR(__xludf.DUMMYFUNCTION("""COMPUTED_VALUE"""),"purchase")</f>
        <v>purchase</v>
      </c>
      <c r="D545" s="10">
        <f t="shared" si="1"/>
        <v>45345</v>
      </c>
      <c r="E545" s="10">
        <f t="shared" si="2"/>
        <v>45341</v>
      </c>
      <c r="F545" s="10">
        <f t="shared" si="3"/>
        <v>45323</v>
      </c>
      <c r="G545" s="11"/>
    </row>
    <row r="546">
      <c r="A546" s="5">
        <f>IFERROR(__xludf.DUMMYFUNCTION("""COMPUTED_VALUE"""),1508.0)</f>
        <v>1508</v>
      </c>
      <c r="B546" s="9">
        <f>IFERROR(__xludf.DUMMYFUNCTION("""COMPUTED_VALUE"""),45345.253067129626)</f>
        <v>45345.25307</v>
      </c>
      <c r="C546" s="5" t="str">
        <f>IFERROR(__xludf.DUMMYFUNCTION("""COMPUTED_VALUE"""),"purchase")</f>
        <v>purchase</v>
      </c>
      <c r="D546" s="10">
        <f t="shared" si="1"/>
        <v>45345</v>
      </c>
      <c r="E546" s="10">
        <f t="shared" si="2"/>
        <v>45341</v>
      </c>
      <c r="F546" s="10">
        <f t="shared" si="3"/>
        <v>45323</v>
      </c>
      <c r="G546" s="11"/>
    </row>
    <row r="547">
      <c r="A547" s="5">
        <f>IFERROR(__xludf.DUMMYFUNCTION("""COMPUTED_VALUE"""),1791.0)</f>
        <v>1791</v>
      </c>
      <c r="B547" s="9">
        <f>IFERROR(__xludf.DUMMYFUNCTION("""COMPUTED_VALUE"""),45345.254212962966)</f>
        <v>45345.25421</v>
      </c>
      <c r="C547" s="5" t="str">
        <f>IFERROR(__xludf.DUMMYFUNCTION("""COMPUTED_VALUE"""),"purchase")</f>
        <v>purchase</v>
      </c>
      <c r="D547" s="10">
        <f t="shared" si="1"/>
        <v>45345</v>
      </c>
      <c r="E547" s="10">
        <f t="shared" si="2"/>
        <v>45341</v>
      </c>
      <c r="F547" s="10">
        <f t="shared" si="3"/>
        <v>45323</v>
      </c>
      <c r="G547" s="11"/>
    </row>
    <row r="548">
      <c r="A548" s="5">
        <f>IFERROR(__xludf.DUMMYFUNCTION("""COMPUTED_VALUE"""),1672.0)</f>
        <v>1672</v>
      </c>
      <c r="B548" s="9">
        <f>IFERROR(__xludf.DUMMYFUNCTION("""COMPUTED_VALUE"""),45345.31266203704)</f>
        <v>45345.31266</v>
      </c>
      <c r="C548" s="5" t="str">
        <f>IFERROR(__xludf.DUMMYFUNCTION("""COMPUTED_VALUE"""),"purchase")</f>
        <v>purchase</v>
      </c>
      <c r="D548" s="10">
        <f t="shared" si="1"/>
        <v>45345</v>
      </c>
      <c r="E548" s="10">
        <f t="shared" si="2"/>
        <v>45341</v>
      </c>
      <c r="F548" s="10">
        <f t="shared" si="3"/>
        <v>45323</v>
      </c>
      <c r="G548" s="11"/>
    </row>
    <row r="549">
      <c r="A549" s="5">
        <f>IFERROR(__xludf.DUMMYFUNCTION("""COMPUTED_VALUE"""),411.0)</f>
        <v>411</v>
      </c>
      <c r="B549" s="9">
        <f>IFERROR(__xludf.DUMMYFUNCTION("""COMPUTED_VALUE"""),45345.393900462965)</f>
        <v>45345.3939</v>
      </c>
      <c r="C549" s="5" t="str">
        <f>IFERROR(__xludf.DUMMYFUNCTION("""COMPUTED_VALUE"""),"purchase")</f>
        <v>purchase</v>
      </c>
      <c r="D549" s="10">
        <f t="shared" si="1"/>
        <v>45345</v>
      </c>
      <c r="E549" s="10">
        <f t="shared" si="2"/>
        <v>45341</v>
      </c>
      <c r="F549" s="10">
        <f t="shared" si="3"/>
        <v>45323</v>
      </c>
      <c r="G549" s="11"/>
    </row>
    <row r="550">
      <c r="A550" s="5">
        <f>IFERROR(__xludf.DUMMYFUNCTION("""COMPUTED_VALUE"""),3862.0)</f>
        <v>3862</v>
      </c>
      <c r="B550" s="9">
        <f>IFERROR(__xludf.DUMMYFUNCTION("""COMPUTED_VALUE"""),45345.400555555556)</f>
        <v>45345.40056</v>
      </c>
      <c r="C550" s="5" t="str">
        <f>IFERROR(__xludf.DUMMYFUNCTION("""COMPUTED_VALUE"""),"purchase")</f>
        <v>purchase</v>
      </c>
      <c r="D550" s="10">
        <f t="shared" si="1"/>
        <v>45345</v>
      </c>
      <c r="E550" s="10">
        <f t="shared" si="2"/>
        <v>45341</v>
      </c>
      <c r="F550" s="10">
        <f t="shared" si="3"/>
        <v>45323</v>
      </c>
      <c r="G550" s="11"/>
    </row>
    <row r="551">
      <c r="A551" s="5">
        <f>IFERROR(__xludf.DUMMYFUNCTION("""COMPUTED_VALUE"""),255.0)</f>
        <v>255</v>
      </c>
      <c r="B551" s="9">
        <f>IFERROR(__xludf.DUMMYFUNCTION("""COMPUTED_VALUE"""),45345.40534722222)</f>
        <v>45345.40535</v>
      </c>
      <c r="C551" s="5" t="str">
        <f>IFERROR(__xludf.DUMMYFUNCTION("""COMPUTED_VALUE"""),"purchase")</f>
        <v>purchase</v>
      </c>
      <c r="D551" s="10">
        <f t="shared" si="1"/>
        <v>45345</v>
      </c>
      <c r="E551" s="10">
        <f t="shared" si="2"/>
        <v>45341</v>
      </c>
      <c r="F551" s="10">
        <f t="shared" si="3"/>
        <v>45323</v>
      </c>
      <c r="G551" s="11"/>
    </row>
    <row r="552">
      <c r="A552" s="5">
        <f>IFERROR(__xludf.DUMMYFUNCTION("""COMPUTED_VALUE"""),743.0)</f>
        <v>743</v>
      </c>
      <c r="B552" s="9">
        <f>IFERROR(__xludf.DUMMYFUNCTION("""COMPUTED_VALUE"""),45345.450833333336)</f>
        <v>45345.45083</v>
      </c>
      <c r="C552" s="5" t="str">
        <f>IFERROR(__xludf.DUMMYFUNCTION("""COMPUTED_VALUE"""),"purchase")</f>
        <v>purchase</v>
      </c>
      <c r="D552" s="10">
        <f t="shared" si="1"/>
        <v>45345</v>
      </c>
      <c r="E552" s="10">
        <f t="shared" si="2"/>
        <v>45341</v>
      </c>
      <c r="F552" s="10">
        <f t="shared" si="3"/>
        <v>45323</v>
      </c>
      <c r="G552" s="11"/>
    </row>
    <row r="553">
      <c r="A553" s="5">
        <f>IFERROR(__xludf.DUMMYFUNCTION("""COMPUTED_VALUE"""),5890.0)</f>
        <v>5890</v>
      </c>
      <c r="B553" s="9">
        <f>IFERROR(__xludf.DUMMYFUNCTION("""COMPUTED_VALUE"""),45345.69902777778)</f>
        <v>45345.69903</v>
      </c>
      <c r="C553" s="5" t="str">
        <f>IFERROR(__xludf.DUMMYFUNCTION("""COMPUTED_VALUE"""),"purchase")</f>
        <v>purchase</v>
      </c>
      <c r="D553" s="10">
        <f t="shared" si="1"/>
        <v>45345</v>
      </c>
      <c r="E553" s="10">
        <f t="shared" si="2"/>
        <v>45341</v>
      </c>
      <c r="F553" s="10">
        <f t="shared" si="3"/>
        <v>45323</v>
      </c>
      <c r="G553" s="11"/>
    </row>
    <row r="554">
      <c r="A554" s="5">
        <f>IFERROR(__xludf.DUMMYFUNCTION("""COMPUTED_VALUE"""),5957.0)</f>
        <v>5957</v>
      </c>
      <c r="B554" s="9">
        <f>IFERROR(__xludf.DUMMYFUNCTION("""COMPUTED_VALUE"""),45345.73818287037)</f>
        <v>45345.73818</v>
      </c>
      <c r="C554" s="5" t="str">
        <f>IFERROR(__xludf.DUMMYFUNCTION("""COMPUTED_VALUE"""),"purchase")</f>
        <v>purchase</v>
      </c>
      <c r="D554" s="10">
        <f t="shared" si="1"/>
        <v>45345</v>
      </c>
      <c r="E554" s="10">
        <f t="shared" si="2"/>
        <v>45341</v>
      </c>
      <c r="F554" s="10">
        <f t="shared" si="3"/>
        <v>45323</v>
      </c>
      <c r="G554" s="11"/>
    </row>
    <row r="555">
      <c r="A555" s="5">
        <f>IFERROR(__xludf.DUMMYFUNCTION("""COMPUTED_VALUE"""),3096.0)</f>
        <v>3096</v>
      </c>
      <c r="B555" s="9">
        <f>IFERROR(__xludf.DUMMYFUNCTION("""COMPUTED_VALUE"""),45345.795752314814)</f>
        <v>45345.79575</v>
      </c>
      <c r="C555" s="5" t="str">
        <f>IFERROR(__xludf.DUMMYFUNCTION("""COMPUTED_VALUE"""),"purchase")</f>
        <v>purchase</v>
      </c>
      <c r="D555" s="10">
        <f t="shared" si="1"/>
        <v>45345</v>
      </c>
      <c r="E555" s="10">
        <f t="shared" si="2"/>
        <v>45341</v>
      </c>
      <c r="F555" s="10">
        <f t="shared" si="3"/>
        <v>45323</v>
      </c>
      <c r="G555" s="11"/>
    </row>
    <row r="556">
      <c r="A556" s="5">
        <f>IFERROR(__xludf.DUMMYFUNCTION("""COMPUTED_VALUE"""),2261.0)</f>
        <v>2261</v>
      </c>
      <c r="B556" s="9">
        <f>IFERROR(__xludf.DUMMYFUNCTION("""COMPUTED_VALUE"""),45346.171261574076)</f>
        <v>45346.17126</v>
      </c>
      <c r="C556" s="5" t="str">
        <f>IFERROR(__xludf.DUMMYFUNCTION("""COMPUTED_VALUE"""),"purchase")</f>
        <v>purchase</v>
      </c>
      <c r="D556" s="10">
        <f t="shared" si="1"/>
        <v>45346</v>
      </c>
      <c r="E556" s="10">
        <f t="shared" si="2"/>
        <v>45341</v>
      </c>
      <c r="F556" s="10">
        <f t="shared" si="3"/>
        <v>45323</v>
      </c>
      <c r="G556" s="11"/>
    </row>
    <row r="557">
      <c r="A557" s="5">
        <f>IFERROR(__xludf.DUMMYFUNCTION("""COMPUTED_VALUE"""),5047.0)</f>
        <v>5047</v>
      </c>
      <c r="B557" s="9">
        <f>IFERROR(__xludf.DUMMYFUNCTION("""COMPUTED_VALUE"""),45346.63359953704)</f>
        <v>45346.6336</v>
      </c>
      <c r="C557" s="5" t="str">
        <f>IFERROR(__xludf.DUMMYFUNCTION("""COMPUTED_VALUE"""),"purchase")</f>
        <v>purchase</v>
      </c>
      <c r="D557" s="10">
        <f t="shared" si="1"/>
        <v>45346</v>
      </c>
      <c r="E557" s="10">
        <f t="shared" si="2"/>
        <v>45341</v>
      </c>
      <c r="F557" s="10">
        <f t="shared" si="3"/>
        <v>45323</v>
      </c>
      <c r="G557" s="11"/>
    </row>
    <row r="558">
      <c r="A558" s="5">
        <f>IFERROR(__xludf.DUMMYFUNCTION("""COMPUTED_VALUE"""),415.0)</f>
        <v>415</v>
      </c>
      <c r="B558" s="9">
        <f>IFERROR(__xludf.DUMMYFUNCTION("""COMPUTED_VALUE"""),45346.69180555556)</f>
        <v>45346.69181</v>
      </c>
      <c r="C558" s="5" t="str">
        <f>IFERROR(__xludf.DUMMYFUNCTION("""COMPUTED_VALUE"""),"purchase")</f>
        <v>purchase</v>
      </c>
      <c r="D558" s="10">
        <f t="shared" si="1"/>
        <v>45346</v>
      </c>
      <c r="E558" s="10">
        <f t="shared" si="2"/>
        <v>45341</v>
      </c>
      <c r="F558" s="10">
        <f t="shared" si="3"/>
        <v>45323</v>
      </c>
      <c r="G558" s="11"/>
    </row>
    <row r="559">
      <c r="A559" s="5">
        <f>IFERROR(__xludf.DUMMYFUNCTION("""COMPUTED_VALUE"""),74.0)</f>
        <v>74</v>
      </c>
      <c r="B559" s="9">
        <f>IFERROR(__xludf.DUMMYFUNCTION("""COMPUTED_VALUE"""),45346.69515046296)</f>
        <v>45346.69515</v>
      </c>
      <c r="C559" s="5" t="str">
        <f>IFERROR(__xludf.DUMMYFUNCTION("""COMPUTED_VALUE"""),"purchase")</f>
        <v>purchase</v>
      </c>
      <c r="D559" s="10">
        <f t="shared" si="1"/>
        <v>45346</v>
      </c>
      <c r="E559" s="10">
        <f t="shared" si="2"/>
        <v>45341</v>
      </c>
      <c r="F559" s="10">
        <f t="shared" si="3"/>
        <v>45323</v>
      </c>
      <c r="G559" s="11"/>
    </row>
    <row r="560">
      <c r="A560" s="5">
        <f>IFERROR(__xludf.DUMMYFUNCTION("""COMPUTED_VALUE"""),1010.0)</f>
        <v>1010</v>
      </c>
      <c r="B560" s="9">
        <f>IFERROR(__xludf.DUMMYFUNCTION("""COMPUTED_VALUE"""),45346.71496527778)</f>
        <v>45346.71497</v>
      </c>
      <c r="C560" s="5" t="str">
        <f>IFERROR(__xludf.DUMMYFUNCTION("""COMPUTED_VALUE"""),"purchase")</f>
        <v>purchase</v>
      </c>
      <c r="D560" s="10">
        <f t="shared" si="1"/>
        <v>45346</v>
      </c>
      <c r="E560" s="10">
        <f t="shared" si="2"/>
        <v>45341</v>
      </c>
      <c r="F560" s="10">
        <f t="shared" si="3"/>
        <v>45323</v>
      </c>
      <c r="G560" s="11"/>
    </row>
    <row r="561">
      <c r="A561" s="5">
        <f>IFERROR(__xludf.DUMMYFUNCTION("""COMPUTED_VALUE"""),6817.0)</f>
        <v>6817</v>
      </c>
      <c r="B561" s="9">
        <f>IFERROR(__xludf.DUMMYFUNCTION("""COMPUTED_VALUE"""),45346.749606481484)</f>
        <v>45346.74961</v>
      </c>
      <c r="C561" s="5" t="str">
        <f>IFERROR(__xludf.DUMMYFUNCTION("""COMPUTED_VALUE"""),"purchase")</f>
        <v>purchase</v>
      </c>
      <c r="D561" s="10">
        <f t="shared" si="1"/>
        <v>45346</v>
      </c>
      <c r="E561" s="10">
        <f t="shared" si="2"/>
        <v>45341</v>
      </c>
      <c r="F561" s="10">
        <f t="shared" si="3"/>
        <v>45323</v>
      </c>
      <c r="G561" s="11"/>
    </row>
    <row r="562">
      <c r="A562" s="5">
        <f>IFERROR(__xludf.DUMMYFUNCTION("""COMPUTED_VALUE"""),3661.0)</f>
        <v>3661</v>
      </c>
      <c r="B562" s="9">
        <f>IFERROR(__xludf.DUMMYFUNCTION("""COMPUTED_VALUE"""),45346.774560185186)</f>
        <v>45346.77456</v>
      </c>
      <c r="C562" s="5" t="str">
        <f>IFERROR(__xludf.DUMMYFUNCTION("""COMPUTED_VALUE"""),"purchase")</f>
        <v>purchase</v>
      </c>
      <c r="D562" s="10">
        <f t="shared" si="1"/>
        <v>45346</v>
      </c>
      <c r="E562" s="10">
        <f t="shared" si="2"/>
        <v>45341</v>
      </c>
      <c r="F562" s="10">
        <f t="shared" si="3"/>
        <v>45323</v>
      </c>
      <c r="G562" s="11"/>
    </row>
    <row r="563">
      <c r="A563" s="5">
        <f>IFERROR(__xludf.DUMMYFUNCTION("""COMPUTED_VALUE"""),3482.0)</f>
        <v>3482</v>
      </c>
      <c r="B563" s="9">
        <f>IFERROR(__xludf.DUMMYFUNCTION("""COMPUTED_VALUE"""),45346.96734953704)</f>
        <v>45346.96735</v>
      </c>
      <c r="C563" s="5" t="str">
        <f>IFERROR(__xludf.DUMMYFUNCTION("""COMPUTED_VALUE"""),"purchase")</f>
        <v>purchase</v>
      </c>
      <c r="D563" s="10">
        <f t="shared" si="1"/>
        <v>45346</v>
      </c>
      <c r="E563" s="10">
        <f t="shared" si="2"/>
        <v>45341</v>
      </c>
      <c r="F563" s="10">
        <f t="shared" si="3"/>
        <v>45323</v>
      </c>
      <c r="G563" s="11"/>
    </row>
    <row r="564">
      <c r="A564" s="5">
        <f>IFERROR(__xludf.DUMMYFUNCTION("""COMPUTED_VALUE"""),3659.0)</f>
        <v>3659</v>
      </c>
      <c r="B564" s="9">
        <f>IFERROR(__xludf.DUMMYFUNCTION("""COMPUTED_VALUE"""),45347.07675925926)</f>
        <v>45347.07676</v>
      </c>
      <c r="C564" s="5" t="str">
        <f>IFERROR(__xludf.DUMMYFUNCTION("""COMPUTED_VALUE"""),"purchase")</f>
        <v>purchase</v>
      </c>
      <c r="D564" s="10">
        <f t="shared" si="1"/>
        <v>45347</v>
      </c>
      <c r="E564" s="10">
        <f t="shared" si="2"/>
        <v>45341</v>
      </c>
      <c r="F564" s="10">
        <f t="shared" si="3"/>
        <v>45323</v>
      </c>
      <c r="G564" s="11"/>
    </row>
    <row r="565">
      <c r="A565" s="5">
        <f>IFERROR(__xludf.DUMMYFUNCTION("""COMPUTED_VALUE"""),80.0)</f>
        <v>80</v>
      </c>
      <c r="B565" s="9">
        <f>IFERROR(__xludf.DUMMYFUNCTION("""COMPUTED_VALUE"""),45347.21565972222)</f>
        <v>45347.21566</v>
      </c>
      <c r="C565" s="5" t="str">
        <f>IFERROR(__xludf.DUMMYFUNCTION("""COMPUTED_VALUE"""),"purchase")</f>
        <v>purchase</v>
      </c>
      <c r="D565" s="10">
        <f t="shared" si="1"/>
        <v>45347</v>
      </c>
      <c r="E565" s="10">
        <f t="shared" si="2"/>
        <v>45341</v>
      </c>
      <c r="F565" s="10">
        <f t="shared" si="3"/>
        <v>45323</v>
      </c>
      <c r="G565" s="11"/>
    </row>
    <row r="566">
      <c r="A566" s="5">
        <f>IFERROR(__xludf.DUMMYFUNCTION("""COMPUTED_VALUE"""),2289.0)</f>
        <v>2289</v>
      </c>
      <c r="B566" s="9">
        <f>IFERROR(__xludf.DUMMYFUNCTION("""COMPUTED_VALUE"""),45347.531377314815)</f>
        <v>45347.53138</v>
      </c>
      <c r="C566" s="5" t="str">
        <f>IFERROR(__xludf.DUMMYFUNCTION("""COMPUTED_VALUE"""),"purchase")</f>
        <v>purchase</v>
      </c>
      <c r="D566" s="10">
        <f t="shared" si="1"/>
        <v>45347</v>
      </c>
      <c r="E566" s="10">
        <f t="shared" si="2"/>
        <v>45341</v>
      </c>
      <c r="F566" s="10">
        <f t="shared" si="3"/>
        <v>45323</v>
      </c>
      <c r="G566" s="11"/>
    </row>
    <row r="567">
      <c r="A567" s="5">
        <f>IFERROR(__xludf.DUMMYFUNCTION("""COMPUTED_VALUE"""),3788.0)</f>
        <v>3788</v>
      </c>
      <c r="B567" s="9">
        <f>IFERROR(__xludf.DUMMYFUNCTION("""COMPUTED_VALUE"""),45347.71673611111)</f>
        <v>45347.71674</v>
      </c>
      <c r="C567" s="5" t="str">
        <f>IFERROR(__xludf.DUMMYFUNCTION("""COMPUTED_VALUE"""),"purchase")</f>
        <v>purchase</v>
      </c>
      <c r="D567" s="10">
        <f t="shared" si="1"/>
        <v>45347</v>
      </c>
      <c r="E567" s="10">
        <f t="shared" si="2"/>
        <v>45341</v>
      </c>
      <c r="F567" s="10">
        <f t="shared" si="3"/>
        <v>45323</v>
      </c>
      <c r="G567" s="11"/>
    </row>
    <row r="568">
      <c r="A568" s="5">
        <f>IFERROR(__xludf.DUMMYFUNCTION("""COMPUTED_VALUE"""),3351.0)</f>
        <v>3351</v>
      </c>
      <c r="B568" s="9">
        <f>IFERROR(__xludf.DUMMYFUNCTION("""COMPUTED_VALUE"""),45347.90888888889)</f>
        <v>45347.90889</v>
      </c>
      <c r="C568" s="5" t="str">
        <f>IFERROR(__xludf.DUMMYFUNCTION("""COMPUTED_VALUE"""),"purchase")</f>
        <v>purchase</v>
      </c>
      <c r="D568" s="10">
        <f t="shared" si="1"/>
        <v>45347</v>
      </c>
      <c r="E568" s="10">
        <f t="shared" si="2"/>
        <v>45341</v>
      </c>
      <c r="F568" s="10">
        <f t="shared" si="3"/>
        <v>45323</v>
      </c>
      <c r="G568" s="11"/>
    </row>
    <row r="569">
      <c r="A569" s="5">
        <f>IFERROR(__xludf.DUMMYFUNCTION("""COMPUTED_VALUE"""),1196.0)</f>
        <v>1196</v>
      </c>
      <c r="B569" s="9">
        <f>IFERROR(__xludf.DUMMYFUNCTION("""COMPUTED_VALUE"""),45347.97409722222)</f>
        <v>45347.9741</v>
      </c>
      <c r="C569" s="5" t="str">
        <f>IFERROR(__xludf.DUMMYFUNCTION("""COMPUTED_VALUE"""),"purchase")</f>
        <v>purchase</v>
      </c>
      <c r="D569" s="10">
        <f t="shared" si="1"/>
        <v>45347</v>
      </c>
      <c r="E569" s="10">
        <f t="shared" si="2"/>
        <v>45341</v>
      </c>
      <c r="F569" s="10">
        <f t="shared" si="3"/>
        <v>45323</v>
      </c>
      <c r="G569" s="11"/>
    </row>
    <row r="570">
      <c r="A570" s="5">
        <f>IFERROR(__xludf.DUMMYFUNCTION("""COMPUTED_VALUE"""),5163.0)</f>
        <v>5163</v>
      </c>
      <c r="B570" s="9">
        <f>IFERROR(__xludf.DUMMYFUNCTION("""COMPUTED_VALUE"""),45348.07667824074)</f>
        <v>45348.07668</v>
      </c>
      <c r="C570" s="5" t="str">
        <f>IFERROR(__xludf.DUMMYFUNCTION("""COMPUTED_VALUE"""),"purchase")</f>
        <v>purchase</v>
      </c>
      <c r="D570" s="10">
        <f t="shared" si="1"/>
        <v>45348</v>
      </c>
      <c r="E570" s="10">
        <f t="shared" si="2"/>
        <v>45348</v>
      </c>
      <c r="F570" s="10">
        <f t="shared" si="3"/>
        <v>45323</v>
      </c>
      <c r="G570" s="11"/>
    </row>
    <row r="571">
      <c r="A571" s="5">
        <f>IFERROR(__xludf.DUMMYFUNCTION("""COMPUTED_VALUE"""),5915.0)</f>
        <v>5915</v>
      </c>
      <c r="B571" s="9">
        <f>IFERROR(__xludf.DUMMYFUNCTION("""COMPUTED_VALUE"""),45348.11684027778)</f>
        <v>45348.11684</v>
      </c>
      <c r="C571" s="5" t="str">
        <f>IFERROR(__xludf.DUMMYFUNCTION("""COMPUTED_VALUE"""),"purchase")</f>
        <v>purchase</v>
      </c>
      <c r="D571" s="10">
        <f t="shared" si="1"/>
        <v>45348</v>
      </c>
      <c r="E571" s="10">
        <f t="shared" si="2"/>
        <v>45348</v>
      </c>
      <c r="F571" s="10">
        <f t="shared" si="3"/>
        <v>45323</v>
      </c>
      <c r="G571" s="11"/>
    </row>
    <row r="572">
      <c r="A572" s="5">
        <f>IFERROR(__xludf.DUMMYFUNCTION("""COMPUTED_VALUE"""),7047.0)</f>
        <v>7047</v>
      </c>
      <c r="B572" s="9">
        <f>IFERROR(__xludf.DUMMYFUNCTION("""COMPUTED_VALUE"""),45348.19336805555)</f>
        <v>45348.19337</v>
      </c>
      <c r="C572" s="5" t="str">
        <f>IFERROR(__xludf.DUMMYFUNCTION("""COMPUTED_VALUE"""),"purchase")</f>
        <v>purchase</v>
      </c>
      <c r="D572" s="10">
        <f t="shared" si="1"/>
        <v>45348</v>
      </c>
      <c r="E572" s="10">
        <f t="shared" si="2"/>
        <v>45348</v>
      </c>
      <c r="F572" s="10">
        <f t="shared" si="3"/>
        <v>45323</v>
      </c>
      <c r="G572" s="11"/>
    </row>
    <row r="573">
      <c r="A573" s="5">
        <f>IFERROR(__xludf.DUMMYFUNCTION("""COMPUTED_VALUE"""),3470.0)</f>
        <v>3470</v>
      </c>
      <c r="B573" s="9">
        <f>IFERROR(__xludf.DUMMYFUNCTION("""COMPUTED_VALUE"""),45348.19422453704)</f>
        <v>45348.19422</v>
      </c>
      <c r="C573" s="5" t="str">
        <f>IFERROR(__xludf.DUMMYFUNCTION("""COMPUTED_VALUE"""),"purchase")</f>
        <v>purchase</v>
      </c>
      <c r="D573" s="10">
        <f t="shared" si="1"/>
        <v>45348</v>
      </c>
      <c r="E573" s="10">
        <f t="shared" si="2"/>
        <v>45348</v>
      </c>
      <c r="F573" s="10">
        <f t="shared" si="3"/>
        <v>45323</v>
      </c>
      <c r="G573" s="11"/>
    </row>
    <row r="574">
      <c r="A574" s="5">
        <f>IFERROR(__xludf.DUMMYFUNCTION("""COMPUTED_VALUE"""),329.0)</f>
        <v>329</v>
      </c>
      <c r="B574" s="9">
        <f>IFERROR(__xludf.DUMMYFUNCTION("""COMPUTED_VALUE"""),45348.23877314815)</f>
        <v>45348.23877</v>
      </c>
      <c r="C574" s="5" t="str">
        <f>IFERROR(__xludf.DUMMYFUNCTION("""COMPUTED_VALUE"""),"purchase")</f>
        <v>purchase</v>
      </c>
      <c r="D574" s="10">
        <f t="shared" si="1"/>
        <v>45348</v>
      </c>
      <c r="E574" s="10">
        <f t="shared" si="2"/>
        <v>45348</v>
      </c>
      <c r="F574" s="10">
        <f t="shared" si="3"/>
        <v>45323</v>
      </c>
      <c r="G574" s="11"/>
    </row>
    <row r="575">
      <c r="A575" s="5">
        <f>IFERROR(__xludf.DUMMYFUNCTION("""COMPUTED_VALUE"""),6488.0)</f>
        <v>6488</v>
      </c>
      <c r="B575" s="9">
        <f>IFERROR(__xludf.DUMMYFUNCTION("""COMPUTED_VALUE"""),45348.27070601852)</f>
        <v>45348.27071</v>
      </c>
      <c r="C575" s="5" t="str">
        <f>IFERROR(__xludf.DUMMYFUNCTION("""COMPUTED_VALUE"""),"purchase")</f>
        <v>purchase</v>
      </c>
      <c r="D575" s="10">
        <f t="shared" si="1"/>
        <v>45348</v>
      </c>
      <c r="E575" s="10">
        <f t="shared" si="2"/>
        <v>45348</v>
      </c>
      <c r="F575" s="10">
        <f t="shared" si="3"/>
        <v>45323</v>
      </c>
      <c r="G575" s="11"/>
    </row>
    <row r="576">
      <c r="A576" s="5">
        <f>IFERROR(__xludf.DUMMYFUNCTION("""COMPUTED_VALUE"""),4858.0)</f>
        <v>4858</v>
      </c>
      <c r="B576" s="9">
        <f>IFERROR(__xludf.DUMMYFUNCTION("""COMPUTED_VALUE"""),45348.27148148148)</f>
        <v>45348.27148</v>
      </c>
      <c r="C576" s="5" t="str">
        <f>IFERROR(__xludf.DUMMYFUNCTION("""COMPUTED_VALUE"""),"purchase")</f>
        <v>purchase</v>
      </c>
      <c r="D576" s="10">
        <f t="shared" si="1"/>
        <v>45348</v>
      </c>
      <c r="E576" s="10">
        <f t="shared" si="2"/>
        <v>45348</v>
      </c>
      <c r="F576" s="10">
        <f t="shared" si="3"/>
        <v>45323</v>
      </c>
      <c r="G576" s="11"/>
    </row>
    <row r="577">
      <c r="A577" s="5">
        <f>IFERROR(__xludf.DUMMYFUNCTION("""COMPUTED_VALUE"""),1616.0)</f>
        <v>1616</v>
      </c>
      <c r="B577" s="9">
        <f>IFERROR(__xludf.DUMMYFUNCTION("""COMPUTED_VALUE"""),45348.30305555555)</f>
        <v>45348.30306</v>
      </c>
      <c r="C577" s="5" t="str">
        <f>IFERROR(__xludf.DUMMYFUNCTION("""COMPUTED_VALUE"""),"purchase")</f>
        <v>purchase</v>
      </c>
      <c r="D577" s="10">
        <f t="shared" si="1"/>
        <v>45348</v>
      </c>
      <c r="E577" s="10">
        <f t="shared" si="2"/>
        <v>45348</v>
      </c>
      <c r="F577" s="10">
        <f t="shared" si="3"/>
        <v>45323</v>
      </c>
      <c r="G577" s="11"/>
    </row>
    <row r="578">
      <c r="A578" s="5">
        <f>IFERROR(__xludf.DUMMYFUNCTION("""COMPUTED_VALUE"""),7701.0)</f>
        <v>7701</v>
      </c>
      <c r="B578" s="9">
        <f>IFERROR(__xludf.DUMMYFUNCTION("""COMPUTED_VALUE"""),45348.49983796296)</f>
        <v>45348.49984</v>
      </c>
      <c r="C578" s="5" t="str">
        <f>IFERROR(__xludf.DUMMYFUNCTION("""COMPUTED_VALUE"""),"purchase")</f>
        <v>purchase</v>
      </c>
      <c r="D578" s="10">
        <f t="shared" si="1"/>
        <v>45348</v>
      </c>
      <c r="E578" s="10">
        <f t="shared" si="2"/>
        <v>45348</v>
      </c>
      <c r="F578" s="10">
        <f t="shared" si="3"/>
        <v>45323</v>
      </c>
      <c r="G578" s="11"/>
    </row>
    <row r="579">
      <c r="A579" s="5">
        <f>IFERROR(__xludf.DUMMYFUNCTION("""COMPUTED_VALUE"""),2900.0)</f>
        <v>2900</v>
      </c>
      <c r="B579" s="9">
        <f>IFERROR(__xludf.DUMMYFUNCTION("""COMPUTED_VALUE"""),45348.52684027778)</f>
        <v>45348.52684</v>
      </c>
      <c r="C579" s="5" t="str">
        <f>IFERROR(__xludf.DUMMYFUNCTION("""COMPUTED_VALUE"""),"purchase")</f>
        <v>purchase</v>
      </c>
      <c r="D579" s="10">
        <f t="shared" si="1"/>
        <v>45348</v>
      </c>
      <c r="E579" s="10">
        <f t="shared" si="2"/>
        <v>45348</v>
      </c>
      <c r="F579" s="10">
        <f t="shared" si="3"/>
        <v>45323</v>
      </c>
      <c r="G579" s="11"/>
    </row>
    <row r="580">
      <c r="A580" s="5">
        <f>IFERROR(__xludf.DUMMYFUNCTION("""COMPUTED_VALUE"""),4343.0)</f>
        <v>4343</v>
      </c>
      <c r="B580" s="9">
        <f>IFERROR(__xludf.DUMMYFUNCTION("""COMPUTED_VALUE"""),45348.79293981481)</f>
        <v>45348.79294</v>
      </c>
      <c r="C580" s="5" t="str">
        <f>IFERROR(__xludf.DUMMYFUNCTION("""COMPUTED_VALUE"""),"purchase")</f>
        <v>purchase</v>
      </c>
      <c r="D580" s="10">
        <f t="shared" si="1"/>
        <v>45348</v>
      </c>
      <c r="E580" s="10">
        <f t="shared" si="2"/>
        <v>45348</v>
      </c>
      <c r="F580" s="10">
        <f t="shared" si="3"/>
        <v>45323</v>
      </c>
      <c r="G580" s="11"/>
    </row>
    <row r="581">
      <c r="A581" s="5">
        <f>IFERROR(__xludf.DUMMYFUNCTION("""COMPUTED_VALUE"""),2690.0)</f>
        <v>2690</v>
      </c>
      <c r="B581" s="9">
        <f>IFERROR(__xludf.DUMMYFUNCTION("""COMPUTED_VALUE"""),45348.92332175926)</f>
        <v>45348.92332</v>
      </c>
      <c r="C581" s="5" t="str">
        <f>IFERROR(__xludf.DUMMYFUNCTION("""COMPUTED_VALUE"""),"purchase")</f>
        <v>purchase</v>
      </c>
      <c r="D581" s="10">
        <f t="shared" si="1"/>
        <v>45348</v>
      </c>
      <c r="E581" s="10">
        <f t="shared" si="2"/>
        <v>45348</v>
      </c>
      <c r="F581" s="10">
        <f t="shared" si="3"/>
        <v>45323</v>
      </c>
      <c r="G581" s="11"/>
    </row>
    <row r="582">
      <c r="A582" s="5">
        <f>IFERROR(__xludf.DUMMYFUNCTION("""COMPUTED_VALUE"""),1296.0)</f>
        <v>1296</v>
      </c>
      <c r="B582" s="9">
        <f>IFERROR(__xludf.DUMMYFUNCTION("""COMPUTED_VALUE"""),45348.97552083333)</f>
        <v>45348.97552</v>
      </c>
      <c r="C582" s="5" t="str">
        <f>IFERROR(__xludf.DUMMYFUNCTION("""COMPUTED_VALUE"""),"purchase")</f>
        <v>purchase</v>
      </c>
      <c r="D582" s="10">
        <f t="shared" si="1"/>
        <v>45348</v>
      </c>
      <c r="E582" s="10">
        <f t="shared" si="2"/>
        <v>45348</v>
      </c>
      <c r="F582" s="10">
        <f t="shared" si="3"/>
        <v>45323</v>
      </c>
      <c r="G582" s="11"/>
    </row>
    <row r="583">
      <c r="A583" s="5">
        <f>IFERROR(__xludf.DUMMYFUNCTION("""COMPUTED_VALUE"""),3348.0)</f>
        <v>3348</v>
      </c>
      <c r="B583" s="9">
        <f>IFERROR(__xludf.DUMMYFUNCTION("""COMPUTED_VALUE"""),45348.980162037034)</f>
        <v>45348.98016</v>
      </c>
      <c r="C583" s="5" t="str">
        <f>IFERROR(__xludf.DUMMYFUNCTION("""COMPUTED_VALUE"""),"purchase")</f>
        <v>purchase</v>
      </c>
      <c r="D583" s="10">
        <f t="shared" si="1"/>
        <v>45348</v>
      </c>
      <c r="E583" s="10">
        <f t="shared" si="2"/>
        <v>45348</v>
      </c>
      <c r="F583" s="10">
        <f t="shared" si="3"/>
        <v>45323</v>
      </c>
      <c r="G583" s="11"/>
    </row>
    <row r="584">
      <c r="A584" s="5">
        <f>IFERROR(__xludf.DUMMYFUNCTION("""COMPUTED_VALUE"""),7208.0)</f>
        <v>7208</v>
      </c>
      <c r="B584" s="9">
        <f>IFERROR(__xludf.DUMMYFUNCTION("""COMPUTED_VALUE"""),45348.9946412037)</f>
        <v>45348.99464</v>
      </c>
      <c r="C584" s="5" t="str">
        <f>IFERROR(__xludf.DUMMYFUNCTION("""COMPUTED_VALUE"""),"purchase")</f>
        <v>purchase</v>
      </c>
      <c r="D584" s="10">
        <f t="shared" si="1"/>
        <v>45348</v>
      </c>
      <c r="E584" s="10">
        <f t="shared" si="2"/>
        <v>45348</v>
      </c>
      <c r="F584" s="10">
        <f t="shared" si="3"/>
        <v>45323</v>
      </c>
      <c r="G584" s="11"/>
    </row>
    <row r="585">
      <c r="A585" s="5">
        <f>IFERROR(__xludf.DUMMYFUNCTION("""COMPUTED_VALUE"""),3483.0)</f>
        <v>3483</v>
      </c>
      <c r="B585" s="9">
        <f>IFERROR(__xludf.DUMMYFUNCTION("""COMPUTED_VALUE"""),45349.00341435185)</f>
        <v>45349.00341</v>
      </c>
      <c r="C585" s="5" t="str">
        <f>IFERROR(__xludf.DUMMYFUNCTION("""COMPUTED_VALUE"""),"purchase")</f>
        <v>purchase</v>
      </c>
      <c r="D585" s="10">
        <f t="shared" si="1"/>
        <v>45349</v>
      </c>
      <c r="E585" s="10">
        <f t="shared" si="2"/>
        <v>45348</v>
      </c>
      <c r="F585" s="10">
        <f t="shared" si="3"/>
        <v>45323</v>
      </c>
      <c r="G585" s="11"/>
    </row>
    <row r="586">
      <c r="A586" s="5">
        <f>IFERROR(__xludf.DUMMYFUNCTION("""COMPUTED_VALUE"""),3438.0)</f>
        <v>3438</v>
      </c>
      <c r="B586" s="9">
        <f>IFERROR(__xludf.DUMMYFUNCTION("""COMPUTED_VALUE"""),45349.024201388886)</f>
        <v>45349.0242</v>
      </c>
      <c r="C586" s="5" t="str">
        <f>IFERROR(__xludf.DUMMYFUNCTION("""COMPUTED_VALUE"""),"purchase")</f>
        <v>purchase</v>
      </c>
      <c r="D586" s="10">
        <f t="shared" si="1"/>
        <v>45349</v>
      </c>
      <c r="E586" s="10">
        <f t="shared" si="2"/>
        <v>45348</v>
      </c>
      <c r="F586" s="10">
        <f t="shared" si="3"/>
        <v>45323</v>
      </c>
      <c r="G586" s="11"/>
    </row>
    <row r="587">
      <c r="A587" s="5">
        <f>IFERROR(__xludf.DUMMYFUNCTION("""COMPUTED_VALUE"""),3136.0)</f>
        <v>3136</v>
      </c>
      <c r="B587" s="9">
        <f>IFERROR(__xludf.DUMMYFUNCTION("""COMPUTED_VALUE"""),45349.064108796294)</f>
        <v>45349.06411</v>
      </c>
      <c r="C587" s="5" t="str">
        <f>IFERROR(__xludf.DUMMYFUNCTION("""COMPUTED_VALUE"""),"purchase")</f>
        <v>purchase</v>
      </c>
      <c r="D587" s="10">
        <f t="shared" si="1"/>
        <v>45349</v>
      </c>
      <c r="E587" s="10">
        <f t="shared" si="2"/>
        <v>45348</v>
      </c>
      <c r="F587" s="10">
        <f t="shared" si="3"/>
        <v>45323</v>
      </c>
      <c r="G587" s="11"/>
    </row>
    <row r="588">
      <c r="A588" s="5">
        <f>IFERROR(__xludf.DUMMYFUNCTION("""COMPUTED_VALUE"""),6637.0)</f>
        <v>6637</v>
      </c>
      <c r="B588" s="9">
        <f>IFERROR(__xludf.DUMMYFUNCTION("""COMPUTED_VALUE"""),45349.06765046297)</f>
        <v>45349.06765</v>
      </c>
      <c r="C588" s="5" t="str">
        <f>IFERROR(__xludf.DUMMYFUNCTION("""COMPUTED_VALUE"""),"purchase")</f>
        <v>purchase</v>
      </c>
      <c r="D588" s="10">
        <f t="shared" si="1"/>
        <v>45349</v>
      </c>
      <c r="E588" s="10">
        <f t="shared" si="2"/>
        <v>45348</v>
      </c>
      <c r="F588" s="10">
        <f t="shared" si="3"/>
        <v>45323</v>
      </c>
      <c r="G588" s="11"/>
    </row>
    <row r="589">
      <c r="A589" s="5">
        <f>IFERROR(__xludf.DUMMYFUNCTION("""COMPUTED_VALUE"""),1545.0)</f>
        <v>1545</v>
      </c>
      <c r="B589" s="9">
        <f>IFERROR(__xludf.DUMMYFUNCTION("""COMPUTED_VALUE"""),45349.38171296296)</f>
        <v>45349.38171</v>
      </c>
      <c r="C589" s="5" t="str">
        <f>IFERROR(__xludf.DUMMYFUNCTION("""COMPUTED_VALUE"""),"purchase")</f>
        <v>purchase</v>
      </c>
      <c r="D589" s="10">
        <f t="shared" si="1"/>
        <v>45349</v>
      </c>
      <c r="E589" s="10">
        <f t="shared" si="2"/>
        <v>45348</v>
      </c>
      <c r="F589" s="10">
        <f t="shared" si="3"/>
        <v>45323</v>
      </c>
      <c r="G589" s="11"/>
    </row>
    <row r="590">
      <c r="A590" s="5">
        <f>IFERROR(__xludf.DUMMYFUNCTION("""COMPUTED_VALUE"""),7994.0)</f>
        <v>7994</v>
      </c>
      <c r="B590" s="9">
        <f>IFERROR(__xludf.DUMMYFUNCTION("""COMPUTED_VALUE"""),45349.476064814815)</f>
        <v>45349.47606</v>
      </c>
      <c r="C590" s="5" t="str">
        <f>IFERROR(__xludf.DUMMYFUNCTION("""COMPUTED_VALUE"""),"purchase")</f>
        <v>purchase</v>
      </c>
      <c r="D590" s="10">
        <f t="shared" si="1"/>
        <v>45349</v>
      </c>
      <c r="E590" s="10">
        <f t="shared" si="2"/>
        <v>45348</v>
      </c>
      <c r="F590" s="10">
        <f t="shared" si="3"/>
        <v>45323</v>
      </c>
      <c r="G590" s="11"/>
    </row>
    <row r="591">
      <c r="A591" s="5">
        <f>IFERROR(__xludf.DUMMYFUNCTION("""COMPUTED_VALUE"""),199.0)</f>
        <v>199</v>
      </c>
      <c r="B591" s="9">
        <f>IFERROR(__xludf.DUMMYFUNCTION("""COMPUTED_VALUE"""),45349.48787037037)</f>
        <v>45349.48787</v>
      </c>
      <c r="C591" s="5" t="str">
        <f>IFERROR(__xludf.DUMMYFUNCTION("""COMPUTED_VALUE"""),"purchase")</f>
        <v>purchase</v>
      </c>
      <c r="D591" s="10">
        <f t="shared" si="1"/>
        <v>45349</v>
      </c>
      <c r="E591" s="10">
        <f t="shared" si="2"/>
        <v>45348</v>
      </c>
      <c r="F591" s="10">
        <f t="shared" si="3"/>
        <v>45323</v>
      </c>
      <c r="G591" s="11"/>
    </row>
    <row r="592">
      <c r="A592" s="5">
        <f>IFERROR(__xludf.DUMMYFUNCTION("""COMPUTED_VALUE"""),3329.0)</f>
        <v>3329</v>
      </c>
      <c r="B592" s="9">
        <f>IFERROR(__xludf.DUMMYFUNCTION("""COMPUTED_VALUE"""),45349.569918981484)</f>
        <v>45349.56992</v>
      </c>
      <c r="C592" s="5" t="str">
        <f>IFERROR(__xludf.DUMMYFUNCTION("""COMPUTED_VALUE"""),"purchase")</f>
        <v>purchase</v>
      </c>
      <c r="D592" s="10">
        <f t="shared" si="1"/>
        <v>45349</v>
      </c>
      <c r="E592" s="10">
        <f t="shared" si="2"/>
        <v>45348</v>
      </c>
      <c r="F592" s="10">
        <f t="shared" si="3"/>
        <v>45323</v>
      </c>
      <c r="G592" s="11"/>
    </row>
    <row r="593">
      <c r="A593" s="5">
        <f>IFERROR(__xludf.DUMMYFUNCTION("""COMPUTED_VALUE"""),6606.0)</f>
        <v>6606</v>
      </c>
      <c r="B593" s="9">
        <f>IFERROR(__xludf.DUMMYFUNCTION("""COMPUTED_VALUE"""),45349.61790509259)</f>
        <v>45349.61791</v>
      </c>
      <c r="C593" s="5" t="str">
        <f>IFERROR(__xludf.DUMMYFUNCTION("""COMPUTED_VALUE"""),"purchase")</f>
        <v>purchase</v>
      </c>
      <c r="D593" s="10">
        <f t="shared" si="1"/>
        <v>45349</v>
      </c>
      <c r="E593" s="10">
        <f t="shared" si="2"/>
        <v>45348</v>
      </c>
      <c r="F593" s="10">
        <f t="shared" si="3"/>
        <v>45323</v>
      </c>
      <c r="G593" s="11"/>
    </row>
    <row r="594">
      <c r="A594" s="5">
        <f>IFERROR(__xludf.DUMMYFUNCTION("""COMPUTED_VALUE"""),2500.0)</f>
        <v>2500</v>
      </c>
      <c r="B594" s="9">
        <f>IFERROR(__xludf.DUMMYFUNCTION("""COMPUTED_VALUE"""),45349.631203703706)</f>
        <v>45349.6312</v>
      </c>
      <c r="C594" s="5" t="str">
        <f>IFERROR(__xludf.DUMMYFUNCTION("""COMPUTED_VALUE"""),"purchase")</f>
        <v>purchase</v>
      </c>
      <c r="D594" s="10">
        <f t="shared" si="1"/>
        <v>45349</v>
      </c>
      <c r="E594" s="10">
        <f t="shared" si="2"/>
        <v>45348</v>
      </c>
      <c r="F594" s="10">
        <f t="shared" si="3"/>
        <v>45323</v>
      </c>
      <c r="G594" s="11"/>
    </row>
    <row r="595">
      <c r="A595" s="5">
        <f>IFERROR(__xludf.DUMMYFUNCTION("""COMPUTED_VALUE"""),2958.0)</f>
        <v>2958</v>
      </c>
      <c r="B595" s="9">
        <f>IFERROR(__xludf.DUMMYFUNCTION("""COMPUTED_VALUE"""),45349.73609953704)</f>
        <v>45349.7361</v>
      </c>
      <c r="C595" s="5" t="str">
        <f>IFERROR(__xludf.DUMMYFUNCTION("""COMPUTED_VALUE"""),"purchase")</f>
        <v>purchase</v>
      </c>
      <c r="D595" s="10">
        <f t="shared" si="1"/>
        <v>45349</v>
      </c>
      <c r="E595" s="10">
        <f t="shared" si="2"/>
        <v>45348</v>
      </c>
      <c r="F595" s="10">
        <f t="shared" si="3"/>
        <v>45323</v>
      </c>
      <c r="G595" s="11"/>
    </row>
    <row r="596">
      <c r="A596" s="5">
        <f>IFERROR(__xludf.DUMMYFUNCTION("""COMPUTED_VALUE"""),4740.0)</f>
        <v>4740</v>
      </c>
      <c r="B596" s="9">
        <f>IFERROR(__xludf.DUMMYFUNCTION("""COMPUTED_VALUE"""),45349.908680555556)</f>
        <v>45349.90868</v>
      </c>
      <c r="C596" s="5" t="str">
        <f>IFERROR(__xludf.DUMMYFUNCTION("""COMPUTED_VALUE"""),"purchase")</f>
        <v>purchase</v>
      </c>
      <c r="D596" s="10">
        <f t="shared" si="1"/>
        <v>45349</v>
      </c>
      <c r="E596" s="10">
        <f t="shared" si="2"/>
        <v>45348</v>
      </c>
      <c r="F596" s="10">
        <f t="shared" si="3"/>
        <v>45323</v>
      </c>
      <c r="G596" s="11"/>
    </row>
    <row r="597">
      <c r="A597" s="5">
        <f>IFERROR(__xludf.DUMMYFUNCTION("""COMPUTED_VALUE"""),4383.0)</f>
        <v>4383</v>
      </c>
      <c r="B597" s="9">
        <f>IFERROR(__xludf.DUMMYFUNCTION("""COMPUTED_VALUE"""),45349.959398148145)</f>
        <v>45349.9594</v>
      </c>
      <c r="C597" s="5" t="str">
        <f>IFERROR(__xludf.DUMMYFUNCTION("""COMPUTED_VALUE"""),"purchase")</f>
        <v>purchase</v>
      </c>
      <c r="D597" s="10">
        <f t="shared" si="1"/>
        <v>45349</v>
      </c>
      <c r="E597" s="10">
        <f t="shared" si="2"/>
        <v>45348</v>
      </c>
      <c r="F597" s="10">
        <f t="shared" si="3"/>
        <v>45323</v>
      </c>
      <c r="G597" s="11"/>
    </row>
    <row r="598">
      <c r="A598" s="5">
        <f>IFERROR(__xludf.DUMMYFUNCTION("""COMPUTED_VALUE"""),6476.0)</f>
        <v>6476</v>
      </c>
      <c r="B598" s="9">
        <f>IFERROR(__xludf.DUMMYFUNCTION("""COMPUTED_VALUE"""),45350.27805555556)</f>
        <v>45350.27806</v>
      </c>
      <c r="C598" s="5" t="str">
        <f>IFERROR(__xludf.DUMMYFUNCTION("""COMPUTED_VALUE"""),"purchase")</f>
        <v>purchase</v>
      </c>
      <c r="D598" s="10">
        <f t="shared" si="1"/>
        <v>45350</v>
      </c>
      <c r="E598" s="10">
        <f t="shared" si="2"/>
        <v>45348</v>
      </c>
      <c r="F598" s="10">
        <f t="shared" si="3"/>
        <v>45323</v>
      </c>
      <c r="G598" s="11"/>
    </row>
    <row r="599">
      <c r="A599" s="5">
        <f>IFERROR(__xludf.DUMMYFUNCTION("""COMPUTED_VALUE"""),6217.0)</f>
        <v>6217</v>
      </c>
      <c r="B599" s="9">
        <f>IFERROR(__xludf.DUMMYFUNCTION("""COMPUTED_VALUE"""),45350.5362962963)</f>
        <v>45350.5363</v>
      </c>
      <c r="C599" s="5" t="str">
        <f>IFERROR(__xludf.DUMMYFUNCTION("""COMPUTED_VALUE"""),"purchase")</f>
        <v>purchase</v>
      </c>
      <c r="D599" s="10">
        <f t="shared" si="1"/>
        <v>45350</v>
      </c>
      <c r="E599" s="10">
        <f t="shared" si="2"/>
        <v>45348</v>
      </c>
      <c r="F599" s="10">
        <f t="shared" si="3"/>
        <v>45323</v>
      </c>
      <c r="G599" s="11"/>
    </row>
    <row r="600">
      <c r="A600" s="5">
        <f>IFERROR(__xludf.DUMMYFUNCTION("""COMPUTED_VALUE"""),182.0)</f>
        <v>182</v>
      </c>
      <c r="B600" s="9">
        <f>IFERROR(__xludf.DUMMYFUNCTION("""COMPUTED_VALUE"""),45350.5596875)</f>
        <v>45350.55969</v>
      </c>
      <c r="C600" s="5" t="str">
        <f>IFERROR(__xludf.DUMMYFUNCTION("""COMPUTED_VALUE"""),"purchase")</f>
        <v>purchase</v>
      </c>
      <c r="D600" s="10">
        <f t="shared" si="1"/>
        <v>45350</v>
      </c>
      <c r="E600" s="10">
        <f t="shared" si="2"/>
        <v>45348</v>
      </c>
      <c r="F600" s="10">
        <f t="shared" si="3"/>
        <v>45323</v>
      </c>
      <c r="G600" s="11"/>
    </row>
    <row r="601">
      <c r="A601" s="5">
        <f>IFERROR(__xludf.DUMMYFUNCTION("""COMPUTED_VALUE"""),7945.0)</f>
        <v>7945</v>
      </c>
      <c r="B601" s="9">
        <f>IFERROR(__xludf.DUMMYFUNCTION("""COMPUTED_VALUE"""),45350.80467592592)</f>
        <v>45350.80468</v>
      </c>
      <c r="C601" s="5" t="str">
        <f>IFERROR(__xludf.DUMMYFUNCTION("""COMPUTED_VALUE"""),"purchase")</f>
        <v>purchase</v>
      </c>
      <c r="D601" s="10">
        <f t="shared" si="1"/>
        <v>45350</v>
      </c>
      <c r="E601" s="10">
        <f t="shared" si="2"/>
        <v>45348</v>
      </c>
      <c r="F601" s="10">
        <f t="shared" si="3"/>
        <v>45323</v>
      </c>
      <c r="G601" s="11"/>
    </row>
    <row r="602">
      <c r="A602" s="5">
        <f>IFERROR(__xludf.DUMMYFUNCTION("""COMPUTED_VALUE"""),7000.0)</f>
        <v>7000</v>
      </c>
      <c r="B602" s="9">
        <f>IFERROR(__xludf.DUMMYFUNCTION("""COMPUTED_VALUE"""),45350.916342592594)</f>
        <v>45350.91634</v>
      </c>
      <c r="C602" s="5" t="str">
        <f>IFERROR(__xludf.DUMMYFUNCTION("""COMPUTED_VALUE"""),"purchase")</f>
        <v>purchase</v>
      </c>
      <c r="D602" s="10">
        <f t="shared" si="1"/>
        <v>45350</v>
      </c>
      <c r="E602" s="10">
        <f t="shared" si="2"/>
        <v>45348</v>
      </c>
      <c r="F602" s="10">
        <f t="shared" si="3"/>
        <v>45323</v>
      </c>
      <c r="G602" s="11"/>
    </row>
    <row r="603">
      <c r="A603" s="5">
        <f>IFERROR(__xludf.DUMMYFUNCTION("""COMPUTED_VALUE"""),4538.0)</f>
        <v>4538</v>
      </c>
      <c r="B603" s="9">
        <f>IFERROR(__xludf.DUMMYFUNCTION("""COMPUTED_VALUE"""),45351.01650462963)</f>
        <v>45351.0165</v>
      </c>
      <c r="C603" s="5" t="str">
        <f>IFERROR(__xludf.DUMMYFUNCTION("""COMPUTED_VALUE"""),"purchase")</f>
        <v>purchase</v>
      </c>
      <c r="D603" s="10">
        <f t="shared" si="1"/>
        <v>45351</v>
      </c>
      <c r="E603" s="10">
        <f t="shared" si="2"/>
        <v>45348</v>
      </c>
      <c r="F603" s="10">
        <f t="shared" si="3"/>
        <v>45323</v>
      </c>
      <c r="G603" s="11"/>
    </row>
    <row r="604">
      <c r="A604" s="5">
        <f>IFERROR(__xludf.DUMMYFUNCTION("""COMPUTED_VALUE"""),1184.0)</f>
        <v>1184</v>
      </c>
      <c r="B604" s="9">
        <f>IFERROR(__xludf.DUMMYFUNCTION("""COMPUTED_VALUE"""),45351.13182870371)</f>
        <v>45351.13183</v>
      </c>
      <c r="C604" s="5" t="str">
        <f>IFERROR(__xludf.DUMMYFUNCTION("""COMPUTED_VALUE"""),"purchase")</f>
        <v>purchase</v>
      </c>
      <c r="D604" s="10">
        <f t="shared" si="1"/>
        <v>45351</v>
      </c>
      <c r="E604" s="10">
        <f t="shared" si="2"/>
        <v>45348</v>
      </c>
      <c r="F604" s="10">
        <f t="shared" si="3"/>
        <v>45323</v>
      </c>
      <c r="G604" s="11"/>
    </row>
    <row r="605">
      <c r="A605" s="5">
        <f>IFERROR(__xludf.DUMMYFUNCTION("""COMPUTED_VALUE"""),3258.0)</f>
        <v>3258</v>
      </c>
      <c r="B605" s="9">
        <f>IFERROR(__xludf.DUMMYFUNCTION("""COMPUTED_VALUE"""),45351.14197916666)</f>
        <v>45351.14198</v>
      </c>
      <c r="C605" s="5" t="str">
        <f>IFERROR(__xludf.DUMMYFUNCTION("""COMPUTED_VALUE"""),"purchase")</f>
        <v>purchase</v>
      </c>
      <c r="D605" s="10">
        <f t="shared" si="1"/>
        <v>45351</v>
      </c>
      <c r="E605" s="10">
        <f t="shared" si="2"/>
        <v>45348</v>
      </c>
      <c r="F605" s="10">
        <f t="shared" si="3"/>
        <v>45323</v>
      </c>
      <c r="G605" s="11"/>
    </row>
    <row r="606">
      <c r="A606" s="5">
        <f>IFERROR(__xludf.DUMMYFUNCTION("""COMPUTED_VALUE"""),3814.0)</f>
        <v>3814</v>
      </c>
      <c r="B606" s="9">
        <f>IFERROR(__xludf.DUMMYFUNCTION("""COMPUTED_VALUE"""),45351.16127314815)</f>
        <v>45351.16127</v>
      </c>
      <c r="C606" s="5" t="str">
        <f>IFERROR(__xludf.DUMMYFUNCTION("""COMPUTED_VALUE"""),"purchase")</f>
        <v>purchase</v>
      </c>
      <c r="D606" s="10">
        <f t="shared" si="1"/>
        <v>45351</v>
      </c>
      <c r="E606" s="10">
        <f t="shared" si="2"/>
        <v>45348</v>
      </c>
      <c r="F606" s="10">
        <f t="shared" si="3"/>
        <v>45323</v>
      </c>
      <c r="G606" s="11"/>
    </row>
    <row r="607">
      <c r="A607" s="5">
        <f>IFERROR(__xludf.DUMMYFUNCTION("""COMPUTED_VALUE"""),5012.0)</f>
        <v>5012</v>
      </c>
      <c r="B607" s="9">
        <f>IFERROR(__xludf.DUMMYFUNCTION("""COMPUTED_VALUE"""),45351.38511574074)</f>
        <v>45351.38512</v>
      </c>
      <c r="C607" s="5" t="str">
        <f>IFERROR(__xludf.DUMMYFUNCTION("""COMPUTED_VALUE"""),"purchase")</f>
        <v>purchase</v>
      </c>
      <c r="D607" s="10">
        <f t="shared" si="1"/>
        <v>45351</v>
      </c>
      <c r="E607" s="10">
        <f t="shared" si="2"/>
        <v>45348</v>
      </c>
      <c r="F607" s="10">
        <f t="shared" si="3"/>
        <v>45323</v>
      </c>
      <c r="G607" s="11"/>
    </row>
    <row r="608">
      <c r="A608" s="5">
        <f>IFERROR(__xludf.DUMMYFUNCTION("""COMPUTED_VALUE"""),6049.0)</f>
        <v>6049</v>
      </c>
      <c r="B608" s="9">
        <f>IFERROR(__xludf.DUMMYFUNCTION("""COMPUTED_VALUE"""),45351.48652777778)</f>
        <v>45351.48653</v>
      </c>
      <c r="C608" s="5" t="str">
        <f>IFERROR(__xludf.DUMMYFUNCTION("""COMPUTED_VALUE"""),"purchase")</f>
        <v>purchase</v>
      </c>
      <c r="D608" s="10">
        <f t="shared" si="1"/>
        <v>45351</v>
      </c>
      <c r="E608" s="10">
        <f t="shared" si="2"/>
        <v>45348</v>
      </c>
      <c r="F608" s="10">
        <f t="shared" si="3"/>
        <v>45323</v>
      </c>
      <c r="G608" s="11"/>
    </row>
    <row r="609">
      <c r="A609" s="5">
        <f>IFERROR(__xludf.DUMMYFUNCTION("""COMPUTED_VALUE"""),6713.0)</f>
        <v>6713</v>
      </c>
      <c r="B609" s="9">
        <f>IFERROR(__xludf.DUMMYFUNCTION("""COMPUTED_VALUE"""),45351.49149305555)</f>
        <v>45351.49149</v>
      </c>
      <c r="C609" s="5" t="str">
        <f>IFERROR(__xludf.DUMMYFUNCTION("""COMPUTED_VALUE"""),"purchase")</f>
        <v>purchase</v>
      </c>
      <c r="D609" s="10">
        <f t="shared" si="1"/>
        <v>45351</v>
      </c>
      <c r="E609" s="10">
        <f t="shared" si="2"/>
        <v>45348</v>
      </c>
      <c r="F609" s="10">
        <f t="shared" si="3"/>
        <v>45323</v>
      </c>
      <c r="G609" s="11"/>
    </row>
    <row r="610">
      <c r="A610" s="5">
        <f>IFERROR(__xludf.DUMMYFUNCTION("""COMPUTED_VALUE"""),3729.0)</f>
        <v>3729</v>
      </c>
      <c r="B610" s="9">
        <f>IFERROR(__xludf.DUMMYFUNCTION("""COMPUTED_VALUE"""),45351.52454861111)</f>
        <v>45351.52455</v>
      </c>
      <c r="C610" s="5" t="str">
        <f>IFERROR(__xludf.DUMMYFUNCTION("""COMPUTED_VALUE"""),"purchase")</f>
        <v>purchase</v>
      </c>
      <c r="D610" s="10">
        <f t="shared" si="1"/>
        <v>45351</v>
      </c>
      <c r="E610" s="10">
        <f t="shared" si="2"/>
        <v>45348</v>
      </c>
      <c r="F610" s="10">
        <f t="shared" si="3"/>
        <v>45323</v>
      </c>
      <c r="G610" s="11"/>
    </row>
    <row r="611">
      <c r="A611" s="5">
        <f>IFERROR(__xludf.DUMMYFUNCTION("""COMPUTED_VALUE"""),4861.0)</f>
        <v>4861</v>
      </c>
      <c r="B611" s="9">
        <f>IFERROR(__xludf.DUMMYFUNCTION("""COMPUTED_VALUE"""),45351.57854166667)</f>
        <v>45351.57854</v>
      </c>
      <c r="C611" s="5" t="str">
        <f>IFERROR(__xludf.DUMMYFUNCTION("""COMPUTED_VALUE"""),"purchase")</f>
        <v>purchase</v>
      </c>
      <c r="D611" s="10">
        <f t="shared" si="1"/>
        <v>45351</v>
      </c>
      <c r="E611" s="10">
        <f t="shared" si="2"/>
        <v>45348</v>
      </c>
      <c r="F611" s="10">
        <f t="shared" si="3"/>
        <v>45323</v>
      </c>
      <c r="G611" s="11"/>
    </row>
    <row r="612">
      <c r="A612" s="5">
        <f>IFERROR(__xludf.DUMMYFUNCTION("""COMPUTED_VALUE"""),1316.0)</f>
        <v>1316</v>
      </c>
      <c r="B612" s="9">
        <f>IFERROR(__xludf.DUMMYFUNCTION("""COMPUTED_VALUE"""),45351.655625)</f>
        <v>45351.65563</v>
      </c>
      <c r="C612" s="5" t="str">
        <f>IFERROR(__xludf.DUMMYFUNCTION("""COMPUTED_VALUE"""),"purchase")</f>
        <v>purchase</v>
      </c>
      <c r="D612" s="10">
        <f t="shared" si="1"/>
        <v>45351</v>
      </c>
      <c r="E612" s="10">
        <f t="shared" si="2"/>
        <v>45348</v>
      </c>
      <c r="F612" s="10">
        <f t="shared" si="3"/>
        <v>45323</v>
      </c>
      <c r="G612" s="11"/>
    </row>
    <row r="613">
      <c r="A613" s="5">
        <f>IFERROR(__xludf.DUMMYFUNCTION("""COMPUTED_VALUE"""),2182.0)</f>
        <v>2182</v>
      </c>
      <c r="B613" s="9">
        <f>IFERROR(__xludf.DUMMYFUNCTION("""COMPUTED_VALUE"""),45351.77880787037)</f>
        <v>45351.77881</v>
      </c>
      <c r="C613" s="5" t="str">
        <f>IFERROR(__xludf.DUMMYFUNCTION("""COMPUTED_VALUE"""),"purchase")</f>
        <v>purchase</v>
      </c>
      <c r="D613" s="10">
        <f t="shared" si="1"/>
        <v>45351</v>
      </c>
      <c r="E613" s="10">
        <f t="shared" si="2"/>
        <v>45348</v>
      </c>
      <c r="F613" s="10">
        <f t="shared" si="3"/>
        <v>45323</v>
      </c>
      <c r="G613" s="11"/>
    </row>
    <row r="614">
      <c r="A614" s="5">
        <f>IFERROR(__xludf.DUMMYFUNCTION("""COMPUTED_VALUE"""),1418.0)</f>
        <v>1418</v>
      </c>
      <c r="B614" s="9">
        <f>IFERROR(__xludf.DUMMYFUNCTION("""COMPUTED_VALUE"""),45351.84310185185)</f>
        <v>45351.8431</v>
      </c>
      <c r="C614" s="5" t="str">
        <f>IFERROR(__xludf.DUMMYFUNCTION("""COMPUTED_VALUE"""),"purchase")</f>
        <v>purchase</v>
      </c>
      <c r="D614" s="10">
        <f t="shared" si="1"/>
        <v>45351</v>
      </c>
      <c r="E614" s="10">
        <f t="shared" si="2"/>
        <v>45348</v>
      </c>
      <c r="F614" s="10">
        <f t="shared" si="3"/>
        <v>45323</v>
      </c>
      <c r="G614" s="11"/>
    </row>
    <row r="615">
      <c r="A615" s="5">
        <f>IFERROR(__xludf.DUMMYFUNCTION("""COMPUTED_VALUE"""),7101.0)</f>
        <v>7101</v>
      </c>
      <c r="B615" s="9">
        <f>IFERROR(__xludf.DUMMYFUNCTION("""COMPUTED_VALUE"""),45351.91248842593)</f>
        <v>45351.91249</v>
      </c>
      <c r="C615" s="5" t="str">
        <f>IFERROR(__xludf.DUMMYFUNCTION("""COMPUTED_VALUE"""),"purchase")</f>
        <v>purchase</v>
      </c>
      <c r="D615" s="10">
        <f t="shared" si="1"/>
        <v>45351</v>
      </c>
      <c r="E615" s="10">
        <f t="shared" si="2"/>
        <v>45348</v>
      </c>
      <c r="F615" s="10">
        <f t="shared" si="3"/>
        <v>45323</v>
      </c>
      <c r="G615" s="11"/>
    </row>
    <row r="616">
      <c r="A616" s="5">
        <f>IFERROR(__xludf.DUMMYFUNCTION("""COMPUTED_VALUE"""),3461.0)</f>
        <v>3461</v>
      </c>
      <c r="B616" s="9">
        <f>IFERROR(__xludf.DUMMYFUNCTION("""COMPUTED_VALUE"""),45352.04206018519)</f>
        <v>45352.04206</v>
      </c>
      <c r="C616" s="5" t="str">
        <f>IFERROR(__xludf.DUMMYFUNCTION("""COMPUTED_VALUE"""),"purchase")</f>
        <v>purchase</v>
      </c>
      <c r="D616" s="10">
        <f t="shared" si="1"/>
        <v>45352</v>
      </c>
      <c r="E616" s="10">
        <f t="shared" si="2"/>
        <v>45348</v>
      </c>
      <c r="F616" s="10">
        <f t="shared" si="3"/>
        <v>45352</v>
      </c>
      <c r="G616" s="11"/>
    </row>
    <row r="617">
      <c r="A617" s="5">
        <f>IFERROR(__xludf.DUMMYFUNCTION("""COMPUTED_VALUE"""),623.0)</f>
        <v>623</v>
      </c>
      <c r="B617" s="9">
        <f>IFERROR(__xludf.DUMMYFUNCTION("""COMPUTED_VALUE"""),45352.159270833334)</f>
        <v>45352.15927</v>
      </c>
      <c r="C617" s="5" t="str">
        <f>IFERROR(__xludf.DUMMYFUNCTION("""COMPUTED_VALUE"""),"purchase")</f>
        <v>purchase</v>
      </c>
      <c r="D617" s="10">
        <f t="shared" si="1"/>
        <v>45352</v>
      </c>
      <c r="E617" s="10">
        <f t="shared" si="2"/>
        <v>45348</v>
      </c>
      <c r="F617" s="10">
        <f t="shared" si="3"/>
        <v>45352</v>
      </c>
      <c r="G617" s="11"/>
    </row>
    <row r="618">
      <c r="A618" s="5">
        <f>IFERROR(__xludf.DUMMYFUNCTION("""COMPUTED_VALUE"""),5325.0)</f>
        <v>5325</v>
      </c>
      <c r="B618" s="9">
        <f>IFERROR(__xludf.DUMMYFUNCTION("""COMPUTED_VALUE"""),45352.16809027778)</f>
        <v>45352.16809</v>
      </c>
      <c r="C618" s="5" t="str">
        <f>IFERROR(__xludf.DUMMYFUNCTION("""COMPUTED_VALUE"""),"purchase")</f>
        <v>purchase</v>
      </c>
      <c r="D618" s="10">
        <f t="shared" si="1"/>
        <v>45352</v>
      </c>
      <c r="E618" s="10">
        <f t="shared" si="2"/>
        <v>45348</v>
      </c>
      <c r="F618" s="10">
        <f t="shared" si="3"/>
        <v>45352</v>
      </c>
      <c r="G618" s="11"/>
    </row>
    <row r="619">
      <c r="A619" s="5">
        <f>IFERROR(__xludf.DUMMYFUNCTION("""COMPUTED_VALUE"""),5455.0)</f>
        <v>5455</v>
      </c>
      <c r="B619" s="9">
        <f>IFERROR(__xludf.DUMMYFUNCTION("""COMPUTED_VALUE"""),45352.168761574074)</f>
        <v>45352.16876</v>
      </c>
      <c r="C619" s="5" t="str">
        <f>IFERROR(__xludf.DUMMYFUNCTION("""COMPUTED_VALUE"""),"purchase")</f>
        <v>purchase</v>
      </c>
      <c r="D619" s="10">
        <f t="shared" si="1"/>
        <v>45352</v>
      </c>
      <c r="E619" s="10">
        <f t="shared" si="2"/>
        <v>45348</v>
      </c>
      <c r="F619" s="10">
        <f t="shared" si="3"/>
        <v>45352</v>
      </c>
      <c r="G619" s="11"/>
    </row>
    <row r="620">
      <c r="A620" s="5">
        <f>IFERROR(__xludf.DUMMYFUNCTION("""COMPUTED_VALUE"""),5753.0)</f>
        <v>5753</v>
      </c>
      <c r="B620" s="9">
        <f>IFERROR(__xludf.DUMMYFUNCTION("""COMPUTED_VALUE"""),45352.29888888889)</f>
        <v>45352.29889</v>
      </c>
      <c r="C620" s="5" t="str">
        <f>IFERROR(__xludf.DUMMYFUNCTION("""COMPUTED_VALUE"""),"purchase")</f>
        <v>purchase</v>
      </c>
      <c r="D620" s="10">
        <f t="shared" si="1"/>
        <v>45352</v>
      </c>
      <c r="E620" s="10">
        <f t="shared" si="2"/>
        <v>45348</v>
      </c>
      <c r="F620" s="10">
        <f t="shared" si="3"/>
        <v>45352</v>
      </c>
      <c r="G620" s="11"/>
    </row>
    <row r="621">
      <c r="A621" s="5">
        <f>IFERROR(__xludf.DUMMYFUNCTION("""COMPUTED_VALUE"""),111.0)</f>
        <v>111</v>
      </c>
      <c r="B621" s="9">
        <f>IFERROR(__xludf.DUMMYFUNCTION("""COMPUTED_VALUE"""),45352.3181712963)</f>
        <v>45352.31817</v>
      </c>
      <c r="C621" s="5" t="str">
        <f>IFERROR(__xludf.DUMMYFUNCTION("""COMPUTED_VALUE"""),"purchase")</f>
        <v>purchase</v>
      </c>
      <c r="D621" s="10">
        <f t="shared" si="1"/>
        <v>45352</v>
      </c>
      <c r="E621" s="10">
        <f t="shared" si="2"/>
        <v>45348</v>
      </c>
      <c r="F621" s="10">
        <f t="shared" si="3"/>
        <v>45352</v>
      </c>
      <c r="G621" s="11"/>
    </row>
    <row r="622">
      <c r="A622" s="5">
        <f>IFERROR(__xludf.DUMMYFUNCTION("""COMPUTED_VALUE"""),1923.0)</f>
        <v>1923</v>
      </c>
      <c r="B622" s="9">
        <f>IFERROR(__xludf.DUMMYFUNCTION("""COMPUTED_VALUE"""),45352.33694444445)</f>
        <v>45352.33694</v>
      </c>
      <c r="C622" s="5" t="str">
        <f>IFERROR(__xludf.DUMMYFUNCTION("""COMPUTED_VALUE"""),"purchase")</f>
        <v>purchase</v>
      </c>
      <c r="D622" s="10">
        <f t="shared" si="1"/>
        <v>45352</v>
      </c>
      <c r="E622" s="10">
        <f t="shared" si="2"/>
        <v>45348</v>
      </c>
      <c r="F622" s="10">
        <f t="shared" si="3"/>
        <v>45352</v>
      </c>
      <c r="G622" s="11"/>
    </row>
    <row r="623">
      <c r="A623" s="5">
        <f>IFERROR(__xludf.DUMMYFUNCTION("""COMPUTED_VALUE"""),3858.0)</f>
        <v>3858</v>
      </c>
      <c r="B623" s="9">
        <f>IFERROR(__xludf.DUMMYFUNCTION("""COMPUTED_VALUE"""),45352.41643518519)</f>
        <v>45352.41644</v>
      </c>
      <c r="C623" s="5" t="str">
        <f>IFERROR(__xludf.DUMMYFUNCTION("""COMPUTED_VALUE"""),"purchase")</f>
        <v>purchase</v>
      </c>
      <c r="D623" s="10">
        <f t="shared" si="1"/>
        <v>45352</v>
      </c>
      <c r="E623" s="10">
        <f t="shared" si="2"/>
        <v>45348</v>
      </c>
      <c r="F623" s="10">
        <f t="shared" si="3"/>
        <v>45352</v>
      </c>
      <c r="G623" s="11"/>
    </row>
    <row r="624">
      <c r="A624" s="5">
        <f>IFERROR(__xludf.DUMMYFUNCTION("""COMPUTED_VALUE"""),5493.0)</f>
        <v>5493</v>
      </c>
      <c r="B624" s="9">
        <f>IFERROR(__xludf.DUMMYFUNCTION("""COMPUTED_VALUE"""),45352.54225694444)</f>
        <v>45352.54226</v>
      </c>
      <c r="C624" s="5" t="str">
        <f>IFERROR(__xludf.DUMMYFUNCTION("""COMPUTED_VALUE"""),"purchase")</f>
        <v>purchase</v>
      </c>
      <c r="D624" s="10">
        <f t="shared" si="1"/>
        <v>45352</v>
      </c>
      <c r="E624" s="10">
        <f t="shared" si="2"/>
        <v>45348</v>
      </c>
      <c r="F624" s="10">
        <f t="shared" si="3"/>
        <v>45352</v>
      </c>
      <c r="G624" s="11"/>
    </row>
    <row r="625">
      <c r="A625" s="5">
        <f>IFERROR(__xludf.DUMMYFUNCTION("""COMPUTED_VALUE"""),398.0)</f>
        <v>398</v>
      </c>
      <c r="B625" s="9">
        <f>IFERROR(__xludf.DUMMYFUNCTION("""COMPUTED_VALUE"""),45352.57450231481)</f>
        <v>45352.5745</v>
      </c>
      <c r="C625" s="5" t="str">
        <f>IFERROR(__xludf.DUMMYFUNCTION("""COMPUTED_VALUE"""),"purchase")</f>
        <v>purchase</v>
      </c>
      <c r="D625" s="10">
        <f t="shared" si="1"/>
        <v>45352</v>
      </c>
      <c r="E625" s="10">
        <f t="shared" si="2"/>
        <v>45348</v>
      </c>
      <c r="F625" s="10">
        <f t="shared" si="3"/>
        <v>45352</v>
      </c>
      <c r="G625" s="11"/>
    </row>
    <row r="626">
      <c r="A626" s="5">
        <f>IFERROR(__xludf.DUMMYFUNCTION("""COMPUTED_VALUE"""),1447.0)</f>
        <v>1447</v>
      </c>
      <c r="B626" s="9">
        <f>IFERROR(__xludf.DUMMYFUNCTION("""COMPUTED_VALUE"""),45352.62013888889)</f>
        <v>45352.62014</v>
      </c>
      <c r="C626" s="5" t="str">
        <f>IFERROR(__xludf.DUMMYFUNCTION("""COMPUTED_VALUE"""),"purchase")</f>
        <v>purchase</v>
      </c>
      <c r="D626" s="10">
        <f t="shared" si="1"/>
        <v>45352</v>
      </c>
      <c r="E626" s="10">
        <f t="shared" si="2"/>
        <v>45348</v>
      </c>
      <c r="F626" s="10">
        <f t="shared" si="3"/>
        <v>45352</v>
      </c>
      <c r="G626" s="11"/>
    </row>
    <row r="627">
      <c r="A627" s="5">
        <f>IFERROR(__xludf.DUMMYFUNCTION("""COMPUTED_VALUE"""),2376.0)</f>
        <v>2376</v>
      </c>
      <c r="B627" s="9">
        <f>IFERROR(__xludf.DUMMYFUNCTION("""COMPUTED_VALUE"""),45352.73200231481)</f>
        <v>45352.732</v>
      </c>
      <c r="C627" s="5" t="str">
        <f>IFERROR(__xludf.DUMMYFUNCTION("""COMPUTED_VALUE"""),"purchase")</f>
        <v>purchase</v>
      </c>
      <c r="D627" s="10">
        <f t="shared" si="1"/>
        <v>45352</v>
      </c>
      <c r="E627" s="10">
        <f t="shared" si="2"/>
        <v>45348</v>
      </c>
      <c r="F627" s="10">
        <f t="shared" si="3"/>
        <v>45352</v>
      </c>
      <c r="G627" s="11"/>
    </row>
    <row r="628">
      <c r="A628" s="5">
        <f>IFERROR(__xludf.DUMMYFUNCTION("""COMPUTED_VALUE"""),1484.0)</f>
        <v>1484</v>
      </c>
      <c r="B628" s="9">
        <f>IFERROR(__xludf.DUMMYFUNCTION("""COMPUTED_VALUE"""),45352.74074074074)</f>
        <v>45352.74074</v>
      </c>
      <c r="C628" s="5" t="str">
        <f>IFERROR(__xludf.DUMMYFUNCTION("""COMPUTED_VALUE"""),"purchase")</f>
        <v>purchase</v>
      </c>
      <c r="D628" s="10">
        <f t="shared" si="1"/>
        <v>45352</v>
      </c>
      <c r="E628" s="10">
        <f t="shared" si="2"/>
        <v>45348</v>
      </c>
      <c r="F628" s="10">
        <f t="shared" si="3"/>
        <v>45352</v>
      </c>
      <c r="G628" s="11"/>
    </row>
    <row r="629">
      <c r="A629" s="5">
        <f>IFERROR(__xludf.DUMMYFUNCTION("""COMPUTED_VALUE"""),7331.0)</f>
        <v>7331</v>
      </c>
      <c r="B629" s="9">
        <f>IFERROR(__xludf.DUMMYFUNCTION("""COMPUTED_VALUE"""),45352.9080787037)</f>
        <v>45352.90808</v>
      </c>
      <c r="C629" s="5" t="str">
        <f>IFERROR(__xludf.DUMMYFUNCTION("""COMPUTED_VALUE"""),"purchase")</f>
        <v>purchase</v>
      </c>
      <c r="D629" s="10">
        <f t="shared" si="1"/>
        <v>45352</v>
      </c>
      <c r="E629" s="10">
        <f t="shared" si="2"/>
        <v>45348</v>
      </c>
      <c r="F629" s="10">
        <f t="shared" si="3"/>
        <v>45352</v>
      </c>
      <c r="G629" s="11"/>
    </row>
    <row r="630">
      <c r="A630" s="5">
        <f>IFERROR(__xludf.DUMMYFUNCTION("""COMPUTED_VALUE"""),4326.0)</f>
        <v>4326</v>
      </c>
      <c r="B630" s="9">
        <f>IFERROR(__xludf.DUMMYFUNCTION("""COMPUTED_VALUE"""),45353.07876157408)</f>
        <v>45353.07876</v>
      </c>
      <c r="C630" s="5" t="str">
        <f>IFERROR(__xludf.DUMMYFUNCTION("""COMPUTED_VALUE"""),"purchase")</f>
        <v>purchase</v>
      </c>
      <c r="D630" s="10">
        <f t="shared" si="1"/>
        <v>45353</v>
      </c>
      <c r="E630" s="10">
        <f t="shared" si="2"/>
        <v>45348</v>
      </c>
      <c r="F630" s="10">
        <f t="shared" si="3"/>
        <v>45352</v>
      </c>
      <c r="G630" s="11"/>
    </row>
    <row r="631">
      <c r="A631" s="5">
        <f>IFERROR(__xludf.DUMMYFUNCTION("""COMPUTED_VALUE"""),6089.0)</f>
        <v>6089</v>
      </c>
      <c r="B631" s="9">
        <f>IFERROR(__xludf.DUMMYFUNCTION("""COMPUTED_VALUE"""),45353.09130787037)</f>
        <v>45353.09131</v>
      </c>
      <c r="C631" s="5" t="str">
        <f>IFERROR(__xludf.DUMMYFUNCTION("""COMPUTED_VALUE"""),"purchase")</f>
        <v>purchase</v>
      </c>
      <c r="D631" s="10">
        <f t="shared" si="1"/>
        <v>45353</v>
      </c>
      <c r="E631" s="10">
        <f t="shared" si="2"/>
        <v>45348</v>
      </c>
      <c r="F631" s="10">
        <f t="shared" si="3"/>
        <v>45352</v>
      </c>
      <c r="G631" s="11"/>
    </row>
    <row r="632">
      <c r="A632" s="5">
        <f>IFERROR(__xludf.DUMMYFUNCTION("""COMPUTED_VALUE"""),7452.0)</f>
        <v>7452</v>
      </c>
      <c r="B632" s="9">
        <f>IFERROR(__xludf.DUMMYFUNCTION("""COMPUTED_VALUE"""),45353.1903125)</f>
        <v>45353.19031</v>
      </c>
      <c r="C632" s="5" t="str">
        <f>IFERROR(__xludf.DUMMYFUNCTION("""COMPUTED_VALUE"""),"purchase")</f>
        <v>purchase</v>
      </c>
      <c r="D632" s="10">
        <f t="shared" si="1"/>
        <v>45353</v>
      </c>
      <c r="E632" s="10">
        <f t="shared" si="2"/>
        <v>45348</v>
      </c>
      <c r="F632" s="10">
        <f t="shared" si="3"/>
        <v>45352</v>
      </c>
      <c r="G632" s="11"/>
    </row>
    <row r="633">
      <c r="A633" s="5">
        <f>IFERROR(__xludf.DUMMYFUNCTION("""COMPUTED_VALUE"""),587.0)</f>
        <v>587</v>
      </c>
      <c r="B633" s="9">
        <f>IFERROR(__xludf.DUMMYFUNCTION("""COMPUTED_VALUE"""),45353.19274305556)</f>
        <v>45353.19274</v>
      </c>
      <c r="C633" s="5" t="str">
        <f>IFERROR(__xludf.DUMMYFUNCTION("""COMPUTED_VALUE"""),"purchase")</f>
        <v>purchase</v>
      </c>
      <c r="D633" s="10">
        <f t="shared" si="1"/>
        <v>45353</v>
      </c>
      <c r="E633" s="10">
        <f t="shared" si="2"/>
        <v>45348</v>
      </c>
      <c r="F633" s="10">
        <f t="shared" si="3"/>
        <v>45352</v>
      </c>
      <c r="G633" s="11"/>
    </row>
    <row r="634">
      <c r="A634" s="5">
        <f>IFERROR(__xludf.DUMMYFUNCTION("""COMPUTED_VALUE"""),3144.0)</f>
        <v>3144</v>
      </c>
      <c r="B634" s="9">
        <f>IFERROR(__xludf.DUMMYFUNCTION("""COMPUTED_VALUE"""),45353.64129629629)</f>
        <v>45353.6413</v>
      </c>
      <c r="C634" s="5" t="str">
        <f>IFERROR(__xludf.DUMMYFUNCTION("""COMPUTED_VALUE"""),"purchase")</f>
        <v>purchase</v>
      </c>
      <c r="D634" s="10">
        <f t="shared" si="1"/>
        <v>45353</v>
      </c>
      <c r="E634" s="10">
        <f t="shared" si="2"/>
        <v>45348</v>
      </c>
      <c r="F634" s="10">
        <f t="shared" si="3"/>
        <v>45352</v>
      </c>
      <c r="G634" s="11"/>
    </row>
    <row r="635">
      <c r="A635" s="5">
        <f>IFERROR(__xludf.DUMMYFUNCTION("""COMPUTED_VALUE"""),3247.0)</f>
        <v>3247</v>
      </c>
      <c r="B635" s="9">
        <f>IFERROR(__xludf.DUMMYFUNCTION("""COMPUTED_VALUE"""),45353.68431712963)</f>
        <v>45353.68432</v>
      </c>
      <c r="C635" s="5" t="str">
        <f>IFERROR(__xludf.DUMMYFUNCTION("""COMPUTED_VALUE"""),"purchase")</f>
        <v>purchase</v>
      </c>
      <c r="D635" s="10">
        <f t="shared" si="1"/>
        <v>45353</v>
      </c>
      <c r="E635" s="10">
        <f t="shared" si="2"/>
        <v>45348</v>
      </c>
      <c r="F635" s="10">
        <f t="shared" si="3"/>
        <v>45352</v>
      </c>
      <c r="G635" s="11"/>
    </row>
    <row r="636">
      <c r="A636" s="5">
        <f>IFERROR(__xludf.DUMMYFUNCTION("""COMPUTED_VALUE"""),3525.0)</f>
        <v>3525</v>
      </c>
      <c r="B636" s="9">
        <f>IFERROR(__xludf.DUMMYFUNCTION("""COMPUTED_VALUE"""),45353.89196759259)</f>
        <v>45353.89197</v>
      </c>
      <c r="C636" s="5" t="str">
        <f>IFERROR(__xludf.DUMMYFUNCTION("""COMPUTED_VALUE"""),"purchase")</f>
        <v>purchase</v>
      </c>
      <c r="D636" s="10">
        <f t="shared" si="1"/>
        <v>45353</v>
      </c>
      <c r="E636" s="10">
        <f t="shared" si="2"/>
        <v>45348</v>
      </c>
      <c r="F636" s="10">
        <f t="shared" si="3"/>
        <v>45352</v>
      </c>
      <c r="G636" s="11"/>
    </row>
    <row r="637">
      <c r="A637" s="5">
        <f>IFERROR(__xludf.DUMMYFUNCTION("""COMPUTED_VALUE"""),1386.0)</f>
        <v>1386</v>
      </c>
      <c r="B637" s="9">
        <f>IFERROR(__xludf.DUMMYFUNCTION("""COMPUTED_VALUE"""),45353.90283564815)</f>
        <v>45353.90284</v>
      </c>
      <c r="C637" s="5" t="str">
        <f>IFERROR(__xludf.DUMMYFUNCTION("""COMPUTED_VALUE"""),"purchase")</f>
        <v>purchase</v>
      </c>
      <c r="D637" s="10">
        <f t="shared" si="1"/>
        <v>45353</v>
      </c>
      <c r="E637" s="10">
        <f t="shared" si="2"/>
        <v>45348</v>
      </c>
      <c r="F637" s="10">
        <f t="shared" si="3"/>
        <v>45352</v>
      </c>
      <c r="G637" s="11"/>
    </row>
    <row r="638">
      <c r="A638" s="5">
        <f>IFERROR(__xludf.DUMMYFUNCTION("""COMPUTED_VALUE"""),4086.0)</f>
        <v>4086</v>
      </c>
      <c r="B638" s="9">
        <f>IFERROR(__xludf.DUMMYFUNCTION("""COMPUTED_VALUE"""),45354.04070601852)</f>
        <v>45354.04071</v>
      </c>
      <c r="C638" s="5" t="str">
        <f>IFERROR(__xludf.DUMMYFUNCTION("""COMPUTED_VALUE"""),"purchase")</f>
        <v>purchase</v>
      </c>
      <c r="D638" s="10">
        <f t="shared" si="1"/>
        <v>45354</v>
      </c>
      <c r="E638" s="10">
        <f t="shared" si="2"/>
        <v>45348</v>
      </c>
      <c r="F638" s="10">
        <f t="shared" si="3"/>
        <v>45352</v>
      </c>
      <c r="G638" s="11"/>
    </row>
    <row r="639">
      <c r="A639" s="5">
        <f>IFERROR(__xludf.DUMMYFUNCTION("""COMPUTED_VALUE"""),971.0)</f>
        <v>971</v>
      </c>
      <c r="B639" s="9">
        <f>IFERROR(__xludf.DUMMYFUNCTION("""COMPUTED_VALUE"""),45354.04314814815)</f>
        <v>45354.04315</v>
      </c>
      <c r="C639" s="5" t="str">
        <f>IFERROR(__xludf.DUMMYFUNCTION("""COMPUTED_VALUE"""),"purchase")</f>
        <v>purchase</v>
      </c>
      <c r="D639" s="10">
        <f t="shared" si="1"/>
        <v>45354</v>
      </c>
      <c r="E639" s="10">
        <f t="shared" si="2"/>
        <v>45348</v>
      </c>
      <c r="F639" s="10">
        <f t="shared" si="3"/>
        <v>45352</v>
      </c>
      <c r="G639" s="11"/>
    </row>
    <row r="640">
      <c r="A640" s="5">
        <f>IFERROR(__xludf.DUMMYFUNCTION("""COMPUTED_VALUE"""),2305.0)</f>
        <v>2305</v>
      </c>
      <c r="B640" s="9">
        <f>IFERROR(__xludf.DUMMYFUNCTION("""COMPUTED_VALUE"""),45354.149513888886)</f>
        <v>45354.14951</v>
      </c>
      <c r="C640" s="5" t="str">
        <f>IFERROR(__xludf.DUMMYFUNCTION("""COMPUTED_VALUE"""),"purchase")</f>
        <v>purchase</v>
      </c>
      <c r="D640" s="10">
        <f t="shared" si="1"/>
        <v>45354</v>
      </c>
      <c r="E640" s="10">
        <f t="shared" si="2"/>
        <v>45348</v>
      </c>
      <c r="F640" s="10">
        <f t="shared" si="3"/>
        <v>45352</v>
      </c>
      <c r="G640" s="11"/>
    </row>
    <row r="641">
      <c r="A641" s="5">
        <f>IFERROR(__xludf.DUMMYFUNCTION("""COMPUTED_VALUE"""),7129.0)</f>
        <v>7129</v>
      </c>
      <c r="B641" s="9">
        <f>IFERROR(__xludf.DUMMYFUNCTION("""COMPUTED_VALUE"""),45354.15252314815)</f>
        <v>45354.15252</v>
      </c>
      <c r="C641" s="5" t="str">
        <f>IFERROR(__xludf.DUMMYFUNCTION("""COMPUTED_VALUE"""),"purchase")</f>
        <v>purchase</v>
      </c>
      <c r="D641" s="10">
        <f t="shared" si="1"/>
        <v>45354</v>
      </c>
      <c r="E641" s="10">
        <f t="shared" si="2"/>
        <v>45348</v>
      </c>
      <c r="F641" s="10">
        <f t="shared" si="3"/>
        <v>45352</v>
      </c>
      <c r="G641" s="11"/>
    </row>
    <row r="642">
      <c r="A642" s="5">
        <f>IFERROR(__xludf.DUMMYFUNCTION("""COMPUTED_VALUE"""),1340.0)</f>
        <v>1340</v>
      </c>
      <c r="B642" s="9">
        <f>IFERROR(__xludf.DUMMYFUNCTION("""COMPUTED_VALUE"""),45354.48369212963)</f>
        <v>45354.48369</v>
      </c>
      <c r="C642" s="5" t="str">
        <f>IFERROR(__xludf.DUMMYFUNCTION("""COMPUTED_VALUE"""),"purchase")</f>
        <v>purchase</v>
      </c>
      <c r="D642" s="10">
        <f t="shared" si="1"/>
        <v>45354</v>
      </c>
      <c r="E642" s="10">
        <f t="shared" si="2"/>
        <v>45348</v>
      </c>
      <c r="F642" s="10">
        <f t="shared" si="3"/>
        <v>45352</v>
      </c>
      <c r="G642" s="11"/>
    </row>
    <row r="643">
      <c r="A643" s="5">
        <f>IFERROR(__xludf.DUMMYFUNCTION("""COMPUTED_VALUE"""),6700.0)</f>
        <v>6700</v>
      </c>
      <c r="B643" s="9">
        <f>IFERROR(__xludf.DUMMYFUNCTION("""COMPUTED_VALUE"""),45354.59946759259)</f>
        <v>45354.59947</v>
      </c>
      <c r="C643" s="5" t="str">
        <f>IFERROR(__xludf.DUMMYFUNCTION("""COMPUTED_VALUE"""),"purchase")</f>
        <v>purchase</v>
      </c>
      <c r="D643" s="10">
        <f t="shared" si="1"/>
        <v>45354</v>
      </c>
      <c r="E643" s="10">
        <f t="shared" si="2"/>
        <v>45348</v>
      </c>
      <c r="F643" s="10">
        <f t="shared" si="3"/>
        <v>45352</v>
      </c>
      <c r="G643" s="11"/>
    </row>
    <row r="644">
      <c r="A644" s="5">
        <f>IFERROR(__xludf.DUMMYFUNCTION("""COMPUTED_VALUE"""),1804.0)</f>
        <v>1804</v>
      </c>
      <c r="B644" s="9">
        <f>IFERROR(__xludf.DUMMYFUNCTION("""COMPUTED_VALUE"""),45354.74240740741)</f>
        <v>45354.74241</v>
      </c>
      <c r="C644" s="5" t="str">
        <f>IFERROR(__xludf.DUMMYFUNCTION("""COMPUTED_VALUE"""),"purchase")</f>
        <v>purchase</v>
      </c>
      <c r="D644" s="10">
        <f t="shared" si="1"/>
        <v>45354</v>
      </c>
      <c r="E644" s="10">
        <f t="shared" si="2"/>
        <v>45348</v>
      </c>
      <c r="F644" s="10">
        <f t="shared" si="3"/>
        <v>45352</v>
      </c>
      <c r="G644" s="11"/>
    </row>
    <row r="645">
      <c r="A645" s="5">
        <f>IFERROR(__xludf.DUMMYFUNCTION("""COMPUTED_VALUE"""),7545.0)</f>
        <v>7545</v>
      </c>
      <c r="B645" s="9">
        <f>IFERROR(__xludf.DUMMYFUNCTION("""COMPUTED_VALUE"""),45354.75655092593)</f>
        <v>45354.75655</v>
      </c>
      <c r="C645" s="5" t="str">
        <f>IFERROR(__xludf.DUMMYFUNCTION("""COMPUTED_VALUE"""),"purchase")</f>
        <v>purchase</v>
      </c>
      <c r="D645" s="10">
        <f t="shared" si="1"/>
        <v>45354</v>
      </c>
      <c r="E645" s="10">
        <f t="shared" si="2"/>
        <v>45348</v>
      </c>
      <c r="F645" s="10">
        <f t="shared" si="3"/>
        <v>45352</v>
      </c>
      <c r="G645" s="11"/>
    </row>
    <row r="646">
      <c r="A646" s="5">
        <f>IFERROR(__xludf.DUMMYFUNCTION("""COMPUTED_VALUE"""),6062.0)</f>
        <v>6062</v>
      </c>
      <c r="B646" s="9">
        <f>IFERROR(__xludf.DUMMYFUNCTION("""COMPUTED_VALUE"""),45354.95548611111)</f>
        <v>45354.95549</v>
      </c>
      <c r="C646" s="5" t="str">
        <f>IFERROR(__xludf.DUMMYFUNCTION("""COMPUTED_VALUE"""),"purchase")</f>
        <v>purchase</v>
      </c>
      <c r="D646" s="10">
        <f t="shared" si="1"/>
        <v>45354</v>
      </c>
      <c r="E646" s="10">
        <f t="shared" si="2"/>
        <v>45348</v>
      </c>
      <c r="F646" s="10">
        <f t="shared" si="3"/>
        <v>45352</v>
      </c>
      <c r="G646" s="11"/>
    </row>
    <row r="647">
      <c r="A647" s="5">
        <f>IFERROR(__xludf.DUMMYFUNCTION("""COMPUTED_VALUE"""),1851.0)</f>
        <v>1851</v>
      </c>
      <c r="B647" s="9">
        <f>IFERROR(__xludf.DUMMYFUNCTION("""COMPUTED_VALUE"""),45355.23449074074)</f>
        <v>45355.23449</v>
      </c>
      <c r="C647" s="5" t="str">
        <f>IFERROR(__xludf.DUMMYFUNCTION("""COMPUTED_VALUE"""),"purchase")</f>
        <v>purchase</v>
      </c>
      <c r="D647" s="10">
        <f t="shared" si="1"/>
        <v>45355</v>
      </c>
      <c r="E647" s="10">
        <f t="shared" si="2"/>
        <v>45355</v>
      </c>
      <c r="F647" s="10">
        <f t="shared" si="3"/>
        <v>45352</v>
      </c>
      <c r="G647" s="11"/>
    </row>
    <row r="648">
      <c r="A648" s="5">
        <f>IFERROR(__xludf.DUMMYFUNCTION("""COMPUTED_VALUE"""),6508.0)</f>
        <v>6508</v>
      </c>
      <c r="B648" s="9">
        <f>IFERROR(__xludf.DUMMYFUNCTION("""COMPUTED_VALUE"""),45355.35927083333)</f>
        <v>45355.35927</v>
      </c>
      <c r="C648" s="5" t="str">
        <f>IFERROR(__xludf.DUMMYFUNCTION("""COMPUTED_VALUE"""),"purchase")</f>
        <v>purchase</v>
      </c>
      <c r="D648" s="10">
        <f t="shared" si="1"/>
        <v>45355</v>
      </c>
      <c r="E648" s="10">
        <f t="shared" si="2"/>
        <v>45355</v>
      </c>
      <c r="F648" s="10">
        <f t="shared" si="3"/>
        <v>45352</v>
      </c>
      <c r="G648" s="11"/>
    </row>
    <row r="649">
      <c r="A649" s="5">
        <f>IFERROR(__xludf.DUMMYFUNCTION("""COMPUTED_VALUE"""),1671.0)</f>
        <v>1671</v>
      </c>
      <c r="B649" s="9">
        <f>IFERROR(__xludf.DUMMYFUNCTION("""COMPUTED_VALUE"""),45355.55763888889)</f>
        <v>45355.55764</v>
      </c>
      <c r="C649" s="5" t="str">
        <f>IFERROR(__xludf.DUMMYFUNCTION("""COMPUTED_VALUE"""),"purchase")</f>
        <v>purchase</v>
      </c>
      <c r="D649" s="10">
        <f t="shared" si="1"/>
        <v>45355</v>
      </c>
      <c r="E649" s="10">
        <f t="shared" si="2"/>
        <v>45355</v>
      </c>
      <c r="F649" s="10">
        <f t="shared" si="3"/>
        <v>45352</v>
      </c>
      <c r="G649" s="11"/>
    </row>
    <row r="650">
      <c r="A650" s="5">
        <f>IFERROR(__xludf.DUMMYFUNCTION("""COMPUTED_VALUE"""),4673.0)</f>
        <v>4673</v>
      </c>
      <c r="B650" s="9">
        <f>IFERROR(__xludf.DUMMYFUNCTION("""COMPUTED_VALUE"""),45355.62181712963)</f>
        <v>45355.62182</v>
      </c>
      <c r="C650" s="5" t="str">
        <f>IFERROR(__xludf.DUMMYFUNCTION("""COMPUTED_VALUE"""),"purchase")</f>
        <v>purchase</v>
      </c>
      <c r="D650" s="10">
        <f t="shared" si="1"/>
        <v>45355</v>
      </c>
      <c r="E650" s="10">
        <f t="shared" si="2"/>
        <v>45355</v>
      </c>
      <c r="F650" s="10">
        <f t="shared" si="3"/>
        <v>45352</v>
      </c>
      <c r="G650" s="11"/>
    </row>
    <row r="651">
      <c r="A651" s="5">
        <f>IFERROR(__xludf.DUMMYFUNCTION("""COMPUTED_VALUE"""),6193.0)</f>
        <v>6193</v>
      </c>
      <c r="B651" s="9">
        <f>IFERROR(__xludf.DUMMYFUNCTION("""COMPUTED_VALUE"""),45355.69733796296)</f>
        <v>45355.69734</v>
      </c>
      <c r="C651" s="5" t="str">
        <f>IFERROR(__xludf.DUMMYFUNCTION("""COMPUTED_VALUE"""),"purchase")</f>
        <v>purchase</v>
      </c>
      <c r="D651" s="10">
        <f t="shared" si="1"/>
        <v>45355</v>
      </c>
      <c r="E651" s="10">
        <f t="shared" si="2"/>
        <v>45355</v>
      </c>
      <c r="F651" s="10">
        <f t="shared" si="3"/>
        <v>45352</v>
      </c>
      <c r="G651" s="11"/>
    </row>
    <row r="652">
      <c r="A652" s="5">
        <f>IFERROR(__xludf.DUMMYFUNCTION("""COMPUTED_VALUE"""),479.0)</f>
        <v>479</v>
      </c>
      <c r="B652" s="9">
        <f>IFERROR(__xludf.DUMMYFUNCTION("""COMPUTED_VALUE"""),45355.72675925926)</f>
        <v>45355.72676</v>
      </c>
      <c r="C652" s="5" t="str">
        <f>IFERROR(__xludf.DUMMYFUNCTION("""COMPUTED_VALUE"""),"purchase")</f>
        <v>purchase</v>
      </c>
      <c r="D652" s="10">
        <f t="shared" si="1"/>
        <v>45355</v>
      </c>
      <c r="E652" s="10">
        <f t="shared" si="2"/>
        <v>45355</v>
      </c>
      <c r="F652" s="10">
        <f t="shared" si="3"/>
        <v>45352</v>
      </c>
      <c r="G652" s="11"/>
    </row>
    <row r="653">
      <c r="A653" s="5">
        <f>IFERROR(__xludf.DUMMYFUNCTION("""COMPUTED_VALUE"""),7833.0)</f>
        <v>7833</v>
      </c>
      <c r="B653" s="9">
        <f>IFERROR(__xludf.DUMMYFUNCTION("""COMPUTED_VALUE"""),45355.76850694444)</f>
        <v>45355.76851</v>
      </c>
      <c r="C653" s="5" t="str">
        <f>IFERROR(__xludf.DUMMYFUNCTION("""COMPUTED_VALUE"""),"purchase")</f>
        <v>purchase</v>
      </c>
      <c r="D653" s="10">
        <f t="shared" si="1"/>
        <v>45355</v>
      </c>
      <c r="E653" s="10">
        <f t="shared" si="2"/>
        <v>45355</v>
      </c>
      <c r="F653" s="10">
        <f t="shared" si="3"/>
        <v>45352</v>
      </c>
      <c r="G653" s="11"/>
    </row>
    <row r="654">
      <c r="A654" s="5">
        <f>IFERROR(__xludf.DUMMYFUNCTION("""COMPUTED_VALUE"""),6100.0)</f>
        <v>6100</v>
      </c>
      <c r="B654" s="9">
        <f>IFERROR(__xludf.DUMMYFUNCTION("""COMPUTED_VALUE"""),45355.79138888889)</f>
        <v>45355.79139</v>
      </c>
      <c r="C654" s="5" t="str">
        <f>IFERROR(__xludf.DUMMYFUNCTION("""COMPUTED_VALUE"""),"purchase")</f>
        <v>purchase</v>
      </c>
      <c r="D654" s="10">
        <f t="shared" si="1"/>
        <v>45355</v>
      </c>
      <c r="E654" s="10">
        <f t="shared" si="2"/>
        <v>45355</v>
      </c>
      <c r="F654" s="10">
        <f t="shared" si="3"/>
        <v>45352</v>
      </c>
      <c r="G654" s="11"/>
    </row>
    <row r="655">
      <c r="A655" s="5">
        <f>IFERROR(__xludf.DUMMYFUNCTION("""COMPUTED_VALUE"""),5509.0)</f>
        <v>5509</v>
      </c>
      <c r="B655" s="9">
        <f>IFERROR(__xludf.DUMMYFUNCTION("""COMPUTED_VALUE"""),45355.94261574074)</f>
        <v>45355.94262</v>
      </c>
      <c r="C655" s="5" t="str">
        <f>IFERROR(__xludf.DUMMYFUNCTION("""COMPUTED_VALUE"""),"purchase")</f>
        <v>purchase</v>
      </c>
      <c r="D655" s="10">
        <f t="shared" si="1"/>
        <v>45355</v>
      </c>
      <c r="E655" s="10">
        <f t="shared" si="2"/>
        <v>45355</v>
      </c>
      <c r="F655" s="10">
        <f t="shared" si="3"/>
        <v>45352</v>
      </c>
      <c r="G655" s="11"/>
    </row>
    <row r="656">
      <c r="A656" s="5">
        <f>IFERROR(__xludf.DUMMYFUNCTION("""COMPUTED_VALUE"""),1110.0)</f>
        <v>1110</v>
      </c>
      <c r="B656" s="9">
        <f>IFERROR(__xludf.DUMMYFUNCTION("""COMPUTED_VALUE"""),45356.01298611111)</f>
        <v>45356.01299</v>
      </c>
      <c r="C656" s="5" t="str">
        <f>IFERROR(__xludf.DUMMYFUNCTION("""COMPUTED_VALUE"""),"purchase")</f>
        <v>purchase</v>
      </c>
      <c r="D656" s="10">
        <f t="shared" si="1"/>
        <v>45356</v>
      </c>
      <c r="E656" s="10">
        <f t="shared" si="2"/>
        <v>45355</v>
      </c>
      <c r="F656" s="10">
        <f t="shared" si="3"/>
        <v>45352</v>
      </c>
      <c r="G656" s="11"/>
    </row>
    <row r="657">
      <c r="A657" s="5">
        <f>IFERROR(__xludf.DUMMYFUNCTION("""COMPUTED_VALUE"""),6721.0)</f>
        <v>6721</v>
      </c>
      <c r="B657" s="9">
        <f>IFERROR(__xludf.DUMMYFUNCTION("""COMPUTED_VALUE"""),45356.12142361111)</f>
        <v>45356.12142</v>
      </c>
      <c r="C657" s="5" t="str">
        <f>IFERROR(__xludf.DUMMYFUNCTION("""COMPUTED_VALUE"""),"purchase")</f>
        <v>purchase</v>
      </c>
      <c r="D657" s="10">
        <f t="shared" si="1"/>
        <v>45356</v>
      </c>
      <c r="E657" s="10">
        <f t="shared" si="2"/>
        <v>45355</v>
      </c>
      <c r="F657" s="10">
        <f t="shared" si="3"/>
        <v>45352</v>
      </c>
      <c r="G657" s="11"/>
    </row>
    <row r="658">
      <c r="A658" s="5">
        <f>IFERROR(__xludf.DUMMYFUNCTION("""COMPUTED_VALUE"""),7637.0)</f>
        <v>7637</v>
      </c>
      <c r="B658" s="9">
        <f>IFERROR(__xludf.DUMMYFUNCTION("""COMPUTED_VALUE"""),45356.219988425924)</f>
        <v>45356.21999</v>
      </c>
      <c r="C658" s="5" t="str">
        <f>IFERROR(__xludf.DUMMYFUNCTION("""COMPUTED_VALUE"""),"purchase")</f>
        <v>purchase</v>
      </c>
      <c r="D658" s="10">
        <f t="shared" si="1"/>
        <v>45356</v>
      </c>
      <c r="E658" s="10">
        <f t="shared" si="2"/>
        <v>45355</v>
      </c>
      <c r="F658" s="10">
        <f t="shared" si="3"/>
        <v>45352</v>
      </c>
      <c r="G658" s="11"/>
    </row>
    <row r="659">
      <c r="A659" s="5">
        <f>IFERROR(__xludf.DUMMYFUNCTION("""COMPUTED_VALUE"""),1993.0)</f>
        <v>1993</v>
      </c>
      <c r="B659" s="9">
        <f>IFERROR(__xludf.DUMMYFUNCTION("""COMPUTED_VALUE"""),45356.32225694445)</f>
        <v>45356.32226</v>
      </c>
      <c r="C659" s="5" t="str">
        <f>IFERROR(__xludf.DUMMYFUNCTION("""COMPUTED_VALUE"""),"purchase")</f>
        <v>purchase</v>
      </c>
      <c r="D659" s="10">
        <f t="shared" si="1"/>
        <v>45356</v>
      </c>
      <c r="E659" s="10">
        <f t="shared" si="2"/>
        <v>45355</v>
      </c>
      <c r="F659" s="10">
        <f t="shared" si="3"/>
        <v>45352</v>
      </c>
      <c r="G659" s="11"/>
    </row>
    <row r="660">
      <c r="A660" s="5">
        <f>IFERROR(__xludf.DUMMYFUNCTION("""COMPUTED_VALUE"""),177.0)</f>
        <v>177</v>
      </c>
      <c r="B660" s="9">
        <f>IFERROR(__xludf.DUMMYFUNCTION("""COMPUTED_VALUE"""),45356.39672453704)</f>
        <v>45356.39672</v>
      </c>
      <c r="C660" s="5" t="str">
        <f>IFERROR(__xludf.DUMMYFUNCTION("""COMPUTED_VALUE"""),"purchase")</f>
        <v>purchase</v>
      </c>
      <c r="D660" s="10">
        <f t="shared" si="1"/>
        <v>45356</v>
      </c>
      <c r="E660" s="10">
        <f t="shared" si="2"/>
        <v>45355</v>
      </c>
      <c r="F660" s="10">
        <f t="shared" si="3"/>
        <v>45352</v>
      </c>
      <c r="G660" s="11"/>
    </row>
    <row r="661">
      <c r="A661" s="5">
        <f>IFERROR(__xludf.DUMMYFUNCTION("""COMPUTED_VALUE"""),1224.0)</f>
        <v>1224</v>
      </c>
      <c r="B661" s="9">
        <f>IFERROR(__xludf.DUMMYFUNCTION("""COMPUTED_VALUE"""),45356.64099537037)</f>
        <v>45356.641</v>
      </c>
      <c r="C661" s="5" t="str">
        <f>IFERROR(__xludf.DUMMYFUNCTION("""COMPUTED_VALUE"""),"purchase")</f>
        <v>purchase</v>
      </c>
      <c r="D661" s="10">
        <f t="shared" si="1"/>
        <v>45356</v>
      </c>
      <c r="E661" s="10">
        <f t="shared" si="2"/>
        <v>45355</v>
      </c>
      <c r="F661" s="10">
        <f t="shared" si="3"/>
        <v>45352</v>
      </c>
      <c r="G661" s="11"/>
    </row>
    <row r="662">
      <c r="A662" s="5">
        <f>IFERROR(__xludf.DUMMYFUNCTION("""COMPUTED_VALUE"""),7793.0)</f>
        <v>7793</v>
      </c>
      <c r="B662" s="9">
        <f>IFERROR(__xludf.DUMMYFUNCTION("""COMPUTED_VALUE"""),45356.87159722222)</f>
        <v>45356.8716</v>
      </c>
      <c r="C662" s="5" t="str">
        <f>IFERROR(__xludf.DUMMYFUNCTION("""COMPUTED_VALUE"""),"purchase")</f>
        <v>purchase</v>
      </c>
      <c r="D662" s="10">
        <f t="shared" si="1"/>
        <v>45356</v>
      </c>
      <c r="E662" s="10">
        <f t="shared" si="2"/>
        <v>45355</v>
      </c>
      <c r="F662" s="10">
        <f t="shared" si="3"/>
        <v>45352</v>
      </c>
      <c r="G662" s="11"/>
    </row>
    <row r="663">
      <c r="A663" s="5">
        <f>IFERROR(__xludf.DUMMYFUNCTION("""COMPUTED_VALUE"""),2803.0)</f>
        <v>2803</v>
      </c>
      <c r="B663" s="9">
        <f>IFERROR(__xludf.DUMMYFUNCTION("""COMPUTED_VALUE"""),45357.093090277776)</f>
        <v>45357.09309</v>
      </c>
      <c r="C663" s="5" t="str">
        <f>IFERROR(__xludf.DUMMYFUNCTION("""COMPUTED_VALUE"""),"purchase")</f>
        <v>purchase</v>
      </c>
      <c r="D663" s="10">
        <f t="shared" si="1"/>
        <v>45357</v>
      </c>
      <c r="E663" s="10">
        <f t="shared" si="2"/>
        <v>45355</v>
      </c>
      <c r="F663" s="10">
        <f t="shared" si="3"/>
        <v>45352</v>
      </c>
      <c r="G663" s="11"/>
    </row>
    <row r="664">
      <c r="A664" s="5">
        <f>IFERROR(__xludf.DUMMYFUNCTION("""COMPUTED_VALUE"""),180.0)</f>
        <v>180</v>
      </c>
      <c r="B664" s="9">
        <f>IFERROR(__xludf.DUMMYFUNCTION("""COMPUTED_VALUE"""),45357.14429398148)</f>
        <v>45357.14429</v>
      </c>
      <c r="C664" s="5" t="str">
        <f>IFERROR(__xludf.DUMMYFUNCTION("""COMPUTED_VALUE"""),"purchase")</f>
        <v>purchase</v>
      </c>
      <c r="D664" s="10">
        <f t="shared" si="1"/>
        <v>45357</v>
      </c>
      <c r="E664" s="10">
        <f t="shared" si="2"/>
        <v>45355</v>
      </c>
      <c r="F664" s="10">
        <f t="shared" si="3"/>
        <v>45352</v>
      </c>
      <c r="G664" s="11"/>
    </row>
    <row r="665">
      <c r="A665" s="5">
        <f>IFERROR(__xludf.DUMMYFUNCTION("""COMPUTED_VALUE"""),1406.0)</f>
        <v>1406</v>
      </c>
      <c r="B665" s="9">
        <f>IFERROR(__xludf.DUMMYFUNCTION("""COMPUTED_VALUE"""),45357.14503472222)</f>
        <v>45357.14503</v>
      </c>
      <c r="C665" s="5" t="str">
        <f>IFERROR(__xludf.DUMMYFUNCTION("""COMPUTED_VALUE"""),"purchase")</f>
        <v>purchase</v>
      </c>
      <c r="D665" s="10">
        <f t="shared" si="1"/>
        <v>45357</v>
      </c>
      <c r="E665" s="10">
        <f t="shared" si="2"/>
        <v>45355</v>
      </c>
      <c r="F665" s="10">
        <f t="shared" si="3"/>
        <v>45352</v>
      </c>
      <c r="G665" s="11"/>
    </row>
    <row r="666">
      <c r="A666" s="5">
        <f>IFERROR(__xludf.DUMMYFUNCTION("""COMPUTED_VALUE"""),2997.0)</f>
        <v>2997</v>
      </c>
      <c r="B666" s="9">
        <f>IFERROR(__xludf.DUMMYFUNCTION("""COMPUTED_VALUE"""),45357.1919212963)</f>
        <v>45357.19192</v>
      </c>
      <c r="C666" s="5" t="str">
        <f>IFERROR(__xludf.DUMMYFUNCTION("""COMPUTED_VALUE"""),"purchase")</f>
        <v>purchase</v>
      </c>
      <c r="D666" s="10">
        <f t="shared" si="1"/>
        <v>45357</v>
      </c>
      <c r="E666" s="10">
        <f t="shared" si="2"/>
        <v>45355</v>
      </c>
      <c r="F666" s="10">
        <f t="shared" si="3"/>
        <v>45352</v>
      </c>
      <c r="G666" s="11"/>
    </row>
    <row r="667">
      <c r="A667" s="5">
        <f>IFERROR(__xludf.DUMMYFUNCTION("""COMPUTED_VALUE"""),7432.0)</f>
        <v>7432</v>
      </c>
      <c r="B667" s="9">
        <f>IFERROR(__xludf.DUMMYFUNCTION("""COMPUTED_VALUE"""),45357.3384375)</f>
        <v>45357.33844</v>
      </c>
      <c r="C667" s="5" t="str">
        <f>IFERROR(__xludf.DUMMYFUNCTION("""COMPUTED_VALUE"""),"purchase")</f>
        <v>purchase</v>
      </c>
      <c r="D667" s="10">
        <f t="shared" si="1"/>
        <v>45357</v>
      </c>
      <c r="E667" s="10">
        <f t="shared" si="2"/>
        <v>45355</v>
      </c>
      <c r="F667" s="10">
        <f t="shared" si="3"/>
        <v>45352</v>
      </c>
      <c r="G667" s="11"/>
    </row>
    <row r="668">
      <c r="A668" s="5">
        <f>IFERROR(__xludf.DUMMYFUNCTION("""COMPUTED_VALUE"""),294.0)</f>
        <v>294</v>
      </c>
      <c r="B668" s="9">
        <f>IFERROR(__xludf.DUMMYFUNCTION("""COMPUTED_VALUE"""),45357.42412037037)</f>
        <v>45357.42412</v>
      </c>
      <c r="C668" s="5" t="str">
        <f>IFERROR(__xludf.DUMMYFUNCTION("""COMPUTED_VALUE"""),"purchase")</f>
        <v>purchase</v>
      </c>
      <c r="D668" s="10">
        <f t="shared" si="1"/>
        <v>45357</v>
      </c>
      <c r="E668" s="10">
        <f t="shared" si="2"/>
        <v>45355</v>
      </c>
      <c r="F668" s="10">
        <f t="shared" si="3"/>
        <v>45352</v>
      </c>
      <c r="G668" s="11"/>
    </row>
    <row r="669">
      <c r="A669" s="5">
        <f>IFERROR(__xludf.DUMMYFUNCTION("""COMPUTED_VALUE"""),1666.0)</f>
        <v>1666</v>
      </c>
      <c r="B669" s="9">
        <f>IFERROR(__xludf.DUMMYFUNCTION("""COMPUTED_VALUE"""),45357.42537037037)</f>
        <v>45357.42537</v>
      </c>
      <c r="C669" s="5" t="str">
        <f>IFERROR(__xludf.DUMMYFUNCTION("""COMPUTED_VALUE"""),"purchase")</f>
        <v>purchase</v>
      </c>
      <c r="D669" s="10">
        <f t="shared" si="1"/>
        <v>45357</v>
      </c>
      <c r="E669" s="10">
        <f t="shared" si="2"/>
        <v>45355</v>
      </c>
      <c r="F669" s="10">
        <f t="shared" si="3"/>
        <v>45352</v>
      </c>
      <c r="G669" s="11"/>
    </row>
    <row r="670">
      <c r="A670" s="5">
        <f>IFERROR(__xludf.DUMMYFUNCTION("""COMPUTED_VALUE"""),1490.0)</f>
        <v>1490</v>
      </c>
      <c r="B670" s="9">
        <f>IFERROR(__xludf.DUMMYFUNCTION("""COMPUTED_VALUE"""),45357.42915509259)</f>
        <v>45357.42916</v>
      </c>
      <c r="C670" s="5" t="str">
        <f>IFERROR(__xludf.DUMMYFUNCTION("""COMPUTED_VALUE"""),"purchase")</f>
        <v>purchase</v>
      </c>
      <c r="D670" s="10">
        <f t="shared" si="1"/>
        <v>45357</v>
      </c>
      <c r="E670" s="10">
        <f t="shared" si="2"/>
        <v>45355</v>
      </c>
      <c r="F670" s="10">
        <f t="shared" si="3"/>
        <v>45352</v>
      </c>
      <c r="G670" s="11"/>
    </row>
    <row r="671">
      <c r="A671" s="5">
        <f>IFERROR(__xludf.DUMMYFUNCTION("""COMPUTED_VALUE"""),6748.0)</f>
        <v>6748</v>
      </c>
      <c r="B671" s="9">
        <f>IFERROR(__xludf.DUMMYFUNCTION("""COMPUTED_VALUE"""),45357.79318287037)</f>
        <v>45357.79318</v>
      </c>
      <c r="C671" s="5" t="str">
        <f>IFERROR(__xludf.DUMMYFUNCTION("""COMPUTED_VALUE"""),"purchase")</f>
        <v>purchase</v>
      </c>
      <c r="D671" s="10">
        <f t="shared" si="1"/>
        <v>45357</v>
      </c>
      <c r="E671" s="10">
        <f t="shared" si="2"/>
        <v>45355</v>
      </c>
      <c r="F671" s="10">
        <f t="shared" si="3"/>
        <v>45352</v>
      </c>
      <c r="G671" s="11"/>
    </row>
    <row r="672">
      <c r="A672" s="5">
        <f>IFERROR(__xludf.DUMMYFUNCTION("""COMPUTED_VALUE"""),3474.0)</f>
        <v>3474</v>
      </c>
      <c r="B672" s="9">
        <f>IFERROR(__xludf.DUMMYFUNCTION("""COMPUTED_VALUE"""),45357.83798611111)</f>
        <v>45357.83799</v>
      </c>
      <c r="C672" s="5" t="str">
        <f>IFERROR(__xludf.DUMMYFUNCTION("""COMPUTED_VALUE"""),"purchase")</f>
        <v>purchase</v>
      </c>
      <c r="D672" s="10">
        <f t="shared" si="1"/>
        <v>45357</v>
      </c>
      <c r="E672" s="10">
        <f t="shared" si="2"/>
        <v>45355</v>
      </c>
      <c r="F672" s="10">
        <f t="shared" si="3"/>
        <v>45352</v>
      </c>
      <c r="G672" s="11"/>
    </row>
    <row r="673">
      <c r="A673" s="5">
        <f>IFERROR(__xludf.DUMMYFUNCTION("""COMPUTED_VALUE"""),7943.0)</f>
        <v>7943</v>
      </c>
      <c r="B673" s="9">
        <f>IFERROR(__xludf.DUMMYFUNCTION("""COMPUTED_VALUE"""),45357.84237268518)</f>
        <v>45357.84237</v>
      </c>
      <c r="C673" s="5" t="str">
        <f>IFERROR(__xludf.DUMMYFUNCTION("""COMPUTED_VALUE"""),"purchase")</f>
        <v>purchase</v>
      </c>
      <c r="D673" s="10">
        <f t="shared" si="1"/>
        <v>45357</v>
      </c>
      <c r="E673" s="10">
        <f t="shared" si="2"/>
        <v>45355</v>
      </c>
      <c r="F673" s="10">
        <f t="shared" si="3"/>
        <v>45352</v>
      </c>
      <c r="G673" s="11"/>
    </row>
    <row r="674">
      <c r="A674" s="5">
        <f>IFERROR(__xludf.DUMMYFUNCTION("""COMPUTED_VALUE"""),2642.0)</f>
        <v>2642</v>
      </c>
      <c r="B674" s="9">
        <f>IFERROR(__xludf.DUMMYFUNCTION("""COMPUTED_VALUE"""),45357.92523148148)</f>
        <v>45357.92523</v>
      </c>
      <c r="C674" s="5" t="str">
        <f>IFERROR(__xludf.DUMMYFUNCTION("""COMPUTED_VALUE"""),"purchase")</f>
        <v>purchase</v>
      </c>
      <c r="D674" s="10">
        <f t="shared" si="1"/>
        <v>45357</v>
      </c>
      <c r="E674" s="10">
        <f t="shared" si="2"/>
        <v>45355</v>
      </c>
      <c r="F674" s="10">
        <f t="shared" si="3"/>
        <v>45352</v>
      </c>
      <c r="G674" s="11"/>
    </row>
    <row r="675">
      <c r="A675" s="5">
        <f>IFERROR(__xludf.DUMMYFUNCTION("""COMPUTED_VALUE"""),7640.0)</f>
        <v>7640</v>
      </c>
      <c r="B675" s="9">
        <f>IFERROR(__xludf.DUMMYFUNCTION("""COMPUTED_VALUE"""),45357.983668981484)</f>
        <v>45357.98367</v>
      </c>
      <c r="C675" s="5" t="str">
        <f>IFERROR(__xludf.DUMMYFUNCTION("""COMPUTED_VALUE"""),"purchase")</f>
        <v>purchase</v>
      </c>
      <c r="D675" s="10">
        <f t="shared" si="1"/>
        <v>45357</v>
      </c>
      <c r="E675" s="10">
        <f t="shared" si="2"/>
        <v>45355</v>
      </c>
      <c r="F675" s="10">
        <f t="shared" si="3"/>
        <v>45352</v>
      </c>
      <c r="G675" s="11"/>
    </row>
    <row r="676">
      <c r="A676" s="5">
        <f>IFERROR(__xludf.DUMMYFUNCTION("""COMPUTED_VALUE"""),3935.0)</f>
        <v>3935</v>
      </c>
      <c r="B676" s="9">
        <f>IFERROR(__xludf.DUMMYFUNCTION("""COMPUTED_VALUE"""),45358.33976851852)</f>
        <v>45358.33977</v>
      </c>
      <c r="C676" s="5" t="str">
        <f>IFERROR(__xludf.DUMMYFUNCTION("""COMPUTED_VALUE"""),"purchase")</f>
        <v>purchase</v>
      </c>
      <c r="D676" s="10">
        <f t="shared" si="1"/>
        <v>45358</v>
      </c>
      <c r="E676" s="10">
        <f t="shared" si="2"/>
        <v>45355</v>
      </c>
      <c r="F676" s="10">
        <f t="shared" si="3"/>
        <v>45352</v>
      </c>
      <c r="G676" s="11"/>
    </row>
    <row r="677">
      <c r="A677" s="5">
        <f>IFERROR(__xludf.DUMMYFUNCTION("""COMPUTED_VALUE"""),1408.0)</f>
        <v>1408</v>
      </c>
      <c r="B677" s="9">
        <f>IFERROR(__xludf.DUMMYFUNCTION("""COMPUTED_VALUE"""),45358.412407407406)</f>
        <v>45358.41241</v>
      </c>
      <c r="C677" s="5" t="str">
        <f>IFERROR(__xludf.DUMMYFUNCTION("""COMPUTED_VALUE"""),"purchase")</f>
        <v>purchase</v>
      </c>
      <c r="D677" s="10">
        <f t="shared" si="1"/>
        <v>45358</v>
      </c>
      <c r="E677" s="10">
        <f t="shared" si="2"/>
        <v>45355</v>
      </c>
      <c r="F677" s="10">
        <f t="shared" si="3"/>
        <v>45352</v>
      </c>
      <c r="G677" s="11"/>
    </row>
    <row r="678">
      <c r="A678" s="5">
        <f>IFERROR(__xludf.DUMMYFUNCTION("""COMPUTED_VALUE"""),3873.0)</f>
        <v>3873</v>
      </c>
      <c r="B678" s="9">
        <f>IFERROR(__xludf.DUMMYFUNCTION("""COMPUTED_VALUE"""),45358.53936342592)</f>
        <v>45358.53936</v>
      </c>
      <c r="C678" s="5" t="str">
        <f>IFERROR(__xludf.DUMMYFUNCTION("""COMPUTED_VALUE"""),"purchase")</f>
        <v>purchase</v>
      </c>
      <c r="D678" s="10">
        <f t="shared" si="1"/>
        <v>45358</v>
      </c>
      <c r="E678" s="10">
        <f t="shared" si="2"/>
        <v>45355</v>
      </c>
      <c r="F678" s="10">
        <f t="shared" si="3"/>
        <v>45352</v>
      </c>
      <c r="G678" s="11"/>
    </row>
    <row r="679">
      <c r="A679" s="5">
        <f>IFERROR(__xludf.DUMMYFUNCTION("""COMPUTED_VALUE"""),6533.0)</f>
        <v>6533</v>
      </c>
      <c r="B679" s="9">
        <f>IFERROR(__xludf.DUMMYFUNCTION("""COMPUTED_VALUE"""),45358.65960648148)</f>
        <v>45358.65961</v>
      </c>
      <c r="C679" s="5" t="str">
        <f>IFERROR(__xludf.DUMMYFUNCTION("""COMPUTED_VALUE"""),"purchase")</f>
        <v>purchase</v>
      </c>
      <c r="D679" s="10">
        <f t="shared" si="1"/>
        <v>45358</v>
      </c>
      <c r="E679" s="10">
        <f t="shared" si="2"/>
        <v>45355</v>
      </c>
      <c r="F679" s="10">
        <f t="shared" si="3"/>
        <v>45352</v>
      </c>
      <c r="G679" s="11"/>
    </row>
    <row r="680">
      <c r="A680" s="5">
        <f>IFERROR(__xludf.DUMMYFUNCTION("""COMPUTED_VALUE"""),3609.0)</f>
        <v>3609</v>
      </c>
      <c r="B680" s="9">
        <f>IFERROR(__xludf.DUMMYFUNCTION("""COMPUTED_VALUE"""),45358.70380787037)</f>
        <v>45358.70381</v>
      </c>
      <c r="C680" s="5" t="str">
        <f>IFERROR(__xludf.DUMMYFUNCTION("""COMPUTED_VALUE"""),"purchase")</f>
        <v>purchase</v>
      </c>
      <c r="D680" s="10">
        <f t="shared" si="1"/>
        <v>45358</v>
      </c>
      <c r="E680" s="10">
        <f t="shared" si="2"/>
        <v>45355</v>
      </c>
      <c r="F680" s="10">
        <f t="shared" si="3"/>
        <v>45352</v>
      </c>
      <c r="G680" s="11"/>
    </row>
    <row r="681">
      <c r="A681" s="5">
        <f>IFERROR(__xludf.DUMMYFUNCTION("""COMPUTED_VALUE"""),7565.0)</f>
        <v>7565</v>
      </c>
      <c r="B681" s="9">
        <f>IFERROR(__xludf.DUMMYFUNCTION("""COMPUTED_VALUE"""),45358.951215277775)</f>
        <v>45358.95122</v>
      </c>
      <c r="C681" s="5" t="str">
        <f>IFERROR(__xludf.DUMMYFUNCTION("""COMPUTED_VALUE"""),"purchase")</f>
        <v>purchase</v>
      </c>
      <c r="D681" s="10">
        <f t="shared" si="1"/>
        <v>45358</v>
      </c>
      <c r="E681" s="10">
        <f t="shared" si="2"/>
        <v>45355</v>
      </c>
      <c r="F681" s="10">
        <f t="shared" si="3"/>
        <v>45352</v>
      </c>
      <c r="G681" s="11"/>
    </row>
    <row r="682">
      <c r="A682" s="5">
        <f>IFERROR(__xludf.DUMMYFUNCTION("""COMPUTED_VALUE"""),694.0)</f>
        <v>694</v>
      </c>
      <c r="B682" s="9">
        <f>IFERROR(__xludf.DUMMYFUNCTION("""COMPUTED_VALUE"""),45358.96314814815)</f>
        <v>45358.96315</v>
      </c>
      <c r="C682" s="5" t="str">
        <f>IFERROR(__xludf.DUMMYFUNCTION("""COMPUTED_VALUE"""),"purchase")</f>
        <v>purchase</v>
      </c>
      <c r="D682" s="10">
        <f t="shared" si="1"/>
        <v>45358</v>
      </c>
      <c r="E682" s="10">
        <f t="shared" si="2"/>
        <v>45355</v>
      </c>
      <c r="F682" s="10">
        <f t="shared" si="3"/>
        <v>45352</v>
      </c>
      <c r="G682" s="11"/>
    </row>
    <row r="683">
      <c r="A683" s="5">
        <f>IFERROR(__xludf.DUMMYFUNCTION("""COMPUTED_VALUE"""),2837.0)</f>
        <v>2837</v>
      </c>
      <c r="B683" s="9">
        <f>IFERROR(__xludf.DUMMYFUNCTION("""COMPUTED_VALUE"""),45359.17056712963)</f>
        <v>45359.17057</v>
      </c>
      <c r="C683" s="5" t="str">
        <f>IFERROR(__xludf.DUMMYFUNCTION("""COMPUTED_VALUE"""),"purchase")</f>
        <v>purchase</v>
      </c>
      <c r="D683" s="10">
        <f t="shared" si="1"/>
        <v>45359</v>
      </c>
      <c r="E683" s="10">
        <f t="shared" si="2"/>
        <v>45355</v>
      </c>
      <c r="F683" s="10">
        <f t="shared" si="3"/>
        <v>45352</v>
      </c>
      <c r="G683" s="11"/>
    </row>
    <row r="684">
      <c r="A684" s="5">
        <f>IFERROR(__xludf.DUMMYFUNCTION("""COMPUTED_VALUE"""),5334.0)</f>
        <v>5334</v>
      </c>
      <c r="B684" s="9">
        <f>IFERROR(__xludf.DUMMYFUNCTION("""COMPUTED_VALUE"""),45359.17071759259)</f>
        <v>45359.17072</v>
      </c>
      <c r="C684" s="5" t="str">
        <f>IFERROR(__xludf.DUMMYFUNCTION("""COMPUTED_VALUE"""),"purchase")</f>
        <v>purchase</v>
      </c>
      <c r="D684" s="10">
        <f t="shared" si="1"/>
        <v>45359</v>
      </c>
      <c r="E684" s="10">
        <f t="shared" si="2"/>
        <v>45355</v>
      </c>
      <c r="F684" s="10">
        <f t="shared" si="3"/>
        <v>45352</v>
      </c>
      <c r="G684" s="11"/>
    </row>
    <row r="685">
      <c r="A685" s="5">
        <f>IFERROR(__xludf.DUMMYFUNCTION("""COMPUTED_VALUE"""),6366.0)</f>
        <v>6366</v>
      </c>
      <c r="B685" s="9">
        <f>IFERROR(__xludf.DUMMYFUNCTION("""COMPUTED_VALUE"""),45359.23304398148)</f>
        <v>45359.23304</v>
      </c>
      <c r="C685" s="5" t="str">
        <f>IFERROR(__xludf.DUMMYFUNCTION("""COMPUTED_VALUE"""),"purchase")</f>
        <v>purchase</v>
      </c>
      <c r="D685" s="10">
        <f t="shared" si="1"/>
        <v>45359</v>
      </c>
      <c r="E685" s="10">
        <f t="shared" si="2"/>
        <v>45355</v>
      </c>
      <c r="F685" s="10">
        <f t="shared" si="3"/>
        <v>45352</v>
      </c>
      <c r="G685" s="11"/>
    </row>
    <row r="686">
      <c r="A686" s="5">
        <f>IFERROR(__xludf.DUMMYFUNCTION("""COMPUTED_VALUE"""),4739.0)</f>
        <v>4739</v>
      </c>
      <c r="B686" s="9">
        <f>IFERROR(__xludf.DUMMYFUNCTION("""COMPUTED_VALUE"""),45359.32298611111)</f>
        <v>45359.32299</v>
      </c>
      <c r="C686" s="5" t="str">
        <f>IFERROR(__xludf.DUMMYFUNCTION("""COMPUTED_VALUE"""),"purchase")</f>
        <v>purchase</v>
      </c>
      <c r="D686" s="10">
        <f t="shared" si="1"/>
        <v>45359</v>
      </c>
      <c r="E686" s="10">
        <f t="shared" si="2"/>
        <v>45355</v>
      </c>
      <c r="F686" s="10">
        <f t="shared" si="3"/>
        <v>45352</v>
      </c>
      <c r="G686" s="11"/>
    </row>
    <row r="687">
      <c r="A687" s="5">
        <f>IFERROR(__xludf.DUMMYFUNCTION("""COMPUTED_VALUE"""),7686.0)</f>
        <v>7686</v>
      </c>
      <c r="B687" s="9">
        <f>IFERROR(__xludf.DUMMYFUNCTION("""COMPUTED_VALUE"""),45359.33016203704)</f>
        <v>45359.33016</v>
      </c>
      <c r="C687" s="5" t="str">
        <f>IFERROR(__xludf.DUMMYFUNCTION("""COMPUTED_VALUE"""),"purchase")</f>
        <v>purchase</v>
      </c>
      <c r="D687" s="10">
        <f t="shared" si="1"/>
        <v>45359</v>
      </c>
      <c r="E687" s="10">
        <f t="shared" si="2"/>
        <v>45355</v>
      </c>
      <c r="F687" s="10">
        <f t="shared" si="3"/>
        <v>45352</v>
      </c>
      <c r="G687" s="11"/>
    </row>
    <row r="688">
      <c r="A688" s="5">
        <f>IFERROR(__xludf.DUMMYFUNCTION("""COMPUTED_VALUE"""),4344.0)</f>
        <v>4344</v>
      </c>
      <c r="B688" s="9">
        <f>IFERROR(__xludf.DUMMYFUNCTION("""COMPUTED_VALUE"""),45359.331770833334)</f>
        <v>45359.33177</v>
      </c>
      <c r="C688" s="5" t="str">
        <f>IFERROR(__xludf.DUMMYFUNCTION("""COMPUTED_VALUE"""),"purchase")</f>
        <v>purchase</v>
      </c>
      <c r="D688" s="10">
        <f t="shared" si="1"/>
        <v>45359</v>
      </c>
      <c r="E688" s="10">
        <f t="shared" si="2"/>
        <v>45355</v>
      </c>
      <c r="F688" s="10">
        <f t="shared" si="3"/>
        <v>45352</v>
      </c>
      <c r="G688" s="11"/>
    </row>
    <row r="689">
      <c r="A689" s="5">
        <f>IFERROR(__xludf.DUMMYFUNCTION("""COMPUTED_VALUE"""),6871.0)</f>
        <v>6871</v>
      </c>
      <c r="B689" s="9">
        <f>IFERROR(__xludf.DUMMYFUNCTION("""COMPUTED_VALUE"""),45359.374375)</f>
        <v>45359.37438</v>
      </c>
      <c r="C689" s="5" t="str">
        <f>IFERROR(__xludf.DUMMYFUNCTION("""COMPUTED_VALUE"""),"purchase")</f>
        <v>purchase</v>
      </c>
      <c r="D689" s="10">
        <f t="shared" si="1"/>
        <v>45359</v>
      </c>
      <c r="E689" s="10">
        <f t="shared" si="2"/>
        <v>45355</v>
      </c>
      <c r="F689" s="10">
        <f t="shared" si="3"/>
        <v>45352</v>
      </c>
      <c r="G689" s="11"/>
    </row>
    <row r="690">
      <c r="A690" s="5">
        <f>IFERROR(__xludf.DUMMYFUNCTION("""COMPUTED_VALUE"""),252.0)</f>
        <v>252</v>
      </c>
      <c r="B690" s="9">
        <f>IFERROR(__xludf.DUMMYFUNCTION("""COMPUTED_VALUE"""),45359.41068287037)</f>
        <v>45359.41068</v>
      </c>
      <c r="C690" s="5" t="str">
        <f>IFERROR(__xludf.DUMMYFUNCTION("""COMPUTED_VALUE"""),"purchase")</f>
        <v>purchase</v>
      </c>
      <c r="D690" s="10">
        <f t="shared" si="1"/>
        <v>45359</v>
      </c>
      <c r="E690" s="10">
        <f t="shared" si="2"/>
        <v>45355</v>
      </c>
      <c r="F690" s="10">
        <f t="shared" si="3"/>
        <v>45352</v>
      </c>
      <c r="G690" s="11"/>
    </row>
    <row r="691">
      <c r="A691" s="5">
        <f>IFERROR(__xludf.DUMMYFUNCTION("""COMPUTED_VALUE"""),2797.0)</f>
        <v>2797</v>
      </c>
      <c r="B691" s="9">
        <f>IFERROR(__xludf.DUMMYFUNCTION("""COMPUTED_VALUE"""),45359.45096064815)</f>
        <v>45359.45096</v>
      </c>
      <c r="C691" s="5" t="str">
        <f>IFERROR(__xludf.DUMMYFUNCTION("""COMPUTED_VALUE"""),"purchase")</f>
        <v>purchase</v>
      </c>
      <c r="D691" s="10">
        <f t="shared" si="1"/>
        <v>45359</v>
      </c>
      <c r="E691" s="10">
        <f t="shared" si="2"/>
        <v>45355</v>
      </c>
      <c r="F691" s="10">
        <f t="shared" si="3"/>
        <v>45352</v>
      </c>
      <c r="G691" s="11"/>
    </row>
    <row r="692">
      <c r="A692" s="5">
        <f>IFERROR(__xludf.DUMMYFUNCTION("""COMPUTED_VALUE"""),5401.0)</f>
        <v>5401</v>
      </c>
      <c r="B692" s="9">
        <f>IFERROR(__xludf.DUMMYFUNCTION("""COMPUTED_VALUE"""),45359.452361111114)</f>
        <v>45359.45236</v>
      </c>
      <c r="C692" s="5" t="str">
        <f>IFERROR(__xludf.DUMMYFUNCTION("""COMPUTED_VALUE"""),"purchase")</f>
        <v>purchase</v>
      </c>
      <c r="D692" s="10">
        <f t="shared" si="1"/>
        <v>45359</v>
      </c>
      <c r="E692" s="10">
        <f t="shared" si="2"/>
        <v>45355</v>
      </c>
      <c r="F692" s="10">
        <f t="shared" si="3"/>
        <v>45352</v>
      </c>
      <c r="G692" s="11"/>
    </row>
    <row r="693">
      <c r="A693" s="5">
        <f>IFERROR(__xludf.DUMMYFUNCTION("""COMPUTED_VALUE"""),2358.0)</f>
        <v>2358</v>
      </c>
      <c r="B693" s="9">
        <f>IFERROR(__xludf.DUMMYFUNCTION("""COMPUTED_VALUE"""),45359.64440972222)</f>
        <v>45359.64441</v>
      </c>
      <c r="C693" s="5" t="str">
        <f>IFERROR(__xludf.DUMMYFUNCTION("""COMPUTED_VALUE"""),"purchase")</f>
        <v>purchase</v>
      </c>
      <c r="D693" s="10">
        <f t="shared" si="1"/>
        <v>45359</v>
      </c>
      <c r="E693" s="10">
        <f t="shared" si="2"/>
        <v>45355</v>
      </c>
      <c r="F693" s="10">
        <f t="shared" si="3"/>
        <v>45352</v>
      </c>
      <c r="G693" s="11"/>
    </row>
    <row r="694">
      <c r="A694" s="5">
        <f>IFERROR(__xludf.DUMMYFUNCTION("""COMPUTED_VALUE"""),5460.0)</f>
        <v>5460</v>
      </c>
      <c r="B694" s="9">
        <f>IFERROR(__xludf.DUMMYFUNCTION("""COMPUTED_VALUE"""),45359.75269675926)</f>
        <v>45359.7527</v>
      </c>
      <c r="C694" s="5" t="str">
        <f>IFERROR(__xludf.DUMMYFUNCTION("""COMPUTED_VALUE"""),"purchase")</f>
        <v>purchase</v>
      </c>
      <c r="D694" s="10">
        <f t="shared" si="1"/>
        <v>45359</v>
      </c>
      <c r="E694" s="10">
        <f t="shared" si="2"/>
        <v>45355</v>
      </c>
      <c r="F694" s="10">
        <f t="shared" si="3"/>
        <v>45352</v>
      </c>
      <c r="G694" s="11"/>
    </row>
    <row r="695">
      <c r="A695" s="5">
        <f>IFERROR(__xludf.DUMMYFUNCTION("""COMPUTED_VALUE"""),5705.0)</f>
        <v>5705</v>
      </c>
      <c r="B695" s="9">
        <f>IFERROR(__xludf.DUMMYFUNCTION("""COMPUTED_VALUE"""),45359.85931712963)</f>
        <v>45359.85932</v>
      </c>
      <c r="C695" s="5" t="str">
        <f>IFERROR(__xludf.DUMMYFUNCTION("""COMPUTED_VALUE"""),"purchase")</f>
        <v>purchase</v>
      </c>
      <c r="D695" s="10">
        <f t="shared" si="1"/>
        <v>45359</v>
      </c>
      <c r="E695" s="10">
        <f t="shared" si="2"/>
        <v>45355</v>
      </c>
      <c r="F695" s="10">
        <f t="shared" si="3"/>
        <v>45352</v>
      </c>
      <c r="G695" s="11"/>
    </row>
    <row r="696">
      <c r="A696" s="5">
        <f>IFERROR(__xludf.DUMMYFUNCTION("""COMPUTED_VALUE"""),2893.0)</f>
        <v>2893</v>
      </c>
      <c r="B696" s="9">
        <f>IFERROR(__xludf.DUMMYFUNCTION("""COMPUTED_VALUE"""),45359.88759259259)</f>
        <v>45359.88759</v>
      </c>
      <c r="C696" s="5" t="str">
        <f>IFERROR(__xludf.DUMMYFUNCTION("""COMPUTED_VALUE"""),"purchase")</f>
        <v>purchase</v>
      </c>
      <c r="D696" s="10">
        <f t="shared" si="1"/>
        <v>45359</v>
      </c>
      <c r="E696" s="10">
        <f t="shared" si="2"/>
        <v>45355</v>
      </c>
      <c r="F696" s="10">
        <f t="shared" si="3"/>
        <v>45352</v>
      </c>
      <c r="G696" s="11"/>
    </row>
    <row r="697">
      <c r="A697" s="5">
        <f>IFERROR(__xludf.DUMMYFUNCTION("""COMPUTED_VALUE"""),3160.0)</f>
        <v>3160</v>
      </c>
      <c r="B697" s="9">
        <f>IFERROR(__xludf.DUMMYFUNCTION("""COMPUTED_VALUE"""),45360.12185185185)</f>
        <v>45360.12185</v>
      </c>
      <c r="C697" s="5" t="str">
        <f>IFERROR(__xludf.DUMMYFUNCTION("""COMPUTED_VALUE"""),"purchase")</f>
        <v>purchase</v>
      </c>
      <c r="D697" s="10">
        <f t="shared" si="1"/>
        <v>45360</v>
      </c>
      <c r="E697" s="10">
        <f t="shared" si="2"/>
        <v>45355</v>
      </c>
      <c r="F697" s="10">
        <f t="shared" si="3"/>
        <v>45352</v>
      </c>
      <c r="G697" s="11"/>
    </row>
    <row r="698">
      <c r="A698" s="5">
        <f>IFERROR(__xludf.DUMMYFUNCTION("""COMPUTED_VALUE"""),3806.0)</f>
        <v>3806</v>
      </c>
      <c r="B698" s="9">
        <f>IFERROR(__xludf.DUMMYFUNCTION("""COMPUTED_VALUE"""),45360.14246527778)</f>
        <v>45360.14247</v>
      </c>
      <c r="C698" s="5" t="str">
        <f>IFERROR(__xludf.DUMMYFUNCTION("""COMPUTED_VALUE"""),"purchase")</f>
        <v>purchase</v>
      </c>
      <c r="D698" s="10">
        <f t="shared" si="1"/>
        <v>45360</v>
      </c>
      <c r="E698" s="10">
        <f t="shared" si="2"/>
        <v>45355</v>
      </c>
      <c r="F698" s="10">
        <f t="shared" si="3"/>
        <v>45352</v>
      </c>
      <c r="G698" s="11"/>
    </row>
    <row r="699">
      <c r="A699" s="5">
        <f>IFERROR(__xludf.DUMMYFUNCTION("""COMPUTED_VALUE"""),3559.0)</f>
        <v>3559</v>
      </c>
      <c r="B699" s="9">
        <f>IFERROR(__xludf.DUMMYFUNCTION("""COMPUTED_VALUE"""),45360.43274305556)</f>
        <v>45360.43274</v>
      </c>
      <c r="C699" s="5" t="str">
        <f>IFERROR(__xludf.DUMMYFUNCTION("""COMPUTED_VALUE"""),"purchase")</f>
        <v>purchase</v>
      </c>
      <c r="D699" s="10">
        <f t="shared" si="1"/>
        <v>45360</v>
      </c>
      <c r="E699" s="10">
        <f t="shared" si="2"/>
        <v>45355</v>
      </c>
      <c r="F699" s="10">
        <f t="shared" si="3"/>
        <v>45352</v>
      </c>
      <c r="G699" s="11"/>
    </row>
    <row r="700">
      <c r="A700" s="5">
        <f>IFERROR(__xludf.DUMMYFUNCTION("""COMPUTED_VALUE"""),1544.0)</f>
        <v>1544</v>
      </c>
      <c r="B700" s="9">
        <f>IFERROR(__xludf.DUMMYFUNCTION("""COMPUTED_VALUE"""),45360.66440972222)</f>
        <v>45360.66441</v>
      </c>
      <c r="C700" s="5" t="str">
        <f>IFERROR(__xludf.DUMMYFUNCTION("""COMPUTED_VALUE"""),"purchase")</f>
        <v>purchase</v>
      </c>
      <c r="D700" s="10">
        <f t="shared" si="1"/>
        <v>45360</v>
      </c>
      <c r="E700" s="10">
        <f t="shared" si="2"/>
        <v>45355</v>
      </c>
      <c r="F700" s="10">
        <f t="shared" si="3"/>
        <v>45352</v>
      </c>
      <c r="G700" s="11"/>
    </row>
    <row r="701">
      <c r="A701" s="5">
        <f>IFERROR(__xludf.DUMMYFUNCTION("""COMPUTED_VALUE"""),2463.0)</f>
        <v>2463</v>
      </c>
      <c r="B701" s="9">
        <f>IFERROR(__xludf.DUMMYFUNCTION("""COMPUTED_VALUE"""),45360.66527777778)</f>
        <v>45360.66528</v>
      </c>
      <c r="C701" s="5" t="str">
        <f>IFERROR(__xludf.DUMMYFUNCTION("""COMPUTED_VALUE"""),"purchase")</f>
        <v>purchase</v>
      </c>
      <c r="D701" s="10">
        <f t="shared" si="1"/>
        <v>45360</v>
      </c>
      <c r="E701" s="10">
        <f t="shared" si="2"/>
        <v>45355</v>
      </c>
      <c r="F701" s="10">
        <f t="shared" si="3"/>
        <v>45352</v>
      </c>
      <c r="G701" s="11"/>
    </row>
    <row r="702">
      <c r="A702" s="5">
        <f>IFERROR(__xludf.DUMMYFUNCTION("""COMPUTED_VALUE"""),7116.0)</f>
        <v>7116</v>
      </c>
      <c r="B702" s="9">
        <f>IFERROR(__xludf.DUMMYFUNCTION("""COMPUTED_VALUE"""),45360.6928125)</f>
        <v>45360.69281</v>
      </c>
      <c r="C702" s="5" t="str">
        <f>IFERROR(__xludf.DUMMYFUNCTION("""COMPUTED_VALUE"""),"purchase")</f>
        <v>purchase</v>
      </c>
      <c r="D702" s="10">
        <f t="shared" si="1"/>
        <v>45360</v>
      </c>
      <c r="E702" s="10">
        <f t="shared" si="2"/>
        <v>45355</v>
      </c>
      <c r="F702" s="10">
        <f t="shared" si="3"/>
        <v>45352</v>
      </c>
      <c r="G702" s="11"/>
    </row>
    <row r="703">
      <c r="A703" s="5">
        <f>IFERROR(__xludf.DUMMYFUNCTION("""COMPUTED_VALUE"""),4735.0)</f>
        <v>4735</v>
      </c>
      <c r="B703" s="9">
        <f>IFERROR(__xludf.DUMMYFUNCTION("""COMPUTED_VALUE"""),45360.808171296296)</f>
        <v>45360.80817</v>
      </c>
      <c r="C703" s="5" t="str">
        <f>IFERROR(__xludf.DUMMYFUNCTION("""COMPUTED_VALUE"""),"purchase")</f>
        <v>purchase</v>
      </c>
      <c r="D703" s="10">
        <f t="shared" si="1"/>
        <v>45360</v>
      </c>
      <c r="E703" s="10">
        <f t="shared" si="2"/>
        <v>45355</v>
      </c>
      <c r="F703" s="10">
        <f t="shared" si="3"/>
        <v>45352</v>
      </c>
      <c r="G703" s="11"/>
    </row>
    <row r="704">
      <c r="A704" s="5">
        <f>IFERROR(__xludf.DUMMYFUNCTION("""COMPUTED_VALUE"""),2200.0)</f>
        <v>2200</v>
      </c>
      <c r="B704" s="9">
        <f>IFERROR(__xludf.DUMMYFUNCTION("""COMPUTED_VALUE"""),45360.85270833333)</f>
        <v>45360.85271</v>
      </c>
      <c r="C704" s="5" t="str">
        <f>IFERROR(__xludf.DUMMYFUNCTION("""COMPUTED_VALUE"""),"purchase")</f>
        <v>purchase</v>
      </c>
      <c r="D704" s="10">
        <f t="shared" si="1"/>
        <v>45360</v>
      </c>
      <c r="E704" s="10">
        <f t="shared" si="2"/>
        <v>45355</v>
      </c>
      <c r="F704" s="10">
        <f t="shared" si="3"/>
        <v>45352</v>
      </c>
      <c r="G704" s="11"/>
    </row>
    <row r="705">
      <c r="A705" s="5">
        <f>IFERROR(__xludf.DUMMYFUNCTION("""COMPUTED_VALUE"""),240.0)</f>
        <v>240</v>
      </c>
      <c r="B705" s="9">
        <f>IFERROR(__xludf.DUMMYFUNCTION("""COMPUTED_VALUE"""),45360.85590277778)</f>
        <v>45360.8559</v>
      </c>
      <c r="C705" s="5" t="str">
        <f>IFERROR(__xludf.DUMMYFUNCTION("""COMPUTED_VALUE"""),"purchase")</f>
        <v>purchase</v>
      </c>
      <c r="D705" s="10">
        <f t="shared" si="1"/>
        <v>45360</v>
      </c>
      <c r="E705" s="10">
        <f t="shared" si="2"/>
        <v>45355</v>
      </c>
      <c r="F705" s="10">
        <f t="shared" si="3"/>
        <v>45352</v>
      </c>
      <c r="G705" s="11"/>
    </row>
    <row r="706">
      <c r="A706" s="5">
        <f>IFERROR(__xludf.DUMMYFUNCTION("""COMPUTED_VALUE"""),5266.0)</f>
        <v>5266</v>
      </c>
      <c r="B706" s="9">
        <f>IFERROR(__xludf.DUMMYFUNCTION("""COMPUTED_VALUE"""),45360.89990740741)</f>
        <v>45360.89991</v>
      </c>
      <c r="C706" s="5" t="str">
        <f>IFERROR(__xludf.DUMMYFUNCTION("""COMPUTED_VALUE"""),"purchase")</f>
        <v>purchase</v>
      </c>
      <c r="D706" s="10">
        <f t="shared" si="1"/>
        <v>45360</v>
      </c>
      <c r="E706" s="10">
        <f t="shared" si="2"/>
        <v>45355</v>
      </c>
      <c r="F706" s="10">
        <f t="shared" si="3"/>
        <v>45352</v>
      </c>
      <c r="G706" s="11"/>
    </row>
    <row r="707">
      <c r="A707" s="5">
        <f>IFERROR(__xludf.DUMMYFUNCTION("""COMPUTED_VALUE"""),4056.0)</f>
        <v>4056</v>
      </c>
      <c r="B707" s="9">
        <f>IFERROR(__xludf.DUMMYFUNCTION("""COMPUTED_VALUE"""),45360.91961805556)</f>
        <v>45360.91962</v>
      </c>
      <c r="C707" s="5" t="str">
        <f>IFERROR(__xludf.DUMMYFUNCTION("""COMPUTED_VALUE"""),"purchase")</f>
        <v>purchase</v>
      </c>
      <c r="D707" s="10">
        <f t="shared" si="1"/>
        <v>45360</v>
      </c>
      <c r="E707" s="10">
        <f t="shared" si="2"/>
        <v>45355</v>
      </c>
      <c r="F707" s="10">
        <f t="shared" si="3"/>
        <v>45352</v>
      </c>
      <c r="G707" s="11"/>
    </row>
    <row r="708">
      <c r="A708" s="5">
        <f>IFERROR(__xludf.DUMMYFUNCTION("""COMPUTED_VALUE"""),3291.0)</f>
        <v>3291</v>
      </c>
      <c r="B708" s="9">
        <f>IFERROR(__xludf.DUMMYFUNCTION("""COMPUTED_VALUE"""),45360.97439814815)</f>
        <v>45360.9744</v>
      </c>
      <c r="C708" s="5" t="str">
        <f>IFERROR(__xludf.DUMMYFUNCTION("""COMPUTED_VALUE"""),"purchase")</f>
        <v>purchase</v>
      </c>
      <c r="D708" s="10">
        <f t="shared" si="1"/>
        <v>45360</v>
      </c>
      <c r="E708" s="10">
        <f t="shared" si="2"/>
        <v>45355</v>
      </c>
      <c r="F708" s="10">
        <f t="shared" si="3"/>
        <v>45352</v>
      </c>
      <c r="G708" s="11"/>
    </row>
    <row r="709">
      <c r="A709" s="5">
        <f>IFERROR(__xludf.DUMMYFUNCTION("""COMPUTED_VALUE"""),5082.0)</f>
        <v>5082</v>
      </c>
      <c r="B709" s="9">
        <f>IFERROR(__xludf.DUMMYFUNCTION("""COMPUTED_VALUE"""),45361.02523148148)</f>
        <v>45361.02523</v>
      </c>
      <c r="C709" s="5" t="str">
        <f>IFERROR(__xludf.DUMMYFUNCTION("""COMPUTED_VALUE"""),"purchase")</f>
        <v>purchase</v>
      </c>
      <c r="D709" s="10">
        <f t="shared" si="1"/>
        <v>45361</v>
      </c>
      <c r="E709" s="10">
        <f t="shared" si="2"/>
        <v>45355</v>
      </c>
      <c r="F709" s="10">
        <f t="shared" si="3"/>
        <v>45352</v>
      </c>
      <c r="G709" s="11"/>
    </row>
    <row r="710">
      <c r="A710" s="5">
        <f>IFERROR(__xludf.DUMMYFUNCTION("""COMPUTED_VALUE"""),2311.0)</f>
        <v>2311</v>
      </c>
      <c r="B710" s="9">
        <f>IFERROR(__xludf.DUMMYFUNCTION("""COMPUTED_VALUE"""),45361.02670138889)</f>
        <v>45361.0267</v>
      </c>
      <c r="C710" s="5" t="str">
        <f>IFERROR(__xludf.DUMMYFUNCTION("""COMPUTED_VALUE"""),"purchase")</f>
        <v>purchase</v>
      </c>
      <c r="D710" s="10">
        <f t="shared" si="1"/>
        <v>45361</v>
      </c>
      <c r="E710" s="10">
        <f t="shared" si="2"/>
        <v>45355</v>
      </c>
      <c r="F710" s="10">
        <f t="shared" si="3"/>
        <v>45352</v>
      </c>
      <c r="G710" s="11"/>
    </row>
    <row r="711">
      <c r="A711" s="5">
        <f>IFERROR(__xludf.DUMMYFUNCTION("""COMPUTED_VALUE"""),7374.0)</f>
        <v>7374</v>
      </c>
      <c r="B711" s="9">
        <f>IFERROR(__xludf.DUMMYFUNCTION("""COMPUTED_VALUE"""),45361.13071759259)</f>
        <v>45361.13072</v>
      </c>
      <c r="C711" s="5" t="str">
        <f>IFERROR(__xludf.DUMMYFUNCTION("""COMPUTED_VALUE"""),"purchase")</f>
        <v>purchase</v>
      </c>
      <c r="D711" s="10">
        <f t="shared" si="1"/>
        <v>45361</v>
      </c>
      <c r="E711" s="10">
        <f t="shared" si="2"/>
        <v>45355</v>
      </c>
      <c r="F711" s="10">
        <f t="shared" si="3"/>
        <v>45352</v>
      </c>
      <c r="G711" s="11"/>
    </row>
    <row r="712">
      <c r="A712" s="5">
        <f>IFERROR(__xludf.DUMMYFUNCTION("""COMPUTED_VALUE"""),4267.0)</f>
        <v>4267</v>
      </c>
      <c r="B712" s="9">
        <f>IFERROR(__xludf.DUMMYFUNCTION("""COMPUTED_VALUE"""),45361.19834490741)</f>
        <v>45361.19834</v>
      </c>
      <c r="C712" s="5" t="str">
        <f>IFERROR(__xludf.DUMMYFUNCTION("""COMPUTED_VALUE"""),"purchase")</f>
        <v>purchase</v>
      </c>
      <c r="D712" s="10">
        <f t="shared" si="1"/>
        <v>45361</v>
      </c>
      <c r="E712" s="10">
        <f t="shared" si="2"/>
        <v>45355</v>
      </c>
      <c r="F712" s="10">
        <f t="shared" si="3"/>
        <v>45352</v>
      </c>
      <c r="G712" s="11"/>
    </row>
    <row r="713">
      <c r="A713" s="5">
        <f>IFERROR(__xludf.DUMMYFUNCTION("""COMPUTED_VALUE"""),6203.0)</f>
        <v>6203</v>
      </c>
      <c r="B713" s="9">
        <f>IFERROR(__xludf.DUMMYFUNCTION("""COMPUTED_VALUE"""),45361.205613425926)</f>
        <v>45361.20561</v>
      </c>
      <c r="C713" s="5" t="str">
        <f>IFERROR(__xludf.DUMMYFUNCTION("""COMPUTED_VALUE"""),"purchase")</f>
        <v>purchase</v>
      </c>
      <c r="D713" s="10">
        <f t="shared" si="1"/>
        <v>45361</v>
      </c>
      <c r="E713" s="10">
        <f t="shared" si="2"/>
        <v>45355</v>
      </c>
      <c r="F713" s="10">
        <f t="shared" si="3"/>
        <v>45352</v>
      </c>
      <c r="G713" s="11"/>
    </row>
    <row r="714">
      <c r="A714" s="5">
        <f>IFERROR(__xludf.DUMMYFUNCTION("""COMPUTED_VALUE"""),3528.0)</f>
        <v>3528</v>
      </c>
      <c r="B714" s="9">
        <f>IFERROR(__xludf.DUMMYFUNCTION("""COMPUTED_VALUE"""),45361.253113425926)</f>
        <v>45361.25311</v>
      </c>
      <c r="C714" s="5" t="str">
        <f>IFERROR(__xludf.DUMMYFUNCTION("""COMPUTED_VALUE"""),"purchase")</f>
        <v>purchase</v>
      </c>
      <c r="D714" s="10">
        <f t="shared" si="1"/>
        <v>45361</v>
      </c>
      <c r="E714" s="10">
        <f t="shared" si="2"/>
        <v>45355</v>
      </c>
      <c r="F714" s="10">
        <f t="shared" si="3"/>
        <v>45352</v>
      </c>
      <c r="G714" s="11"/>
    </row>
    <row r="715">
      <c r="A715" s="5">
        <f>IFERROR(__xludf.DUMMYFUNCTION("""COMPUTED_VALUE"""),4483.0)</f>
        <v>4483</v>
      </c>
      <c r="B715" s="9">
        <f>IFERROR(__xludf.DUMMYFUNCTION("""COMPUTED_VALUE"""),45361.26893518519)</f>
        <v>45361.26894</v>
      </c>
      <c r="C715" s="5" t="str">
        <f>IFERROR(__xludf.DUMMYFUNCTION("""COMPUTED_VALUE"""),"purchase")</f>
        <v>purchase</v>
      </c>
      <c r="D715" s="10">
        <f t="shared" si="1"/>
        <v>45361</v>
      </c>
      <c r="E715" s="10">
        <f t="shared" si="2"/>
        <v>45355</v>
      </c>
      <c r="F715" s="10">
        <f t="shared" si="3"/>
        <v>45352</v>
      </c>
      <c r="G715" s="11"/>
    </row>
    <row r="716">
      <c r="A716" s="5">
        <f>IFERROR(__xludf.DUMMYFUNCTION("""COMPUTED_VALUE"""),1670.0)</f>
        <v>1670</v>
      </c>
      <c r="B716" s="9">
        <f>IFERROR(__xludf.DUMMYFUNCTION("""COMPUTED_VALUE"""),45361.47972222222)</f>
        <v>45361.47972</v>
      </c>
      <c r="C716" s="5" t="str">
        <f>IFERROR(__xludf.DUMMYFUNCTION("""COMPUTED_VALUE"""),"purchase")</f>
        <v>purchase</v>
      </c>
      <c r="D716" s="10">
        <f t="shared" si="1"/>
        <v>45361</v>
      </c>
      <c r="E716" s="10">
        <f t="shared" si="2"/>
        <v>45355</v>
      </c>
      <c r="F716" s="10">
        <f t="shared" si="3"/>
        <v>45352</v>
      </c>
      <c r="G716" s="11"/>
    </row>
    <row r="717">
      <c r="A717" s="5">
        <f>IFERROR(__xludf.DUMMYFUNCTION("""COMPUTED_VALUE"""),3871.0)</f>
        <v>3871</v>
      </c>
      <c r="B717" s="9">
        <f>IFERROR(__xludf.DUMMYFUNCTION("""COMPUTED_VALUE"""),45361.5209375)</f>
        <v>45361.52094</v>
      </c>
      <c r="C717" s="5" t="str">
        <f>IFERROR(__xludf.DUMMYFUNCTION("""COMPUTED_VALUE"""),"purchase")</f>
        <v>purchase</v>
      </c>
      <c r="D717" s="10">
        <f t="shared" si="1"/>
        <v>45361</v>
      </c>
      <c r="E717" s="10">
        <f t="shared" si="2"/>
        <v>45355</v>
      </c>
      <c r="F717" s="10">
        <f t="shared" si="3"/>
        <v>45352</v>
      </c>
      <c r="G717" s="11"/>
    </row>
    <row r="718">
      <c r="A718" s="5">
        <f>IFERROR(__xludf.DUMMYFUNCTION("""COMPUTED_VALUE"""),6671.0)</f>
        <v>6671</v>
      </c>
      <c r="B718" s="9">
        <f>IFERROR(__xludf.DUMMYFUNCTION("""COMPUTED_VALUE"""),45361.67003472222)</f>
        <v>45361.67003</v>
      </c>
      <c r="C718" s="5" t="str">
        <f>IFERROR(__xludf.DUMMYFUNCTION("""COMPUTED_VALUE"""),"purchase")</f>
        <v>purchase</v>
      </c>
      <c r="D718" s="10">
        <f t="shared" si="1"/>
        <v>45361</v>
      </c>
      <c r="E718" s="10">
        <f t="shared" si="2"/>
        <v>45355</v>
      </c>
      <c r="F718" s="10">
        <f t="shared" si="3"/>
        <v>45352</v>
      </c>
      <c r="G718" s="11"/>
    </row>
    <row r="719">
      <c r="A719" s="5">
        <f>IFERROR(__xludf.DUMMYFUNCTION("""COMPUTED_VALUE"""),5008.0)</f>
        <v>5008</v>
      </c>
      <c r="B719" s="9">
        <f>IFERROR(__xludf.DUMMYFUNCTION("""COMPUTED_VALUE"""),45361.70006944444)</f>
        <v>45361.70007</v>
      </c>
      <c r="C719" s="5" t="str">
        <f>IFERROR(__xludf.DUMMYFUNCTION("""COMPUTED_VALUE"""),"purchase")</f>
        <v>purchase</v>
      </c>
      <c r="D719" s="10">
        <f t="shared" si="1"/>
        <v>45361</v>
      </c>
      <c r="E719" s="10">
        <f t="shared" si="2"/>
        <v>45355</v>
      </c>
      <c r="F719" s="10">
        <f t="shared" si="3"/>
        <v>45352</v>
      </c>
      <c r="G719" s="11"/>
    </row>
    <row r="720">
      <c r="A720" s="5">
        <f>IFERROR(__xludf.DUMMYFUNCTION("""COMPUTED_VALUE"""),4650.0)</f>
        <v>4650</v>
      </c>
      <c r="B720" s="9">
        <f>IFERROR(__xludf.DUMMYFUNCTION("""COMPUTED_VALUE"""),45361.701689814814)</f>
        <v>45361.70169</v>
      </c>
      <c r="C720" s="5" t="str">
        <f>IFERROR(__xludf.DUMMYFUNCTION("""COMPUTED_VALUE"""),"purchase")</f>
        <v>purchase</v>
      </c>
      <c r="D720" s="10">
        <f t="shared" si="1"/>
        <v>45361</v>
      </c>
      <c r="E720" s="10">
        <f t="shared" si="2"/>
        <v>45355</v>
      </c>
      <c r="F720" s="10">
        <f t="shared" si="3"/>
        <v>45352</v>
      </c>
      <c r="G720" s="11"/>
    </row>
    <row r="721">
      <c r="A721" s="5">
        <f>IFERROR(__xludf.DUMMYFUNCTION("""COMPUTED_VALUE"""),2303.0)</f>
        <v>2303</v>
      </c>
      <c r="B721" s="9">
        <f>IFERROR(__xludf.DUMMYFUNCTION("""COMPUTED_VALUE"""),45361.7171875)</f>
        <v>45361.71719</v>
      </c>
      <c r="C721" s="5" t="str">
        <f>IFERROR(__xludf.DUMMYFUNCTION("""COMPUTED_VALUE"""),"purchase")</f>
        <v>purchase</v>
      </c>
      <c r="D721" s="10">
        <f t="shared" si="1"/>
        <v>45361</v>
      </c>
      <c r="E721" s="10">
        <f t="shared" si="2"/>
        <v>45355</v>
      </c>
      <c r="F721" s="10">
        <f t="shared" si="3"/>
        <v>45352</v>
      </c>
      <c r="G721" s="11"/>
    </row>
    <row r="722">
      <c r="A722" s="5">
        <f>IFERROR(__xludf.DUMMYFUNCTION("""COMPUTED_VALUE"""),3783.0)</f>
        <v>3783</v>
      </c>
      <c r="B722" s="9">
        <f>IFERROR(__xludf.DUMMYFUNCTION("""COMPUTED_VALUE"""),45361.77887731481)</f>
        <v>45361.77888</v>
      </c>
      <c r="C722" s="5" t="str">
        <f>IFERROR(__xludf.DUMMYFUNCTION("""COMPUTED_VALUE"""),"purchase")</f>
        <v>purchase</v>
      </c>
      <c r="D722" s="10">
        <f t="shared" si="1"/>
        <v>45361</v>
      </c>
      <c r="E722" s="10">
        <f t="shared" si="2"/>
        <v>45355</v>
      </c>
      <c r="F722" s="10">
        <f t="shared" si="3"/>
        <v>45352</v>
      </c>
      <c r="G722" s="11"/>
    </row>
    <row r="723">
      <c r="A723" s="5">
        <f>IFERROR(__xludf.DUMMYFUNCTION("""COMPUTED_VALUE"""),6475.0)</f>
        <v>6475</v>
      </c>
      <c r="B723" s="9">
        <f>IFERROR(__xludf.DUMMYFUNCTION("""COMPUTED_VALUE"""),45361.806666666664)</f>
        <v>45361.80667</v>
      </c>
      <c r="C723" s="5" t="str">
        <f>IFERROR(__xludf.DUMMYFUNCTION("""COMPUTED_VALUE"""),"purchase")</f>
        <v>purchase</v>
      </c>
      <c r="D723" s="10">
        <f t="shared" si="1"/>
        <v>45361</v>
      </c>
      <c r="E723" s="10">
        <f t="shared" si="2"/>
        <v>45355</v>
      </c>
      <c r="F723" s="10">
        <f t="shared" si="3"/>
        <v>45352</v>
      </c>
      <c r="G723" s="11"/>
    </row>
    <row r="724">
      <c r="A724" s="5">
        <f>IFERROR(__xludf.DUMMYFUNCTION("""COMPUTED_VALUE"""),6772.0)</f>
        <v>6772</v>
      </c>
      <c r="B724" s="9">
        <f>IFERROR(__xludf.DUMMYFUNCTION("""COMPUTED_VALUE"""),45361.82640046296)</f>
        <v>45361.8264</v>
      </c>
      <c r="C724" s="5" t="str">
        <f>IFERROR(__xludf.DUMMYFUNCTION("""COMPUTED_VALUE"""),"purchase")</f>
        <v>purchase</v>
      </c>
      <c r="D724" s="10">
        <f t="shared" si="1"/>
        <v>45361</v>
      </c>
      <c r="E724" s="10">
        <f t="shared" si="2"/>
        <v>45355</v>
      </c>
      <c r="F724" s="10">
        <f t="shared" si="3"/>
        <v>45352</v>
      </c>
      <c r="G724" s="11"/>
    </row>
    <row r="725">
      <c r="A725" s="5">
        <f>IFERROR(__xludf.DUMMYFUNCTION("""COMPUTED_VALUE"""),2895.0)</f>
        <v>2895</v>
      </c>
      <c r="B725" s="9">
        <f>IFERROR(__xludf.DUMMYFUNCTION("""COMPUTED_VALUE"""),45361.95355324074)</f>
        <v>45361.95355</v>
      </c>
      <c r="C725" s="5" t="str">
        <f>IFERROR(__xludf.DUMMYFUNCTION("""COMPUTED_VALUE"""),"purchase")</f>
        <v>purchase</v>
      </c>
      <c r="D725" s="10">
        <f t="shared" si="1"/>
        <v>45361</v>
      </c>
      <c r="E725" s="10">
        <f t="shared" si="2"/>
        <v>45355</v>
      </c>
      <c r="F725" s="10">
        <f t="shared" si="3"/>
        <v>45352</v>
      </c>
      <c r="G725" s="11"/>
    </row>
    <row r="726">
      <c r="A726" s="5">
        <f>IFERROR(__xludf.DUMMYFUNCTION("""COMPUTED_VALUE"""),2532.0)</f>
        <v>2532</v>
      </c>
      <c r="B726" s="9">
        <f>IFERROR(__xludf.DUMMYFUNCTION("""COMPUTED_VALUE"""),45361.972962962966)</f>
        <v>45361.97296</v>
      </c>
      <c r="C726" s="5" t="str">
        <f>IFERROR(__xludf.DUMMYFUNCTION("""COMPUTED_VALUE"""),"purchase")</f>
        <v>purchase</v>
      </c>
      <c r="D726" s="10">
        <f t="shared" si="1"/>
        <v>45361</v>
      </c>
      <c r="E726" s="10">
        <f t="shared" si="2"/>
        <v>45355</v>
      </c>
      <c r="F726" s="10">
        <f t="shared" si="3"/>
        <v>45352</v>
      </c>
      <c r="G726" s="11"/>
    </row>
    <row r="727">
      <c r="A727" s="5">
        <f>IFERROR(__xludf.DUMMYFUNCTION("""COMPUTED_VALUE"""),1812.0)</f>
        <v>1812</v>
      </c>
      <c r="B727" s="9">
        <f>IFERROR(__xludf.DUMMYFUNCTION("""COMPUTED_VALUE"""),45362.00875)</f>
        <v>45362.00875</v>
      </c>
      <c r="C727" s="5" t="str">
        <f>IFERROR(__xludf.DUMMYFUNCTION("""COMPUTED_VALUE"""),"purchase")</f>
        <v>purchase</v>
      </c>
      <c r="D727" s="10">
        <f t="shared" si="1"/>
        <v>45362</v>
      </c>
      <c r="E727" s="10">
        <f t="shared" si="2"/>
        <v>45362</v>
      </c>
      <c r="F727" s="10">
        <f t="shared" si="3"/>
        <v>45352</v>
      </c>
      <c r="G727" s="11"/>
    </row>
    <row r="728">
      <c r="A728" s="5">
        <f>IFERROR(__xludf.DUMMYFUNCTION("""COMPUTED_VALUE"""),812.0)</f>
        <v>812</v>
      </c>
      <c r="B728" s="9">
        <f>IFERROR(__xludf.DUMMYFUNCTION("""COMPUTED_VALUE"""),45362.091412037036)</f>
        <v>45362.09141</v>
      </c>
      <c r="C728" s="5" t="str">
        <f>IFERROR(__xludf.DUMMYFUNCTION("""COMPUTED_VALUE"""),"purchase")</f>
        <v>purchase</v>
      </c>
      <c r="D728" s="10">
        <f t="shared" si="1"/>
        <v>45362</v>
      </c>
      <c r="E728" s="10">
        <f t="shared" si="2"/>
        <v>45362</v>
      </c>
      <c r="F728" s="10">
        <f t="shared" si="3"/>
        <v>45352</v>
      </c>
      <c r="G728" s="11"/>
    </row>
    <row r="729">
      <c r="A729" s="5">
        <f>IFERROR(__xludf.DUMMYFUNCTION("""COMPUTED_VALUE"""),7874.0)</f>
        <v>7874</v>
      </c>
      <c r="B729" s="9">
        <f>IFERROR(__xludf.DUMMYFUNCTION("""COMPUTED_VALUE"""),45362.09457175926)</f>
        <v>45362.09457</v>
      </c>
      <c r="C729" s="5" t="str">
        <f>IFERROR(__xludf.DUMMYFUNCTION("""COMPUTED_VALUE"""),"purchase")</f>
        <v>purchase</v>
      </c>
      <c r="D729" s="10">
        <f t="shared" si="1"/>
        <v>45362</v>
      </c>
      <c r="E729" s="10">
        <f t="shared" si="2"/>
        <v>45362</v>
      </c>
      <c r="F729" s="10">
        <f t="shared" si="3"/>
        <v>45352</v>
      </c>
      <c r="G729" s="11"/>
    </row>
    <row r="730">
      <c r="A730" s="5">
        <f>IFERROR(__xludf.DUMMYFUNCTION("""COMPUTED_VALUE"""),6072.0)</f>
        <v>6072</v>
      </c>
      <c r="B730" s="9">
        <f>IFERROR(__xludf.DUMMYFUNCTION("""COMPUTED_VALUE"""),45362.16315972222)</f>
        <v>45362.16316</v>
      </c>
      <c r="C730" s="5" t="str">
        <f>IFERROR(__xludf.DUMMYFUNCTION("""COMPUTED_VALUE"""),"purchase")</f>
        <v>purchase</v>
      </c>
      <c r="D730" s="10">
        <f t="shared" si="1"/>
        <v>45362</v>
      </c>
      <c r="E730" s="10">
        <f t="shared" si="2"/>
        <v>45362</v>
      </c>
      <c r="F730" s="10">
        <f t="shared" si="3"/>
        <v>45352</v>
      </c>
      <c r="G730" s="11"/>
    </row>
    <row r="731">
      <c r="A731" s="5">
        <f>IFERROR(__xludf.DUMMYFUNCTION("""COMPUTED_VALUE"""),3456.0)</f>
        <v>3456</v>
      </c>
      <c r="B731" s="9">
        <f>IFERROR(__xludf.DUMMYFUNCTION("""COMPUTED_VALUE"""),45362.31550925926)</f>
        <v>45362.31551</v>
      </c>
      <c r="C731" s="5" t="str">
        <f>IFERROR(__xludf.DUMMYFUNCTION("""COMPUTED_VALUE"""),"purchase")</f>
        <v>purchase</v>
      </c>
      <c r="D731" s="10">
        <f t="shared" si="1"/>
        <v>45362</v>
      </c>
      <c r="E731" s="10">
        <f t="shared" si="2"/>
        <v>45362</v>
      </c>
      <c r="F731" s="10">
        <f t="shared" si="3"/>
        <v>45352</v>
      </c>
      <c r="G731" s="11"/>
    </row>
    <row r="732">
      <c r="A732" s="5">
        <f>IFERROR(__xludf.DUMMYFUNCTION("""COMPUTED_VALUE"""),7480.0)</f>
        <v>7480</v>
      </c>
      <c r="B732" s="9">
        <f>IFERROR(__xludf.DUMMYFUNCTION("""COMPUTED_VALUE"""),45362.35170138889)</f>
        <v>45362.3517</v>
      </c>
      <c r="C732" s="5" t="str">
        <f>IFERROR(__xludf.DUMMYFUNCTION("""COMPUTED_VALUE"""),"purchase")</f>
        <v>purchase</v>
      </c>
      <c r="D732" s="10">
        <f t="shared" si="1"/>
        <v>45362</v>
      </c>
      <c r="E732" s="10">
        <f t="shared" si="2"/>
        <v>45362</v>
      </c>
      <c r="F732" s="10">
        <f t="shared" si="3"/>
        <v>45352</v>
      </c>
      <c r="G732" s="11"/>
    </row>
    <row r="733">
      <c r="A733" s="5">
        <f>IFERROR(__xludf.DUMMYFUNCTION("""COMPUTED_VALUE"""),6788.0)</f>
        <v>6788</v>
      </c>
      <c r="B733" s="9">
        <f>IFERROR(__xludf.DUMMYFUNCTION("""COMPUTED_VALUE"""),45362.46953703704)</f>
        <v>45362.46954</v>
      </c>
      <c r="C733" s="5" t="str">
        <f>IFERROR(__xludf.DUMMYFUNCTION("""COMPUTED_VALUE"""),"purchase")</f>
        <v>purchase</v>
      </c>
      <c r="D733" s="10">
        <f t="shared" si="1"/>
        <v>45362</v>
      </c>
      <c r="E733" s="10">
        <f t="shared" si="2"/>
        <v>45362</v>
      </c>
      <c r="F733" s="10">
        <f t="shared" si="3"/>
        <v>45352</v>
      </c>
      <c r="G733" s="11"/>
    </row>
    <row r="734">
      <c r="A734" s="5">
        <f>IFERROR(__xludf.DUMMYFUNCTION("""COMPUTED_VALUE"""),6919.0)</f>
        <v>6919</v>
      </c>
      <c r="B734" s="9">
        <f>IFERROR(__xludf.DUMMYFUNCTION("""COMPUTED_VALUE"""),45362.477800925924)</f>
        <v>45362.4778</v>
      </c>
      <c r="C734" s="5" t="str">
        <f>IFERROR(__xludf.DUMMYFUNCTION("""COMPUTED_VALUE"""),"purchase")</f>
        <v>purchase</v>
      </c>
      <c r="D734" s="10">
        <f t="shared" si="1"/>
        <v>45362</v>
      </c>
      <c r="E734" s="10">
        <f t="shared" si="2"/>
        <v>45362</v>
      </c>
      <c r="F734" s="10">
        <f t="shared" si="3"/>
        <v>45352</v>
      </c>
      <c r="G734" s="11"/>
    </row>
    <row r="735">
      <c r="A735" s="5">
        <f>IFERROR(__xludf.DUMMYFUNCTION("""COMPUTED_VALUE"""),2174.0)</f>
        <v>2174</v>
      </c>
      <c r="B735" s="9">
        <f>IFERROR(__xludf.DUMMYFUNCTION("""COMPUTED_VALUE"""),45362.51247685185)</f>
        <v>45362.51248</v>
      </c>
      <c r="C735" s="5" t="str">
        <f>IFERROR(__xludf.DUMMYFUNCTION("""COMPUTED_VALUE"""),"purchase")</f>
        <v>purchase</v>
      </c>
      <c r="D735" s="10">
        <f t="shared" si="1"/>
        <v>45362</v>
      </c>
      <c r="E735" s="10">
        <f t="shared" si="2"/>
        <v>45362</v>
      </c>
      <c r="F735" s="10">
        <f t="shared" si="3"/>
        <v>45352</v>
      </c>
      <c r="G735" s="11"/>
    </row>
    <row r="736">
      <c r="A736" s="5">
        <f>IFERROR(__xludf.DUMMYFUNCTION("""COMPUTED_VALUE"""),2630.0)</f>
        <v>2630</v>
      </c>
      <c r="B736" s="9">
        <f>IFERROR(__xludf.DUMMYFUNCTION("""COMPUTED_VALUE"""),45362.673796296294)</f>
        <v>45362.6738</v>
      </c>
      <c r="C736" s="5" t="str">
        <f>IFERROR(__xludf.DUMMYFUNCTION("""COMPUTED_VALUE"""),"purchase")</f>
        <v>purchase</v>
      </c>
      <c r="D736" s="10">
        <f t="shared" si="1"/>
        <v>45362</v>
      </c>
      <c r="E736" s="10">
        <f t="shared" si="2"/>
        <v>45362</v>
      </c>
      <c r="F736" s="10">
        <f t="shared" si="3"/>
        <v>45352</v>
      </c>
      <c r="G736" s="11"/>
    </row>
    <row r="737">
      <c r="A737" s="5">
        <f>IFERROR(__xludf.DUMMYFUNCTION("""COMPUTED_VALUE"""),6574.0)</f>
        <v>6574</v>
      </c>
      <c r="B737" s="9">
        <f>IFERROR(__xludf.DUMMYFUNCTION("""COMPUTED_VALUE"""),45362.74554398148)</f>
        <v>45362.74554</v>
      </c>
      <c r="C737" s="5" t="str">
        <f>IFERROR(__xludf.DUMMYFUNCTION("""COMPUTED_VALUE"""),"purchase")</f>
        <v>purchase</v>
      </c>
      <c r="D737" s="10">
        <f t="shared" si="1"/>
        <v>45362</v>
      </c>
      <c r="E737" s="10">
        <f t="shared" si="2"/>
        <v>45362</v>
      </c>
      <c r="F737" s="10">
        <f t="shared" si="3"/>
        <v>45352</v>
      </c>
      <c r="G737" s="11"/>
    </row>
    <row r="738">
      <c r="A738" s="5">
        <f>IFERROR(__xludf.DUMMYFUNCTION("""COMPUTED_VALUE"""),5013.0)</f>
        <v>5013</v>
      </c>
      <c r="B738" s="9">
        <f>IFERROR(__xludf.DUMMYFUNCTION("""COMPUTED_VALUE"""),45362.9759375)</f>
        <v>45362.97594</v>
      </c>
      <c r="C738" s="5" t="str">
        <f>IFERROR(__xludf.DUMMYFUNCTION("""COMPUTED_VALUE"""),"purchase")</f>
        <v>purchase</v>
      </c>
      <c r="D738" s="10">
        <f t="shared" si="1"/>
        <v>45362</v>
      </c>
      <c r="E738" s="10">
        <f t="shared" si="2"/>
        <v>45362</v>
      </c>
      <c r="F738" s="10">
        <f t="shared" si="3"/>
        <v>45352</v>
      </c>
      <c r="G738" s="11"/>
    </row>
    <row r="739">
      <c r="A739" s="5">
        <f>IFERROR(__xludf.DUMMYFUNCTION("""COMPUTED_VALUE"""),354.0)</f>
        <v>354</v>
      </c>
      <c r="B739" s="9">
        <f>IFERROR(__xludf.DUMMYFUNCTION("""COMPUTED_VALUE"""),45363.05633101852)</f>
        <v>45363.05633</v>
      </c>
      <c r="C739" s="5" t="str">
        <f>IFERROR(__xludf.DUMMYFUNCTION("""COMPUTED_VALUE"""),"purchase")</f>
        <v>purchase</v>
      </c>
      <c r="D739" s="10">
        <f t="shared" si="1"/>
        <v>45363</v>
      </c>
      <c r="E739" s="10">
        <f t="shared" si="2"/>
        <v>45362</v>
      </c>
      <c r="F739" s="10">
        <f t="shared" si="3"/>
        <v>45352</v>
      </c>
      <c r="G739" s="11"/>
    </row>
    <row r="740">
      <c r="A740" s="5">
        <f>IFERROR(__xludf.DUMMYFUNCTION("""COMPUTED_VALUE"""),1353.0)</f>
        <v>1353</v>
      </c>
      <c r="B740" s="9">
        <f>IFERROR(__xludf.DUMMYFUNCTION("""COMPUTED_VALUE"""),45363.11313657407)</f>
        <v>45363.11314</v>
      </c>
      <c r="C740" s="5" t="str">
        <f>IFERROR(__xludf.DUMMYFUNCTION("""COMPUTED_VALUE"""),"purchase")</f>
        <v>purchase</v>
      </c>
      <c r="D740" s="10">
        <f t="shared" si="1"/>
        <v>45363</v>
      </c>
      <c r="E740" s="10">
        <f t="shared" si="2"/>
        <v>45362</v>
      </c>
      <c r="F740" s="10">
        <f t="shared" si="3"/>
        <v>45352</v>
      </c>
      <c r="G740" s="11"/>
    </row>
    <row r="741">
      <c r="A741" s="5">
        <f>IFERROR(__xludf.DUMMYFUNCTION("""COMPUTED_VALUE"""),6050.0)</f>
        <v>6050</v>
      </c>
      <c r="B741" s="9">
        <f>IFERROR(__xludf.DUMMYFUNCTION("""COMPUTED_VALUE"""),45363.20949074074)</f>
        <v>45363.20949</v>
      </c>
      <c r="C741" s="5" t="str">
        <f>IFERROR(__xludf.DUMMYFUNCTION("""COMPUTED_VALUE"""),"purchase")</f>
        <v>purchase</v>
      </c>
      <c r="D741" s="10">
        <f t="shared" si="1"/>
        <v>45363</v>
      </c>
      <c r="E741" s="10">
        <f t="shared" si="2"/>
        <v>45362</v>
      </c>
      <c r="F741" s="10">
        <f t="shared" si="3"/>
        <v>45352</v>
      </c>
      <c r="G741" s="11"/>
    </row>
    <row r="742">
      <c r="A742" s="5">
        <f>IFERROR(__xludf.DUMMYFUNCTION("""COMPUTED_VALUE"""),4317.0)</f>
        <v>4317</v>
      </c>
      <c r="B742" s="9">
        <f>IFERROR(__xludf.DUMMYFUNCTION("""COMPUTED_VALUE"""),45363.494421296295)</f>
        <v>45363.49442</v>
      </c>
      <c r="C742" s="5" t="str">
        <f>IFERROR(__xludf.DUMMYFUNCTION("""COMPUTED_VALUE"""),"purchase")</f>
        <v>purchase</v>
      </c>
      <c r="D742" s="10">
        <f t="shared" si="1"/>
        <v>45363</v>
      </c>
      <c r="E742" s="10">
        <f t="shared" si="2"/>
        <v>45362</v>
      </c>
      <c r="F742" s="10">
        <f t="shared" si="3"/>
        <v>45352</v>
      </c>
      <c r="G742" s="11"/>
    </row>
    <row r="743">
      <c r="A743" s="5">
        <f>IFERROR(__xludf.DUMMYFUNCTION("""COMPUTED_VALUE"""),4634.0)</f>
        <v>4634</v>
      </c>
      <c r="B743" s="9">
        <f>IFERROR(__xludf.DUMMYFUNCTION("""COMPUTED_VALUE"""),45363.74594907407)</f>
        <v>45363.74595</v>
      </c>
      <c r="C743" s="5" t="str">
        <f>IFERROR(__xludf.DUMMYFUNCTION("""COMPUTED_VALUE"""),"purchase")</f>
        <v>purchase</v>
      </c>
      <c r="D743" s="10">
        <f t="shared" si="1"/>
        <v>45363</v>
      </c>
      <c r="E743" s="10">
        <f t="shared" si="2"/>
        <v>45362</v>
      </c>
      <c r="F743" s="10">
        <f t="shared" si="3"/>
        <v>45352</v>
      </c>
      <c r="G743" s="11"/>
    </row>
    <row r="744">
      <c r="A744" s="5">
        <f>IFERROR(__xludf.DUMMYFUNCTION("""COMPUTED_VALUE"""),5358.0)</f>
        <v>5358</v>
      </c>
      <c r="B744" s="9">
        <f>IFERROR(__xludf.DUMMYFUNCTION("""COMPUTED_VALUE"""),45363.88413194445)</f>
        <v>45363.88413</v>
      </c>
      <c r="C744" s="5" t="str">
        <f>IFERROR(__xludf.DUMMYFUNCTION("""COMPUTED_VALUE"""),"purchase")</f>
        <v>purchase</v>
      </c>
      <c r="D744" s="10">
        <f t="shared" si="1"/>
        <v>45363</v>
      </c>
      <c r="E744" s="10">
        <f t="shared" si="2"/>
        <v>45362</v>
      </c>
      <c r="F744" s="10">
        <f t="shared" si="3"/>
        <v>45352</v>
      </c>
      <c r="G744" s="11"/>
    </row>
    <row r="745">
      <c r="A745" s="5">
        <f>IFERROR(__xludf.DUMMYFUNCTION("""COMPUTED_VALUE"""),1222.0)</f>
        <v>1222</v>
      </c>
      <c r="B745" s="9">
        <f>IFERROR(__xludf.DUMMYFUNCTION("""COMPUTED_VALUE"""),45363.90542824074)</f>
        <v>45363.90543</v>
      </c>
      <c r="C745" s="5" t="str">
        <f>IFERROR(__xludf.DUMMYFUNCTION("""COMPUTED_VALUE"""),"purchase")</f>
        <v>purchase</v>
      </c>
      <c r="D745" s="10">
        <f t="shared" si="1"/>
        <v>45363</v>
      </c>
      <c r="E745" s="10">
        <f t="shared" si="2"/>
        <v>45362</v>
      </c>
      <c r="F745" s="10">
        <f t="shared" si="3"/>
        <v>45352</v>
      </c>
      <c r="G745" s="11"/>
    </row>
    <row r="746">
      <c r="A746" s="5">
        <f>IFERROR(__xludf.DUMMYFUNCTION("""COMPUTED_VALUE"""),7710.0)</f>
        <v>7710</v>
      </c>
      <c r="B746" s="9">
        <f>IFERROR(__xludf.DUMMYFUNCTION("""COMPUTED_VALUE"""),45364.048159722224)</f>
        <v>45364.04816</v>
      </c>
      <c r="C746" s="5" t="str">
        <f>IFERROR(__xludf.DUMMYFUNCTION("""COMPUTED_VALUE"""),"purchase")</f>
        <v>purchase</v>
      </c>
      <c r="D746" s="10">
        <f t="shared" si="1"/>
        <v>45364</v>
      </c>
      <c r="E746" s="10">
        <f t="shared" si="2"/>
        <v>45362</v>
      </c>
      <c r="F746" s="10">
        <f t="shared" si="3"/>
        <v>45352</v>
      </c>
      <c r="G746" s="11"/>
    </row>
    <row r="747">
      <c r="A747" s="5">
        <f>IFERROR(__xludf.DUMMYFUNCTION("""COMPUTED_VALUE"""),5248.0)</f>
        <v>5248</v>
      </c>
      <c r="B747" s="9">
        <f>IFERROR(__xludf.DUMMYFUNCTION("""COMPUTED_VALUE"""),45364.11577546296)</f>
        <v>45364.11578</v>
      </c>
      <c r="C747" s="5" t="str">
        <f>IFERROR(__xludf.DUMMYFUNCTION("""COMPUTED_VALUE"""),"purchase")</f>
        <v>purchase</v>
      </c>
      <c r="D747" s="10">
        <f t="shared" si="1"/>
        <v>45364</v>
      </c>
      <c r="E747" s="10">
        <f t="shared" si="2"/>
        <v>45362</v>
      </c>
      <c r="F747" s="10">
        <f t="shared" si="3"/>
        <v>45352</v>
      </c>
      <c r="G747" s="11"/>
    </row>
    <row r="748">
      <c r="A748" s="5">
        <f>IFERROR(__xludf.DUMMYFUNCTION("""COMPUTED_VALUE"""),3124.0)</f>
        <v>3124</v>
      </c>
      <c r="B748" s="9">
        <f>IFERROR(__xludf.DUMMYFUNCTION("""COMPUTED_VALUE"""),45364.14326388889)</f>
        <v>45364.14326</v>
      </c>
      <c r="C748" s="5" t="str">
        <f>IFERROR(__xludf.DUMMYFUNCTION("""COMPUTED_VALUE"""),"purchase")</f>
        <v>purchase</v>
      </c>
      <c r="D748" s="10">
        <f t="shared" si="1"/>
        <v>45364</v>
      </c>
      <c r="E748" s="10">
        <f t="shared" si="2"/>
        <v>45362</v>
      </c>
      <c r="F748" s="10">
        <f t="shared" si="3"/>
        <v>45352</v>
      </c>
      <c r="G748" s="11"/>
    </row>
    <row r="749">
      <c r="A749" s="5">
        <f>IFERROR(__xludf.DUMMYFUNCTION("""COMPUTED_VALUE"""),6429.0)</f>
        <v>6429</v>
      </c>
      <c r="B749" s="9">
        <f>IFERROR(__xludf.DUMMYFUNCTION("""COMPUTED_VALUE"""),45364.1547337963)</f>
        <v>45364.15473</v>
      </c>
      <c r="C749" s="5" t="str">
        <f>IFERROR(__xludf.DUMMYFUNCTION("""COMPUTED_VALUE"""),"purchase")</f>
        <v>purchase</v>
      </c>
      <c r="D749" s="10">
        <f t="shared" si="1"/>
        <v>45364</v>
      </c>
      <c r="E749" s="10">
        <f t="shared" si="2"/>
        <v>45362</v>
      </c>
      <c r="F749" s="10">
        <f t="shared" si="3"/>
        <v>45352</v>
      </c>
      <c r="G749" s="11"/>
    </row>
    <row r="750">
      <c r="A750" s="5">
        <f>IFERROR(__xludf.DUMMYFUNCTION("""COMPUTED_VALUE"""),5580.0)</f>
        <v>5580</v>
      </c>
      <c r="B750" s="9">
        <f>IFERROR(__xludf.DUMMYFUNCTION("""COMPUTED_VALUE"""),45364.15866898148)</f>
        <v>45364.15867</v>
      </c>
      <c r="C750" s="5" t="str">
        <f>IFERROR(__xludf.DUMMYFUNCTION("""COMPUTED_VALUE"""),"purchase")</f>
        <v>purchase</v>
      </c>
      <c r="D750" s="10">
        <f t="shared" si="1"/>
        <v>45364</v>
      </c>
      <c r="E750" s="10">
        <f t="shared" si="2"/>
        <v>45362</v>
      </c>
      <c r="F750" s="10">
        <f t="shared" si="3"/>
        <v>45352</v>
      </c>
      <c r="G750" s="11"/>
    </row>
    <row r="751">
      <c r="A751" s="5">
        <f>IFERROR(__xludf.DUMMYFUNCTION("""COMPUTED_VALUE"""),878.0)</f>
        <v>878</v>
      </c>
      <c r="B751" s="9">
        <f>IFERROR(__xludf.DUMMYFUNCTION("""COMPUTED_VALUE"""),45364.222604166665)</f>
        <v>45364.2226</v>
      </c>
      <c r="C751" s="5" t="str">
        <f>IFERROR(__xludf.DUMMYFUNCTION("""COMPUTED_VALUE"""),"purchase")</f>
        <v>purchase</v>
      </c>
      <c r="D751" s="10">
        <f t="shared" si="1"/>
        <v>45364</v>
      </c>
      <c r="E751" s="10">
        <f t="shared" si="2"/>
        <v>45362</v>
      </c>
      <c r="F751" s="10">
        <f t="shared" si="3"/>
        <v>45352</v>
      </c>
      <c r="G751" s="11"/>
    </row>
    <row r="752">
      <c r="A752" s="5">
        <f>IFERROR(__xludf.DUMMYFUNCTION("""COMPUTED_VALUE"""),5892.0)</f>
        <v>5892</v>
      </c>
      <c r="B752" s="9">
        <f>IFERROR(__xludf.DUMMYFUNCTION("""COMPUTED_VALUE"""),45364.23835648148)</f>
        <v>45364.23836</v>
      </c>
      <c r="C752" s="5" t="str">
        <f>IFERROR(__xludf.DUMMYFUNCTION("""COMPUTED_VALUE"""),"purchase")</f>
        <v>purchase</v>
      </c>
      <c r="D752" s="10">
        <f t="shared" si="1"/>
        <v>45364</v>
      </c>
      <c r="E752" s="10">
        <f t="shared" si="2"/>
        <v>45362</v>
      </c>
      <c r="F752" s="10">
        <f t="shared" si="3"/>
        <v>45352</v>
      </c>
      <c r="G752" s="11"/>
    </row>
    <row r="753">
      <c r="A753" s="5">
        <f>IFERROR(__xludf.DUMMYFUNCTION("""COMPUTED_VALUE"""),4946.0)</f>
        <v>4946</v>
      </c>
      <c r="B753" s="9">
        <f>IFERROR(__xludf.DUMMYFUNCTION("""COMPUTED_VALUE"""),45364.28391203703)</f>
        <v>45364.28391</v>
      </c>
      <c r="C753" s="5" t="str">
        <f>IFERROR(__xludf.DUMMYFUNCTION("""COMPUTED_VALUE"""),"purchase")</f>
        <v>purchase</v>
      </c>
      <c r="D753" s="10">
        <f t="shared" si="1"/>
        <v>45364</v>
      </c>
      <c r="E753" s="10">
        <f t="shared" si="2"/>
        <v>45362</v>
      </c>
      <c r="F753" s="10">
        <f t="shared" si="3"/>
        <v>45352</v>
      </c>
      <c r="G753" s="11"/>
    </row>
    <row r="754">
      <c r="A754" s="5">
        <f>IFERROR(__xludf.DUMMYFUNCTION("""COMPUTED_VALUE"""),7864.0)</f>
        <v>7864</v>
      </c>
      <c r="B754" s="9">
        <f>IFERROR(__xludf.DUMMYFUNCTION("""COMPUTED_VALUE"""),45364.336689814816)</f>
        <v>45364.33669</v>
      </c>
      <c r="C754" s="5" t="str">
        <f>IFERROR(__xludf.DUMMYFUNCTION("""COMPUTED_VALUE"""),"purchase")</f>
        <v>purchase</v>
      </c>
      <c r="D754" s="10">
        <f t="shared" si="1"/>
        <v>45364</v>
      </c>
      <c r="E754" s="10">
        <f t="shared" si="2"/>
        <v>45362</v>
      </c>
      <c r="F754" s="10">
        <f t="shared" si="3"/>
        <v>45352</v>
      </c>
      <c r="G754" s="11"/>
    </row>
    <row r="755">
      <c r="A755" s="5">
        <f>IFERROR(__xludf.DUMMYFUNCTION("""COMPUTED_VALUE"""),1336.0)</f>
        <v>1336</v>
      </c>
      <c r="B755" s="9">
        <f>IFERROR(__xludf.DUMMYFUNCTION("""COMPUTED_VALUE"""),45364.48119212963)</f>
        <v>45364.48119</v>
      </c>
      <c r="C755" s="5" t="str">
        <f>IFERROR(__xludf.DUMMYFUNCTION("""COMPUTED_VALUE"""),"purchase")</f>
        <v>purchase</v>
      </c>
      <c r="D755" s="10">
        <f t="shared" si="1"/>
        <v>45364</v>
      </c>
      <c r="E755" s="10">
        <f t="shared" si="2"/>
        <v>45362</v>
      </c>
      <c r="F755" s="10">
        <f t="shared" si="3"/>
        <v>45352</v>
      </c>
      <c r="G755" s="11"/>
    </row>
    <row r="756">
      <c r="A756" s="5">
        <f>IFERROR(__xludf.DUMMYFUNCTION("""COMPUTED_VALUE"""),4405.0)</f>
        <v>4405</v>
      </c>
      <c r="B756" s="9">
        <f>IFERROR(__xludf.DUMMYFUNCTION("""COMPUTED_VALUE"""),45364.57324074074)</f>
        <v>45364.57324</v>
      </c>
      <c r="C756" s="5" t="str">
        <f>IFERROR(__xludf.DUMMYFUNCTION("""COMPUTED_VALUE"""),"purchase")</f>
        <v>purchase</v>
      </c>
      <c r="D756" s="10">
        <f t="shared" si="1"/>
        <v>45364</v>
      </c>
      <c r="E756" s="10">
        <f t="shared" si="2"/>
        <v>45362</v>
      </c>
      <c r="F756" s="10">
        <f t="shared" si="3"/>
        <v>45352</v>
      </c>
      <c r="G756" s="11"/>
    </row>
    <row r="757">
      <c r="A757" s="5">
        <f>IFERROR(__xludf.DUMMYFUNCTION("""COMPUTED_VALUE"""),880.0)</f>
        <v>880</v>
      </c>
      <c r="B757" s="9">
        <f>IFERROR(__xludf.DUMMYFUNCTION("""COMPUTED_VALUE"""),45364.621886574074)</f>
        <v>45364.62189</v>
      </c>
      <c r="C757" s="5" t="str">
        <f>IFERROR(__xludf.DUMMYFUNCTION("""COMPUTED_VALUE"""),"purchase")</f>
        <v>purchase</v>
      </c>
      <c r="D757" s="10">
        <f t="shared" si="1"/>
        <v>45364</v>
      </c>
      <c r="E757" s="10">
        <f t="shared" si="2"/>
        <v>45362</v>
      </c>
      <c r="F757" s="10">
        <f t="shared" si="3"/>
        <v>45352</v>
      </c>
      <c r="G757" s="11"/>
    </row>
    <row r="758">
      <c r="A758" s="5">
        <f>IFERROR(__xludf.DUMMYFUNCTION("""COMPUTED_VALUE"""),839.0)</f>
        <v>839</v>
      </c>
      <c r="B758" s="9">
        <f>IFERROR(__xludf.DUMMYFUNCTION("""COMPUTED_VALUE"""),45364.65118055556)</f>
        <v>45364.65118</v>
      </c>
      <c r="C758" s="5" t="str">
        <f>IFERROR(__xludf.DUMMYFUNCTION("""COMPUTED_VALUE"""),"purchase")</f>
        <v>purchase</v>
      </c>
      <c r="D758" s="10">
        <f t="shared" si="1"/>
        <v>45364</v>
      </c>
      <c r="E758" s="10">
        <f t="shared" si="2"/>
        <v>45362</v>
      </c>
      <c r="F758" s="10">
        <f t="shared" si="3"/>
        <v>45352</v>
      </c>
      <c r="G758" s="11"/>
    </row>
    <row r="759">
      <c r="A759" s="5">
        <f>IFERROR(__xludf.DUMMYFUNCTION("""COMPUTED_VALUE"""),2499.0)</f>
        <v>2499</v>
      </c>
      <c r="B759" s="9">
        <f>IFERROR(__xludf.DUMMYFUNCTION("""COMPUTED_VALUE"""),45364.69719907407)</f>
        <v>45364.6972</v>
      </c>
      <c r="C759" s="5" t="str">
        <f>IFERROR(__xludf.DUMMYFUNCTION("""COMPUTED_VALUE"""),"purchase")</f>
        <v>purchase</v>
      </c>
      <c r="D759" s="10">
        <f t="shared" si="1"/>
        <v>45364</v>
      </c>
      <c r="E759" s="10">
        <f t="shared" si="2"/>
        <v>45362</v>
      </c>
      <c r="F759" s="10">
        <f t="shared" si="3"/>
        <v>45352</v>
      </c>
      <c r="G759" s="11"/>
    </row>
    <row r="760">
      <c r="A760" s="5">
        <f>IFERROR(__xludf.DUMMYFUNCTION("""COMPUTED_VALUE"""),4371.0)</f>
        <v>4371</v>
      </c>
      <c r="B760" s="9">
        <f>IFERROR(__xludf.DUMMYFUNCTION("""COMPUTED_VALUE"""),45364.717199074075)</f>
        <v>45364.7172</v>
      </c>
      <c r="C760" s="5" t="str">
        <f>IFERROR(__xludf.DUMMYFUNCTION("""COMPUTED_VALUE"""),"purchase")</f>
        <v>purchase</v>
      </c>
      <c r="D760" s="10">
        <f t="shared" si="1"/>
        <v>45364</v>
      </c>
      <c r="E760" s="10">
        <f t="shared" si="2"/>
        <v>45362</v>
      </c>
      <c r="F760" s="10">
        <f t="shared" si="3"/>
        <v>45352</v>
      </c>
      <c r="G760" s="11"/>
    </row>
    <row r="761">
      <c r="A761" s="5">
        <f>IFERROR(__xludf.DUMMYFUNCTION("""COMPUTED_VALUE"""),7044.0)</f>
        <v>7044</v>
      </c>
      <c r="B761" s="9">
        <f>IFERROR(__xludf.DUMMYFUNCTION("""COMPUTED_VALUE"""),45364.88111111111)</f>
        <v>45364.88111</v>
      </c>
      <c r="C761" s="5" t="str">
        <f>IFERROR(__xludf.DUMMYFUNCTION("""COMPUTED_VALUE"""),"purchase")</f>
        <v>purchase</v>
      </c>
      <c r="D761" s="10">
        <f t="shared" si="1"/>
        <v>45364</v>
      </c>
      <c r="E761" s="10">
        <f t="shared" si="2"/>
        <v>45362</v>
      </c>
      <c r="F761" s="10">
        <f t="shared" si="3"/>
        <v>45352</v>
      </c>
      <c r="G761" s="11"/>
    </row>
    <row r="762">
      <c r="A762" s="5">
        <f>IFERROR(__xludf.DUMMYFUNCTION("""COMPUTED_VALUE"""),7875.0)</f>
        <v>7875</v>
      </c>
      <c r="B762" s="9">
        <f>IFERROR(__xludf.DUMMYFUNCTION("""COMPUTED_VALUE"""),45365.130219907405)</f>
        <v>45365.13022</v>
      </c>
      <c r="C762" s="5" t="str">
        <f>IFERROR(__xludf.DUMMYFUNCTION("""COMPUTED_VALUE"""),"purchase")</f>
        <v>purchase</v>
      </c>
      <c r="D762" s="10">
        <f t="shared" si="1"/>
        <v>45365</v>
      </c>
      <c r="E762" s="10">
        <f t="shared" si="2"/>
        <v>45362</v>
      </c>
      <c r="F762" s="10">
        <f t="shared" si="3"/>
        <v>45352</v>
      </c>
      <c r="G762" s="11"/>
    </row>
    <row r="763">
      <c r="A763" s="5">
        <f>IFERROR(__xludf.DUMMYFUNCTION("""COMPUTED_VALUE"""),322.0)</f>
        <v>322</v>
      </c>
      <c r="B763" s="9">
        <f>IFERROR(__xludf.DUMMYFUNCTION("""COMPUTED_VALUE"""),45365.214479166665)</f>
        <v>45365.21448</v>
      </c>
      <c r="C763" s="5" t="str">
        <f>IFERROR(__xludf.DUMMYFUNCTION("""COMPUTED_VALUE"""),"purchase")</f>
        <v>purchase</v>
      </c>
      <c r="D763" s="10">
        <f t="shared" si="1"/>
        <v>45365</v>
      </c>
      <c r="E763" s="10">
        <f t="shared" si="2"/>
        <v>45362</v>
      </c>
      <c r="F763" s="10">
        <f t="shared" si="3"/>
        <v>45352</v>
      </c>
      <c r="G763" s="11"/>
    </row>
    <row r="764">
      <c r="A764" s="5">
        <f>IFERROR(__xludf.DUMMYFUNCTION("""COMPUTED_VALUE"""),4356.0)</f>
        <v>4356</v>
      </c>
      <c r="B764" s="9">
        <f>IFERROR(__xludf.DUMMYFUNCTION("""COMPUTED_VALUE"""),45365.2534375)</f>
        <v>45365.25344</v>
      </c>
      <c r="C764" s="5" t="str">
        <f>IFERROR(__xludf.DUMMYFUNCTION("""COMPUTED_VALUE"""),"purchase")</f>
        <v>purchase</v>
      </c>
      <c r="D764" s="10">
        <f t="shared" si="1"/>
        <v>45365</v>
      </c>
      <c r="E764" s="10">
        <f t="shared" si="2"/>
        <v>45362</v>
      </c>
      <c r="F764" s="10">
        <f t="shared" si="3"/>
        <v>45352</v>
      </c>
      <c r="G764" s="11"/>
    </row>
    <row r="765">
      <c r="A765" s="5">
        <f>IFERROR(__xludf.DUMMYFUNCTION("""COMPUTED_VALUE"""),1403.0)</f>
        <v>1403</v>
      </c>
      <c r="B765" s="9">
        <f>IFERROR(__xludf.DUMMYFUNCTION("""COMPUTED_VALUE"""),45365.27855324074)</f>
        <v>45365.27855</v>
      </c>
      <c r="C765" s="5" t="str">
        <f>IFERROR(__xludf.DUMMYFUNCTION("""COMPUTED_VALUE"""),"purchase")</f>
        <v>purchase</v>
      </c>
      <c r="D765" s="10">
        <f t="shared" si="1"/>
        <v>45365</v>
      </c>
      <c r="E765" s="10">
        <f t="shared" si="2"/>
        <v>45362</v>
      </c>
      <c r="F765" s="10">
        <f t="shared" si="3"/>
        <v>45352</v>
      </c>
      <c r="G765" s="11"/>
    </row>
    <row r="766">
      <c r="A766" s="5">
        <f>IFERROR(__xludf.DUMMYFUNCTION("""COMPUTED_VALUE"""),1787.0)</f>
        <v>1787</v>
      </c>
      <c r="B766" s="9">
        <f>IFERROR(__xludf.DUMMYFUNCTION("""COMPUTED_VALUE"""),45365.313043981485)</f>
        <v>45365.31304</v>
      </c>
      <c r="C766" s="5" t="str">
        <f>IFERROR(__xludf.DUMMYFUNCTION("""COMPUTED_VALUE"""),"purchase")</f>
        <v>purchase</v>
      </c>
      <c r="D766" s="10">
        <f t="shared" si="1"/>
        <v>45365</v>
      </c>
      <c r="E766" s="10">
        <f t="shared" si="2"/>
        <v>45362</v>
      </c>
      <c r="F766" s="10">
        <f t="shared" si="3"/>
        <v>45352</v>
      </c>
      <c r="G766" s="11"/>
    </row>
    <row r="767">
      <c r="A767" s="5">
        <f>IFERROR(__xludf.DUMMYFUNCTION("""COMPUTED_VALUE"""),6247.0)</f>
        <v>6247</v>
      </c>
      <c r="B767" s="9">
        <f>IFERROR(__xludf.DUMMYFUNCTION("""COMPUTED_VALUE"""),45365.32109953704)</f>
        <v>45365.3211</v>
      </c>
      <c r="C767" s="5" t="str">
        <f>IFERROR(__xludf.DUMMYFUNCTION("""COMPUTED_VALUE"""),"purchase")</f>
        <v>purchase</v>
      </c>
      <c r="D767" s="10">
        <f t="shared" si="1"/>
        <v>45365</v>
      </c>
      <c r="E767" s="10">
        <f t="shared" si="2"/>
        <v>45362</v>
      </c>
      <c r="F767" s="10">
        <f t="shared" si="3"/>
        <v>45352</v>
      </c>
      <c r="G767" s="11"/>
    </row>
    <row r="768">
      <c r="A768" s="5">
        <f>IFERROR(__xludf.DUMMYFUNCTION("""COMPUTED_VALUE"""),368.0)</f>
        <v>368</v>
      </c>
      <c r="B768" s="9">
        <f>IFERROR(__xludf.DUMMYFUNCTION("""COMPUTED_VALUE"""),45365.39939814815)</f>
        <v>45365.3994</v>
      </c>
      <c r="C768" s="5" t="str">
        <f>IFERROR(__xludf.DUMMYFUNCTION("""COMPUTED_VALUE"""),"purchase")</f>
        <v>purchase</v>
      </c>
      <c r="D768" s="10">
        <f t="shared" si="1"/>
        <v>45365</v>
      </c>
      <c r="E768" s="10">
        <f t="shared" si="2"/>
        <v>45362</v>
      </c>
      <c r="F768" s="10">
        <f t="shared" si="3"/>
        <v>45352</v>
      </c>
      <c r="G768" s="11"/>
    </row>
    <row r="769">
      <c r="A769" s="5">
        <f>IFERROR(__xludf.DUMMYFUNCTION("""COMPUTED_VALUE"""),7682.0)</f>
        <v>7682</v>
      </c>
      <c r="B769" s="9">
        <f>IFERROR(__xludf.DUMMYFUNCTION("""COMPUTED_VALUE"""),45365.449583333335)</f>
        <v>45365.44958</v>
      </c>
      <c r="C769" s="5" t="str">
        <f>IFERROR(__xludf.DUMMYFUNCTION("""COMPUTED_VALUE"""),"purchase")</f>
        <v>purchase</v>
      </c>
      <c r="D769" s="10">
        <f t="shared" si="1"/>
        <v>45365</v>
      </c>
      <c r="E769" s="10">
        <f t="shared" si="2"/>
        <v>45362</v>
      </c>
      <c r="F769" s="10">
        <f t="shared" si="3"/>
        <v>45352</v>
      </c>
      <c r="G769" s="11"/>
    </row>
    <row r="770">
      <c r="A770" s="5">
        <f>IFERROR(__xludf.DUMMYFUNCTION("""COMPUTED_VALUE"""),998.0)</f>
        <v>998</v>
      </c>
      <c r="B770" s="9">
        <f>IFERROR(__xludf.DUMMYFUNCTION("""COMPUTED_VALUE"""),45365.49101851852)</f>
        <v>45365.49102</v>
      </c>
      <c r="C770" s="5" t="str">
        <f>IFERROR(__xludf.DUMMYFUNCTION("""COMPUTED_VALUE"""),"purchase")</f>
        <v>purchase</v>
      </c>
      <c r="D770" s="10">
        <f t="shared" si="1"/>
        <v>45365</v>
      </c>
      <c r="E770" s="10">
        <f t="shared" si="2"/>
        <v>45362</v>
      </c>
      <c r="F770" s="10">
        <f t="shared" si="3"/>
        <v>45352</v>
      </c>
      <c r="G770" s="11"/>
    </row>
    <row r="771">
      <c r="A771" s="5">
        <f>IFERROR(__xludf.DUMMYFUNCTION("""COMPUTED_VALUE"""),5849.0)</f>
        <v>5849</v>
      </c>
      <c r="B771" s="9">
        <f>IFERROR(__xludf.DUMMYFUNCTION("""COMPUTED_VALUE"""),45365.49725694444)</f>
        <v>45365.49726</v>
      </c>
      <c r="C771" s="5" t="str">
        <f>IFERROR(__xludf.DUMMYFUNCTION("""COMPUTED_VALUE"""),"purchase")</f>
        <v>purchase</v>
      </c>
      <c r="D771" s="10">
        <f t="shared" si="1"/>
        <v>45365</v>
      </c>
      <c r="E771" s="10">
        <f t="shared" si="2"/>
        <v>45362</v>
      </c>
      <c r="F771" s="10">
        <f t="shared" si="3"/>
        <v>45352</v>
      </c>
      <c r="G771" s="11"/>
    </row>
    <row r="772">
      <c r="A772" s="5">
        <f>IFERROR(__xludf.DUMMYFUNCTION("""COMPUTED_VALUE"""),5775.0)</f>
        <v>5775</v>
      </c>
      <c r="B772" s="9">
        <f>IFERROR(__xludf.DUMMYFUNCTION("""COMPUTED_VALUE"""),45365.53928240741)</f>
        <v>45365.53928</v>
      </c>
      <c r="C772" s="5" t="str">
        <f>IFERROR(__xludf.DUMMYFUNCTION("""COMPUTED_VALUE"""),"purchase")</f>
        <v>purchase</v>
      </c>
      <c r="D772" s="10">
        <f t="shared" si="1"/>
        <v>45365</v>
      </c>
      <c r="E772" s="10">
        <f t="shared" si="2"/>
        <v>45362</v>
      </c>
      <c r="F772" s="10">
        <f t="shared" si="3"/>
        <v>45352</v>
      </c>
      <c r="G772" s="11"/>
    </row>
    <row r="773">
      <c r="A773" s="5">
        <f>IFERROR(__xludf.DUMMYFUNCTION("""COMPUTED_VALUE"""),7226.0)</f>
        <v>7226</v>
      </c>
      <c r="B773" s="9">
        <f>IFERROR(__xludf.DUMMYFUNCTION("""COMPUTED_VALUE"""),45365.59238425926)</f>
        <v>45365.59238</v>
      </c>
      <c r="C773" s="5" t="str">
        <f>IFERROR(__xludf.DUMMYFUNCTION("""COMPUTED_VALUE"""),"purchase")</f>
        <v>purchase</v>
      </c>
      <c r="D773" s="10">
        <f t="shared" si="1"/>
        <v>45365</v>
      </c>
      <c r="E773" s="10">
        <f t="shared" si="2"/>
        <v>45362</v>
      </c>
      <c r="F773" s="10">
        <f t="shared" si="3"/>
        <v>45352</v>
      </c>
      <c r="G773" s="11"/>
    </row>
    <row r="774">
      <c r="A774" s="5">
        <f>IFERROR(__xludf.DUMMYFUNCTION("""COMPUTED_VALUE"""),3568.0)</f>
        <v>3568</v>
      </c>
      <c r="B774" s="9">
        <f>IFERROR(__xludf.DUMMYFUNCTION("""COMPUTED_VALUE"""),45365.630219907405)</f>
        <v>45365.63022</v>
      </c>
      <c r="C774" s="5" t="str">
        <f>IFERROR(__xludf.DUMMYFUNCTION("""COMPUTED_VALUE"""),"purchase")</f>
        <v>purchase</v>
      </c>
      <c r="D774" s="10">
        <f t="shared" si="1"/>
        <v>45365</v>
      </c>
      <c r="E774" s="10">
        <f t="shared" si="2"/>
        <v>45362</v>
      </c>
      <c r="F774" s="10">
        <f t="shared" si="3"/>
        <v>45352</v>
      </c>
      <c r="G774" s="11"/>
    </row>
    <row r="775">
      <c r="A775" s="5">
        <f>IFERROR(__xludf.DUMMYFUNCTION("""COMPUTED_VALUE"""),3246.0)</f>
        <v>3246</v>
      </c>
      <c r="B775" s="9">
        <f>IFERROR(__xludf.DUMMYFUNCTION("""COMPUTED_VALUE"""),45365.75636574074)</f>
        <v>45365.75637</v>
      </c>
      <c r="C775" s="5" t="str">
        <f>IFERROR(__xludf.DUMMYFUNCTION("""COMPUTED_VALUE"""),"purchase")</f>
        <v>purchase</v>
      </c>
      <c r="D775" s="10">
        <f t="shared" si="1"/>
        <v>45365</v>
      </c>
      <c r="E775" s="10">
        <f t="shared" si="2"/>
        <v>45362</v>
      </c>
      <c r="F775" s="10">
        <f t="shared" si="3"/>
        <v>45352</v>
      </c>
      <c r="G775" s="11"/>
    </row>
    <row r="776">
      <c r="A776" s="5">
        <f>IFERROR(__xludf.DUMMYFUNCTION("""COMPUTED_VALUE"""),49.0)</f>
        <v>49</v>
      </c>
      <c r="B776" s="9">
        <f>IFERROR(__xludf.DUMMYFUNCTION("""COMPUTED_VALUE"""),45365.82469907407)</f>
        <v>45365.8247</v>
      </c>
      <c r="C776" s="5" t="str">
        <f>IFERROR(__xludf.DUMMYFUNCTION("""COMPUTED_VALUE"""),"purchase")</f>
        <v>purchase</v>
      </c>
      <c r="D776" s="10">
        <f t="shared" si="1"/>
        <v>45365</v>
      </c>
      <c r="E776" s="10">
        <f t="shared" si="2"/>
        <v>45362</v>
      </c>
      <c r="F776" s="10">
        <f t="shared" si="3"/>
        <v>45352</v>
      </c>
      <c r="G776" s="11"/>
    </row>
    <row r="777">
      <c r="A777" s="5">
        <f>IFERROR(__xludf.DUMMYFUNCTION("""COMPUTED_VALUE"""),1707.0)</f>
        <v>1707</v>
      </c>
      <c r="B777" s="9">
        <f>IFERROR(__xludf.DUMMYFUNCTION("""COMPUTED_VALUE"""),45365.901192129626)</f>
        <v>45365.90119</v>
      </c>
      <c r="C777" s="5" t="str">
        <f>IFERROR(__xludf.DUMMYFUNCTION("""COMPUTED_VALUE"""),"purchase")</f>
        <v>purchase</v>
      </c>
      <c r="D777" s="10">
        <f t="shared" si="1"/>
        <v>45365</v>
      </c>
      <c r="E777" s="10">
        <f t="shared" si="2"/>
        <v>45362</v>
      </c>
      <c r="F777" s="10">
        <f t="shared" si="3"/>
        <v>45352</v>
      </c>
      <c r="G777" s="11"/>
    </row>
    <row r="778">
      <c r="A778" s="5">
        <f>IFERROR(__xludf.DUMMYFUNCTION("""COMPUTED_VALUE"""),7829.0)</f>
        <v>7829</v>
      </c>
      <c r="B778" s="9">
        <f>IFERROR(__xludf.DUMMYFUNCTION("""COMPUTED_VALUE"""),45365.921331018515)</f>
        <v>45365.92133</v>
      </c>
      <c r="C778" s="5" t="str">
        <f>IFERROR(__xludf.DUMMYFUNCTION("""COMPUTED_VALUE"""),"purchase")</f>
        <v>purchase</v>
      </c>
      <c r="D778" s="10">
        <f t="shared" si="1"/>
        <v>45365</v>
      </c>
      <c r="E778" s="10">
        <f t="shared" si="2"/>
        <v>45362</v>
      </c>
      <c r="F778" s="10">
        <f t="shared" si="3"/>
        <v>45352</v>
      </c>
      <c r="G778" s="11"/>
    </row>
    <row r="779">
      <c r="A779" s="5">
        <f>IFERROR(__xludf.DUMMYFUNCTION("""COMPUTED_VALUE"""),5752.0)</f>
        <v>5752</v>
      </c>
      <c r="B779" s="9">
        <f>IFERROR(__xludf.DUMMYFUNCTION("""COMPUTED_VALUE"""),45366.11015046296)</f>
        <v>45366.11015</v>
      </c>
      <c r="C779" s="5" t="str">
        <f>IFERROR(__xludf.DUMMYFUNCTION("""COMPUTED_VALUE"""),"purchase")</f>
        <v>purchase</v>
      </c>
      <c r="D779" s="10">
        <f t="shared" si="1"/>
        <v>45366</v>
      </c>
      <c r="E779" s="10">
        <f t="shared" si="2"/>
        <v>45362</v>
      </c>
      <c r="F779" s="10">
        <f t="shared" si="3"/>
        <v>45352</v>
      </c>
      <c r="G779" s="11"/>
    </row>
    <row r="780">
      <c r="A780" s="5">
        <f>IFERROR(__xludf.DUMMYFUNCTION("""COMPUTED_VALUE"""),6745.0)</f>
        <v>6745</v>
      </c>
      <c r="B780" s="9">
        <f>IFERROR(__xludf.DUMMYFUNCTION("""COMPUTED_VALUE"""),45366.24256944445)</f>
        <v>45366.24257</v>
      </c>
      <c r="C780" s="5" t="str">
        <f>IFERROR(__xludf.DUMMYFUNCTION("""COMPUTED_VALUE"""),"purchase")</f>
        <v>purchase</v>
      </c>
      <c r="D780" s="10">
        <f t="shared" si="1"/>
        <v>45366</v>
      </c>
      <c r="E780" s="10">
        <f t="shared" si="2"/>
        <v>45362</v>
      </c>
      <c r="F780" s="10">
        <f t="shared" si="3"/>
        <v>45352</v>
      </c>
      <c r="G780" s="11"/>
    </row>
    <row r="781">
      <c r="A781" s="5">
        <f>IFERROR(__xludf.DUMMYFUNCTION("""COMPUTED_VALUE"""),1018.0)</f>
        <v>1018</v>
      </c>
      <c r="B781" s="9">
        <f>IFERROR(__xludf.DUMMYFUNCTION("""COMPUTED_VALUE"""),45366.33707175926)</f>
        <v>45366.33707</v>
      </c>
      <c r="C781" s="5" t="str">
        <f>IFERROR(__xludf.DUMMYFUNCTION("""COMPUTED_VALUE"""),"purchase")</f>
        <v>purchase</v>
      </c>
      <c r="D781" s="10">
        <f t="shared" si="1"/>
        <v>45366</v>
      </c>
      <c r="E781" s="10">
        <f t="shared" si="2"/>
        <v>45362</v>
      </c>
      <c r="F781" s="10">
        <f t="shared" si="3"/>
        <v>45352</v>
      </c>
      <c r="G781" s="11"/>
    </row>
    <row r="782">
      <c r="A782" s="5">
        <f>IFERROR(__xludf.DUMMYFUNCTION("""COMPUTED_VALUE"""),5877.0)</f>
        <v>5877</v>
      </c>
      <c r="B782" s="9">
        <f>IFERROR(__xludf.DUMMYFUNCTION("""COMPUTED_VALUE"""),45366.39931712963)</f>
        <v>45366.39932</v>
      </c>
      <c r="C782" s="5" t="str">
        <f>IFERROR(__xludf.DUMMYFUNCTION("""COMPUTED_VALUE"""),"purchase")</f>
        <v>purchase</v>
      </c>
      <c r="D782" s="10">
        <f t="shared" si="1"/>
        <v>45366</v>
      </c>
      <c r="E782" s="10">
        <f t="shared" si="2"/>
        <v>45362</v>
      </c>
      <c r="F782" s="10">
        <f t="shared" si="3"/>
        <v>45352</v>
      </c>
      <c r="G782" s="11"/>
    </row>
    <row r="783">
      <c r="A783" s="5">
        <f>IFERROR(__xludf.DUMMYFUNCTION("""COMPUTED_VALUE"""),7946.0)</f>
        <v>7946</v>
      </c>
      <c r="B783" s="9">
        <f>IFERROR(__xludf.DUMMYFUNCTION("""COMPUTED_VALUE"""),45366.740381944444)</f>
        <v>45366.74038</v>
      </c>
      <c r="C783" s="5" t="str">
        <f>IFERROR(__xludf.DUMMYFUNCTION("""COMPUTED_VALUE"""),"purchase")</f>
        <v>purchase</v>
      </c>
      <c r="D783" s="10">
        <f t="shared" si="1"/>
        <v>45366</v>
      </c>
      <c r="E783" s="10">
        <f t="shared" si="2"/>
        <v>45362</v>
      </c>
      <c r="F783" s="10">
        <f t="shared" si="3"/>
        <v>45352</v>
      </c>
      <c r="G783" s="11"/>
    </row>
    <row r="784">
      <c r="A784" s="5">
        <f>IFERROR(__xludf.DUMMYFUNCTION("""COMPUTED_VALUE"""),1468.0)</f>
        <v>1468</v>
      </c>
      <c r="B784" s="9">
        <f>IFERROR(__xludf.DUMMYFUNCTION("""COMPUTED_VALUE"""),45366.786307870374)</f>
        <v>45366.78631</v>
      </c>
      <c r="C784" s="5" t="str">
        <f>IFERROR(__xludf.DUMMYFUNCTION("""COMPUTED_VALUE"""),"purchase")</f>
        <v>purchase</v>
      </c>
      <c r="D784" s="10">
        <f t="shared" si="1"/>
        <v>45366</v>
      </c>
      <c r="E784" s="10">
        <f t="shared" si="2"/>
        <v>45362</v>
      </c>
      <c r="F784" s="10">
        <f t="shared" si="3"/>
        <v>45352</v>
      </c>
      <c r="G784" s="11"/>
    </row>
    <row r="785">
      <c r="A785" s="5">
        <f>IFERROR(__xludf.DUMMYFUNCTION("""COMPUTED_VALUE"""),24.0)</f>
        <v>24</v>
      </c>
      <c r="B785" s="9">
        <f>IFERROR(__xludf.DUMMYFUNCTION("""COMPUTED_VALUE"""),45366.80037037037)</f>
        <v>45366.80037</v>
      </c>
      <c r="C785" s="5" t="str">
        <f>IFERROR(__xludf.DUMMYFUNCTION("""COMPUTED_VALUE"""),"purchase")</f>
        <v>purchase</v>
      </c>
      <c r="D785" s="10">
        <f t="shared" si="1"/>
        <v>45366</v>
      </c>
      <c r="E785" s="10">
        <f t="shared" si="2"/>
        <v>45362</v>
      </c>
      <c r="F785" s="10">
        <f t="shared" si="3"/>
        <v>45352</v>
      </c>
      <c r="G785" s="11"/>
    </row>
    <row r="786">
      <c r="A786" s="5">
        <f>IFERROR(__xludf.DUMMYFUNCTION("""COMPUTED_VALUE"""),3215.0)</f>
        <v>3215</v>
      </c>
      <c r="B786" s="9">
        <f>IFERROR(__xludf.DUMMYFUNCTION("""COMPUTED_VALUE"""),45366.84800925926)</f>
        <v>45366.84801</v>
      </c>
      <c r="C786" s="5" t="str">
        <f>IFERROR(__xludf.DUMMYFUNCTION("""COMPUTED_VALUE"""),"purchase")</f>
        <v>purchase</v>
      </c>
      <c r="D786" s="10">
        <f t="shared" si="1"/>
        <v>45366</v>
      </c>
      <c r="E786" s="10">
        <f t="shared" si="2"/>
        <v>45362</v>
      </c>
      <c r="F786" s="10">
        <f t="shared" si="3"/>
        <v>45352</v>
      </c>
      <c r="G786" s="11"/>
    </row>
    <row r="787">
      <c r="A787" s="5">
        <f>IFERROR(__xludf.DUMMYFUNCTION("""COMPUTED_VALUE"""),4451.0)</f>
        <v>4451</v>
      </c>
      <c r="B787" s="9">
        <f>IFERROR(__xludf.DUMMYFUNCTION("""COMPUTED_VALUE"""),45366.96755787037)</f>
        <v>45366.96756</v>
      </c>
      <c r="C787" s="5" t="str">
        <f>IFERROR(__xludf.DUMMYFUNCTION("""COMPUTED_VALUE"""),"purchase")</f>
        <v>purchase</v>
      </c>
      <c r="D787" s="10">
        <f t="shared" si="1"/>
        <v>45366</v>
      </c>
      <c r="E787" s="10">
        <f t="shared" si="2"/>
        <v>45362</v>
      </c>
      <c r="F787" s="10">
        <f t="shared" si="3"/>
        <v>45352</v>
      </c>
      <c r="G787" s="11"/>
    </row>
    <row r="788">
      <c r="A788" s="5">
        <f>IFERROR(__xludf.DUMMYFUNCTION("""COMPUTED_VALUE"""),6890.0)</f>
        <v>6890</v>
      </c>
      <c r="B788" s="9">
        <f>IFERROR(__xludf.DUMMYFUNCTION("""COMPUTED_VALUE"""),45366.98292824074)</f>
        <v>45366.98293</v>
      </c>
      <c r="C788" s="5" t="str">
        <f>IFERROR(__xludf.DUMMYFUNCTION("""COMPUTED_VALUE"""),"purchase")</f>
        <v>purchase</v>
      </c>
      <c r="D788" s="10">
        <f t="shared" si="1"/>
        <v>45366</v>
      </c>
      <c r="E788" s="10">
        <f t="shared" si="2"/>
        <v>45362</v>
      </c>
      <c r="F788" s="10">
        <f t="shared" si="3"/>
        <v>45352</v>
      </c>
      <c r="G788" s="11"/>
    </row>
    <row r="789">
      <c r="A789" s="5">
        <f>IFERROR(__xludf.DUMMYFUNCTION("""COMPUTED_VALUE"""),3839.0)</f>
        <v>3839</v>
      </c>
      <c r="B789" s="9">
        <f>IFERROR(__xludf.DUMMYFUNCTION("""COMPUTED_VALUE"""),45367.04829861111)</f>
        <v>45367.0483</v>
      </c>
      <c r="C789" s="5" t="str">
        <f>IFERROR(__xludf.DUMMYFUNCTION("""COMPUTED_VALUE"""),"purchase")</f>
        <v>purchase</v>
      </c>
      <c r="D789" s="10">
        <f t="shared" si="1"/>
        <v>45367</v>
      </c>
      <c r="E789" s="10">
        <f t="shared" si="2"/>
        <v>45362</v>
      </c>
      <c r="F789" s="10">
        <f t="shared" si="3"/>
        <v>45352</v>
      </c>
      <c r="G789" s="11"/>
    </row>
    <row r="790">
      <c r="A790" s="5">
        <f>IFERROR(__xludf.DUMMYFUNCTION("""COMPUTED_VALUE"""),4382.0)</f>
        <v>4382</v>
      </c>
      <c r="B790" s="9">
        <f>IFERROR(__xludf.DUMMYFUNCTION("""COMPUTED_VALUE"""),45367.078055555554)</f>
        <v>45367.07806</v>
      </c>
      <c r="C790" s="5" t="str">
        <f>IFERROR(__xludf.DUMMYFUNCTION("""COMPUTED_VALUE"""),"purchase")</f>
        <v>purchase</v>
      </c>
      <c r="D790" s="10">
        <f t="shared" si="1"/>
        <v>45367</v>
      </c>
      <c r="E790" s="10">
        <f t="shared" si="2"/>
        <v>45362</v>
      </c>
      <c r="F790" s="10">
        <f t="shared" si="3"/>
        <v>45352</v>
      </c>
      <c r="G790" s="11"/>
    </row>
    <row r="791">
      <c r="A791" s="5">
        <f>IFERROR(__xludf.DUMMYFUNCTION("""COMPUTED_VALUE"""),1003.0)</f>
        <v>1003</v>
      </c>
      <c r="B791" s="9">
        <f>IFERROR(__xludf.DUMMYFUNCTION("""COMPUTED_VALUE"""),45367.51658564815)</f>
        <v>45367.51659</v>
      </c>
      <c r="C791" s="5" t="str">
        <f>IFERROR(__xludf.DUMMYFUNCTION("""COMPUTED_VALUE"""),"purchase")</f>
        <v>purchase</v>
      </c>
      <c r="D791" s="10">
        <f t="shared" si="1"/>
        <v>45367</v>
      </c>
      <c r="E791" s="10">
        <f t="shared" si="2"/>
        <v>45362</v>
      </c>
      <c r="F791" s="10">
        <f t="shared" si="3"/>
        <v>45352</v>
      </c>
      <c r="G791" s="11"/>
    </row>
    <row r="792">
      <c r="A792" s="5">
        <f>IFERROR(__xludf.DUMMYFUNCTION("""COMPUTED_VALUE"""),752.0)</f>
        <v>752</v>
      </c>
      <c r="B792" s="9">
        <f>IFERROR(__xludf.DUMMYFUNCTION("""COMPUTED_VALUE"""),45367.57181712963)</f>
        <v>45367.57182</v>
      </c>
      <c r="C792" s="5" t="str">
        <f>IFERROR(__xludf.DUMMYFUNCTION("""COMPUTED_VALUE"""),"purchase")</f>
        <v>purchase</v>
      </c>
      <c r="D792" s="10">
        <f t="shared" si="1"/>
        <v>45367</v>
      </c>
      <c r="E792" s="10">
        <f t="shared" si="2"/>
        <v>45362</v>
      </c>
      <c r="F792" s="10">
        <f t="shared" si="3"/>
        <v>45352</v>
      </c>
      <c r="G792" s="11"/>
    </row>
    <row r="793">
      <c r="A793" s="5">
        <f>IFERROR(__xludf.DUMMYFUNCTION("""COMPUTED_VALUE"""),7865.0)</f>
        <v>7865</v>
      </c>
      <c r="B793" s="9">
        <f>IFERROR(__xludf.DUMMYFUNCTION("""COMPUTED_VALUE"""),45367.708032407405)</f>
        <v>45367.70803</v>
      </c>
      <c r="C793" s="5" t="str">
        <f>IFERROR(__xludf.DUMMYFUNCTION("""COMPUTED_VALUE"""),"purchase")</f>
        <v>purchase</v>
      </c>
      <c r="D793" s="10">
        <f t="shared" si="1"/>
        <v>45367</v>
      </c>
      <c r="E793" s="10">
        <f t="shared" si="2"/>
        <v>45362</v>
      </c>
      <c r="F793" s="10">
        <f t="shared" si="3"/>
        <v>45352</v>
      </c>
      <c r="G793" s="11"/>
    </row>
    <row r="794">
      <c r="A794" s="5">
        <f>IFERROR(__xludf.DUMMYFUNCTION("""COMPUTED_VALUE"""),1415.0)</f>
        <v>1415</v>
      </c>
      <c r="B794" s="9">
        <f>IFERROR(__xludf.DUMMYFUNCTION("""COMPUTED_VALUE"""),45367.779131944444)</f>
        <v>45367.77913</v>
      </c>
      <c r="C794" s="5" t="str">
        <f>IFERROR(__xludf.DUMMYFUNCTION("""COMPUTED_VALUE"""),"purchase")</f>
        <v>purchase</v>
      </c>
      <c r="D794" s="10">
        <f t="shared" si="1"/>
        <v>45367</v>
      </c>
      <c r="E794" s="10">
        <f t="shared" si="2"/>
        <v>45362</v>
      </c>
      <c r="F794" s="10">
        <f t="shared" si="3"/>
        <v>45352</v>
      </c>
      <c r="G794" s="11"/>
    </row>
    <row r="795">
      <c r="A795" s="5">
        <f>IFERROR(__xludf.DUMMYFUNCTION("""COMPUTED_VALUE"""),983.0)</f>
        <v>983</v>
      </c>
      <c r="B795" s="9">
        <f>IFERROR(__xludf.DUMMYFUNCTION("""COMPUTED_VALUE"""),45367.802465277775)</f>
        <v>45367.80247</v>
      </c>
      <c r="C795" s="5" t="str">
        <f>IFERROR(__xludf.DUMMYFUNCTION("""COMPUTED_VALUE"""),"purchase")</f>
        <v>purchase</v>
      </c>
      <c r="D795" s="10">
        <f t="shared" si="1"/>
        <v>45367</v>
      </c>
      <c r="E795" s="10">
        <f t="shared" si="2"/>
        <v>45362</v>
      </c>
      <c r="F795" s="10">
        <f t="shared" si="3"/>
        <v>45352</v>
      </c>
      <c r="G795" s="11"/>
    </row>
    <row r="796">
      <c r="A796" s="5">
        <f>IFERROR(__xludf.DUMMYFUNCTION("""COMPUTED_VALUE"""),7172.0)</f>
        <v>7172</v>
      </c>
      <c r="B796" s="9">
        <f>IFERROR(__xludf.DUMMYFUNCTION("""COMPUTED_VALUE"""),45367.84508101852)</f>
        <v>45367.84508</v>
      </c>
      <c r="C796" s="5" t="str">
        <f>IFERROR(__xludf.DUMMYFUNCTION("""COMPUTED_VALUE"""),"purchase")</f>
        <v>purchase</v>
      </c>
      <c r="D796" s="10">
        <f t="shared" si="1"/>
        <v>45367</v>
      </c>
      <c r="E796" s="10">
        <f t="shared" si="2"/>
        <v>45362</v>
      </c>
      <c r="F796" s="10">
        <f t="shared" si="3"/>
        <v>45352</v>
      </c>
      <c r="G796" s="11"/>
    </row>
    <row r="797">
      <c r="A797" s="5">
        <f>IFERROR(__xludf.DUMMYFUNCTION("""COMPUTED_VALUE"""),2860.0)</f>
        <v>2860</v>
      </c>
      <c r="B797" s="9">
        <f>IFERROR(__xludf.DUMMYFUNCTION("""COMPUTED_VALUE"""),45367.860601851855)</f>
        <v>45367.8606</v>
      </c>
      <c r="C797" s="5" t="str">
        <f>IFERROR(__xludf.DUMMYFUNCTION("""COMPUTED_VALUE"""),"purchase")</f>
        <v>purchase</v>
      </c>
      <c r="D797" s="10">
        <f t="shared" si="1"/>
        <v>45367</v>
      </c>
      <c r="E797" s="10">
        <f t="shared" si="2"/>
        <v>45362</v>
      </c>
      <c r="F797" s="10">
        <f t="shared" si="3"/>
        <v>45352</v>
      </c>
      <c r="G797" s="11"/>
    </row>
    <row r="798">
      <c r="A798" s="5">
        <f>IFERROR(__xludf.DUMMYFUNCTION("""COMPUTED_VALUE"""),7183.0)</f>
        <v>7183</v>
      </c>
      <c r="B798" s="9">
        <f>IFERROR(__xludf.DUMMYFUNCTION("""COMPUTED_VALUE"""),45368.123877314814)</f>
        <v>45368.12388</v>
      </c>
      <c r="C798" s="5" t="str">
        <f>IFERROR(__xludf.DUMMYFUNCTION("""COMPUTED_VALUE"""),"purchase")</f>
        <v>purchase</v>
      </c>
      <c r="D798" s="10">
        <f t="shared" si="1"/>
        <v>45368</v>
      </c>
      <c r="E798" s="10">
        <f t="shared" si="2"/>
        <v>45362</v>
      </c>
      <c r="F798" s="10">
        <f t="shared" si="3"/>
        <v>45352</v>
      </c>
      <c r="G798" s="11"/>
    </row>
    <row r="799">
      <c r="A799" s="5">
        <f>IFERROR(__xludf.DUMMYFUNCTION("""COMPUTED_VALUE"""),4077.0)</f>
        <v>4077</v>
      </c>
      <c r="B799" s="9">
        <f>IFERROR(__xludf.DUMMYFUNCTION("""COMPUTED_VALUE"""),45368.13982638889)</f>
        <v>45368.13983</v>
      </c>
      <c r="C799" s="5" t="str">
        <f>IFERROR(__xludf.DUMMYFUNCTION("""COMPUTED_VALUE"""),"purchase")</f>
        <v>purchase</v>
      </c>
      <c r="D799" s="10">
        <f t="shared" si="1"/>
        <v>45368</v>
      </c>
      <c r="E799" s="10">
        <f t="shared" si="2"/>
        <v>45362</v>
      </c>
      <c r="F799" s="10">
        <f t="shared" si="3"/>
        <v>45352</v>
      </c>
      <c r="G799" s="11"/>
    </row>
    <row r="800">
      <c r="A800" s="5">
        <f>IFERROR(__xludf.DUMMYFUNCTION("""COMPUTED_VALUE"""),6607.0)</f>
        <v>6607</v>
      </c>
      <c r="B800" s="9">
        <f>IFERROR(__xludf.DUMMYFUNCTION("""COMPUTED_VALUE"""),45368.53690972222)</f>
        <v>45368.53691</v>
      </c>
      <c r="C800" s="5" t="str">
        <f>IFERROR(__xludf.DUMMYFUNCTION("""COMPUTED_VALUE"""),"purchase")</f>
        <v>purchase</v>
      </c>
      <c r="D800" s="10">
        <f t="shared" si="1"/>
        <v>45368</v>
      </c>
      <c r="E800" s="10">
        <f t="shared" si="2"/>
        <v>45362</v>
      </c>
      <c r="F800" s="10">
        <f t="shared" si="3"/>
        <v>45352</v>
      </c>
      <c r="G800" s="11"/>
    </row>
    <row r="801">
      <c r="A801" s="5">
        <f>IFERROR(__xludf.DUMMYFUNCTION("""COMPUTED_VALUE"""),2488.0)</f>
        <v>2488</v>
      </c>
      <c r="B801" s="9">
        <f>IFERROR(__xludf.DUMMYFUNCTION("""COMPUTED_VALUE"""),45368.549050925925)</f>
        <v>45368.54905</v>
      </c>
      <c r="C801" s="5" t="str">
        <f>IFERROR(__xludf.DUMMYFUNCTION("""COMPUTED_VALUE"""),"purchase")</f>
        <v>purchase</v>
      </c>
      <c r="D801" s="10">
        <f t="shared" si="1"/>
        <v>45368</v>
      </c>
      <c r="E801" s="10">
        <f t="shared" si="2"/>
        <v>45362</v>
      </c>
      <c r="F801" s="10">
        <f t="shared" si="3"/>
        <v>45352</v>
      </c>
      <c r="G801" s="11"/>
    </row>
    <row r="802">
      <c r="A802" s="5">
        <f>IFERROR(__xludf.DUMMYFUNCTION("""COMPUTED_VALUE"""),905.0)</f>
        <v>905</v>
      </c>
      <c r="B802" s="9">
        <f>IFERROR(__xludf.DUMMYFUNCTION("""COMPUTED_VALUE"""),45368.62196759259)</f>
        <v>45368.62197</v>
      </c>
      <c r="C802" s="5" t="str">
        <f>IFERROR(__xludf.DUMMYFUNCTION("""COMPUTED_VALUE"""),"purchase")</f>
        <v>purchase</v>
      </c>
      <c r="D802" s="10">
        <f t="shared" si="1"/>
        <v>45368</v>
      </c>
      <c r="E802" s="10">
        <f t="shared" si="2"/>
        <v>45362</v>
      </c>
      <c r="F802" s="10">
        <f t="shared" si="3"/>
        <v>45352</v>
      </c>
      <c r="G802" s="11"/>
    </row>
    <row r="803">
      <c r="A803" s="5">
        <f>IFERROR(__xludf.DUMMYFUNCTION("""COMPUTED_VALUE"""),4388.0)</f>
        <v>4388</v>
      </c>
      <c r="B803" s="9">
        <f>IFERROR(__xludf.DUMMYFUNCTION("""COMPUTED_VALUE"""),45368.7403587963)</f>
        <v>45368.74036</v>
      </c>
      <c r="C803" s="5" t="str">
        <f>IFERROR(__xludf.DUMMYFUNCTION("""COMPUTED_VALUE"""),"purchase")</f>
        <v>purchase</v>
      </c>
      <c r="D803" s="10">
        <f t="shared" si="1"/>
        <v>45368</v>
      </c>
      <c r="E803" s="10">
        <f t="shared" si="2"/>
        <v>45362</v>
      </c>
      <c r="F803" s="10">
        <f t="shared" si="3"/>
        <v>45352</v>
      </c>
      <c r="G803" s="11"/>
    </row>
    <row r="804">
      <c r="A804" s="5">
        <f>IFERROR(__xludf.DUMMYFUNCTION("""COMPUTED_VALUE"""),7002.0)</f>
        <v>7002</v>
      </c>
      <c r="B804" s="9">
        <f>IFERROR(__xludf.DUMMYFUNCTION("""COMPUTED_VALUE"""),45368.79678240741)</f>
        <v>45368.79678</v>
      </c>
      <c r="C804" s="5" t="str">
        <f>IFERROR(__xludf.DUMMYFUNCTION("""COMPUTED_VALUE"""),"purchase")</f>
        <v>purchase</v>
      </c>
      <c r="D804" s="10">
        <f t="shared" si="1"/>
        <v>45368</v>
      </c>
      <c r="E804" s="10">
        <f t="shared" si="2"/>
        <v>45362</v>
      </c>
      <c r="F804" s="10">
        <f t="shared" si="3"/>
        <v>45352</v>
      </c>
      <c r="G804" s="11"/>
    </row>
    <row r="805">
      <c r="A805" s="5">
        <f>IFERROR(__xludf.DUMMYFUNCTION("""COMPUTED_VALUE"""),6335.0)</f>
        <v>6335</v>
      </c>
      <c r="B805" s="9">
        <f>IFERROR(__xludf.DUMMYFUNCTION("""COMPUTED_VALUE"""),45368.835023148145)</f>
        <v>45368.83502</v>
      </c>
      <c r="C805" s="5" t="str">
        <f>IFERROR(__xludf.DUMMYFUNCTION("""COMPUTED_VALUE"""),"purchase")</f>
        <v>purchase</v>
      </c>
      <c r="D805" s="10">
        <f t="shared" si="1"/>
        <v>45368</v>
      </c>
      <c r="E805" s="10">
        <f t="shared" si="2"/>
        <v>45362</v>
      </c>
      <c r="F805" s="10">
        <f t="shared" si="3"/>
        <v>45352</v>
      </c>
      <c r="G805" s="11"/>
    </row>
    <row r="806">
      <c r="A806" s="5">
        <f>IFERROR(__xludf.DUMMYFUNCTION("""COMPUTED_VALUE"""),3933.0)</f>
        <v>3933</v>
      </c>
      <c r="B806" s="9">
        <f>IFERROR(__xludf.DUMMYFUNCTION("""COMPUTED_VALUE"""),45368.83729166666)</f>
        <v>45368.83729</v>
      </c>
      <c r="C806" s="5" t="str">
        <f>IFERROR(__xludf.DUMMYFUNCTION("""COMPUTED_VALUE"""),"purchase")</f>
        <v>purchase</v>
      </c>
      <c r="D806" s="10">
        <f t="shared" si="1"/>
        <v>45368</v>
      </c>
      <c r="E806" s="10">
        <f t="shared" si="2"/>
        <v>45362</v>
      </c>
      <c r="F806" s="10">
        <f t="shared" si="3"/>
        <v>45352</v>
      </c>
      <c r="G806" s="11"/>
    </row>
    <row r="807">
      <c r="A807" s="5">
        <f>IFERROR(__xludf.DUMMYFUNCTION("""COMPUTED_VALUE"""),4596.0)</f>
        <v>4596</v>
      </c>
      <c r="B807" s="9">
        <f>IFERROR(__xludf.DUMMYFUNCTION("""COMPUTED_VALUE"""),45368.84208333334)</f>
        <v>45368.84208</v>
      </c>
      <c r="C807" s="5" t="str">
        <f>IFERROR(__xludf.DUMMYFUNCTION("""COMPUTED_VALUE"""),"purchase")</f>
        <v>purchase</v>
      </c>
      <c r="D807" s="10">
        <f t="shared" si="1"/>
        <v>45368</v>
      </c>
      <c r="E807" s="10">
        <f t="shared" si="2"/>
        <v>45362</v>
      </c>
      <c r="F807" s="10">
        <f t="shared" si="3"/>
        <v>45352</v>
      </c>
      <c r="G807" s="11"/>
    </row>
    <row r="808">
      <c r="A808" s="5">
        <f>IFERROR(__xludf.DUMMYFUNCTION("""COMPUTED_VALUE"""),57.0)</f>
        <v>57</v>
      </c>
      <c r="B808" s="9">
        <f>IFERROR(__xludf.DUMMYFUNCTION("""COMPUTED_VALUE"""),45368.93664351852)</f>
        <v>45368.93664</v>
      </c>
      <c r="C808" s="5" t="str">
        <f>IFERROR(__xludf.DUMMYFUNCTION("""COMPUTED_VALUE"""),"purchase")</f>
        <v>purchase</v>
      </c>
      <c r="D808" s="10">
        <f t="shared" si="1"/>
        <v>45368</v>
      </c>
      <c r="E808" s="10">
        <f t="shared" si="2"/>
        <v>45362</v>
      </c>
      <c r="F808" s="10">
        <f t="shared" si="3"/>
        <v>45352</v>
      </c>
      <c r="G808" s="11"/>
    </row>
    <row r="809">
      <c r="A809" s="5">
        <f>IFERROR(__xludf.DUMMYFUNCTION("""COMPUTED_VALUE"""),2178.0)</f>
        <v>2178</v>
      </c>
      <c r="B809" s="9">
        <f>IFERROR(__xludf.DUMMYFUNCTION("""COMPUTED_VALUE"""),45369.002974537034)</f>
        <v>45369.00297</v>
      </c>
      <c r="C809" s="5" t="str">
        <f>IFERROR(__xludf.DUMMYFUNCTION("""COMPUTED_VALUE"""),"purchase")</f>
        <v>purchase</v>
      </c>
      <c r="D809" s="10">
        <f t="shared" si="1"/>
        <v>45369</v>
      </c>
      <c r="E809" s="10">
        <f t="shared" si="2"/>
        <v>45369</v>
      </c>
      <c r="F809" s="10">
        <f t="shared" si="3"/>
        <v>45352</v>
      </c>
      <c r="G809" s="11"/>
    </row>
    <row r="810">
      <c r="A810" s="5">
        <f>IFERROR(__xludf.DUMMYFUNCTION("""COMPUTED_VALUE"""),2139.0)</f>
        <v>2139</v>
      </c>
      <c r="B810" s="9">
        <f>IFERROR(__xludf.DUMMYFUNCTION("""COMPUTED_VALUE"""),45369.04032407407)</f>
        <v>45369.04032</v>
      </c>
      <c r="C810" s="5" t="str">
        <f>IFERROR(__xludf.DUMMYFUNCTION("""COMPUTED_VALUE"""),"purchase")</f>
        <v>purchase</v>
      </c>
      <c r="D810" s="10">
        <f t="shared" si="1"/>
        <v>45369</v>
      </c>
      <c r="E810" s="10">
        <f t="shared" si="2"/>
        <v>45369</v>
      </c>
      <c r="F810" s="10">
        <f t="shared" si="3"/>
        <v>45352</v>
      </c>
      <c r="G810" s="11"/>
    </row>
    <row r="811">
      <c r="A811" s="5">
        <f>IFERROR(__xludf.DUMMYFUNCTION("""COMPUTED_VALUE"""),5495.0)</f>
        <v>5495</v>
      </c>
      <c r="B811" s="9">
        <f>IFERROR(__xludf.DUMMYFUNCTION("""COMPUTED_VALUE"""),45369.186840277776)</f>
        <v>45369.18684</v>
      </c>
      <c r="C811" s="5" t="str">
        <f>IFERROR(__xludf.DUMMYFUNCTION("""COMPUTED_VALUE"""),"purchase")</f>
        <v>purchase</v>
      </c>
      <c r="D811" s="10">
        <f t="shared" si="1"/>
        <v>45369</v>
      </c>
      <c r="E811" s="10">
        <f t="shared" si="2"/>
        <v>45369</v>
      </c>
      <c r="F811" s="10">
        <f t="shared" si="3"/>
        <v>45352</v>
      </c>
      <c r="G811" s="11"/>
    </row>
    <row r="812">
      <c r="A812" s="5">
        <f>IFERROR(__xludf.DUMMYFUNCTION("""COMPUTED_VALUE"""),3621.0)</f>
        <v>3621</v>
      </c>
      <c r="B812" s="9">
        <f>IFERROR(__xludf.DUMMYFUNCTION("""COMPUTED_VALUE"""),45369.20038194444)</f>
        <v>45369.20038</v>
      </c>
      <c r="C812" s="5" t="str">
        <f>IFERROR(__xludf.DUMMYFUNCTION("""COMPUTED_VALUE"""),"purchase")</f>
        <v>purchase</v>
      </c>
      <c r="D812" s="10">
        <f t="shared" si="1"/>
        <v>45369</v>
      </c>
      <c r="E812" s="10">
        <f t="shared" si="2"/>
        <v>45369</v>
      </c>
      <c r="F812" s="10">
        <f t="shared" si="3"/>
        <v>45352</v>
      </c>
      <c r="G812" s="11"/>
    </row>
    <row r="813">
      <c r="A813" s="5">
        <f>IFERROR(__xludf.DUMMYFUNCTION("""COMPUTED_VALUE"""),4314.0)</f>
        <v>4314</v>
      </c>
      <c r="B813" s="9">
        <f>IFERROR(__xludf.DUMMYFUNCTION("""COMPUTED_VALUE"""),45369.22686342592)</f>
        <v>45369.22686</v>
      </c>
      <c r="C813" s="5" t="str">
        <f>IFERROR(__xludf.DUMMYFUNCTION("""COMPUTED_VALUE"""),"purchase")</f>
        <v>purchase</v>
      </c>
      <c r="D813" s="10">
        <f t="shared" si="1"/>
        <v>45369</v>
      </c>
      <c r="E813" s="10">
        <f t="shared" si="2"/>
        <v>45369</v>
      </c>
      <c r="F813" s="10">
        <f t="shared" si="3"/>
        <v>45352</v>
      </c>
      <c r="G813" s="11"/>
    </row>
    <row r="814">
      <c r="A814" s="5">
        <f>IFERROR(__xludf.DUMMYFUNCTION("""COMPUTED_VALUE"""),3962.0)</f>
        <v>3962</v>
      </c>
      <c r="B814" s="9">
        <f>IFERROR(__xludf.DUMMYFUNCTION("""COMPUTED_VALUE"""),45369.3840162037)</f>
        <v>45369.38402</v>
      </c>
      <c r="C814" s="5" t="str">
        <f>IFERROR(__xludf.DUMMYFUNCTION("""COMPUTED_VALUE"""),"purchase")</f>
        <v>purchase</v>
      </c>
      <c r="D814" s="10">
        <f t="shared" si="1"/>
        <v>45369</v>
      </c>
      <c r="E814" s="10">
        <f t="shared" si="2"/>
        <v>45369</v>
      </c>
      <c r="F814" s="10">
        <f t="shared" si="3"/>
        <v>45352</v>
      </c>
      <c r="G814" s="11"/>
    </row>
    <row r="815">
      <c r="A815" s="5">
        <f>IFERROR(__xludf.DUMMYFUNCTION("""COMPUTED_VALUE"""),6439.0)</f>
        <v>6439</v>
      </c>
      <c r="B815" s="9">
        <f>IFERROR(__xludf.DUMMYFUNCTION("""COMPUTED_VALUE"""),45369.40222222222)</f>
        <v>45369.40222</v>
      </c>
      <c r="C815" s="5" t="str">
        <f>IFERROR(__xludf.DUMMYFUNCTION("""COMPUTED_VALUE"""),"purchase")</f>
        <v>purchase</v>
      </c>
      <c r="D815" s="10">
        <f t="shared" si="1"/>
        <v>45369</v>
      </c>
      <c r="E815" s="10">
        <f t="shared" si="2"/>
        <v>45369</v>
      </c>
      <c r="F815" s="10">
        <f t="shared" si="3"/>
        <v>45352</v>
      </c>
      <c r="G815" s="11"/>
    </row>
    <row r="816">
      <c r="A816" s="5">
        <f>IFERROR(__xludf.DUMMYFUNCTION("""COMPUTED_VALUE"""),2919.0)</f>
        <v>2919</v>
      </c>
      <c r="B816" s="9">
        <f>IFERROR(__xludf.DUMMYFUNCTION("""COMPUTED_VALUE"""),45369.44978009259)</f>
        <v>45369.44978</v>
      </c>
      <c r="C816" s="5" t="str">
        <f>IFERROR(__xludf.DUMMYFUNCTION("""COMPUTED_VALUE"""),"purchase")</f>
        <v>purchase</v>
      </c>
      <c r="D816" s="10">
        <f t="shared" si="1"/>
        <v>45369</v>
      </c>
      <c r="E816" s="10">
        <f t="shared" si="2"/>
        <v>45369</v>
      </c>
      <c r="F816" s="10">
        <f t="shared" si="3"/>
        <v>45352</v>
      </c>
      <c r="G816" s="11"/>
    </row>
    <row r="817">
      <c r="A817" s="5">
        <f>IFERROR(__xludf.DUMMYFUNCTION("""COMPUTED_VALUE"""),34.0)</f>
        <v>34</v>
      </c>
      <c r="B817" s="9">
        <f>IFERROR(__xludf.DUMMYFUNCTION("""COMPUTED_VALUE"""),45369.581655092596)</f>
        <v>45369.58166</v>
      </c>
      <c r="C817" s="5" t="str">
        <f>IFERROR(__xludf.DUMMYFUNCTION("""COMPUTED_VALUE"""),"purchase")</f>
        <v>purchase</v>
      </c>
      <c r="D817" s="10">
        <f t="shared" si="1"/>
        <v>45369</v>
      </c>
      <c r="E817" s="10">
        <f t="shared" si="2"/>
        <v>45369</v>
      </c>
      <c r="F817" s="10">
        <f t="shared" si="3"/>
        <v>45352</v>
      </c>
      <c r="G817" s="11"/>
    </row>
    <row r="818">
      <c r="A818" s="5">
        <f>IFERROR(__xludf.DUMMYFUNCTION("""COMPUTED_VALUE"""),5258.0)</f>
        <v>5258</v>
      </c>
      <c r="B818" s="9">
        <f>IFERROR(__xludf.DUMMYFUNCTION("""COMPUTED_VALUE"""),45369.69869212963)</f>
        <v>45369.69869</v>
      </c>
      <c r="C818" s="5" t="str">
        <f>IFERROR(__xludf.DUMMYFUNCTION("""COMPUTED_VALUE"""),"purchase")</f>
        <v>purchase</v>
      </c>
      <c r="D818" s="10">
        <f t="shared" si="1"/>
        <v>45369</v>
      </c>
      <c r="E818" s="10">
        <f t="shared" si="2"/>
        <v>45369</v>
      </c>
      <c r="F818" s="10">
        <f t="shared" si="3"/>
        <v>45352</v>
      </c>
      <c r="G818" s="11"/>
    </row>
    <row r="819">
      <c r="A819" s="5">
        <f>IFERROR(__xludf.DUMMYFUNCTION("""COMPUTED_VALUE"""),433.0)</f>
        <v>433</v>
      </c>
      <c r="B819" s="9">
        <f>IFERROR(__xludf.DUMMYFUNCTION("""COMPUTED_VALUE"""),45369.83385416667)</f>
        <v>45369.83385</v>
      </c>
      <c r="C819" s="5" t="str">
        <f>IFERROR(__xludf.DUMMYFUNCTION("""COMPUTED_VALUE"""),"purchase")</f>
        <v>purchase</v>
      </c>
      <c r="D819" s="10">
        <f t="shared" si="1"/>
        <v>45369</v>
      </c>
      <c r="E819" s="10">
        <f t="shared" si="2"/>
        <v>45369</v>
      </c>
      <c r="F819" s="10">
        <f t="shared" si="3"/>
        <v>45352</v>
      </c>
      <c r="G819" s="11"/>
    </row>
    <row r="820">
      <c r="A820" s="5">
        <f>IFERROR(__xludf.DUMMYFUNCTION("""COMPUTED_VALUE"""),1182.0)</f>
        <v>1182</v>
      </c>
      <c r="B820" s="9">
        <f>IFERROR(__xludf.DUMMYFUNCTION("""COMPUTED_VALUE"""),45370.08306712963)</f>
        <v>45370.08307</v>
      </c>
      <c r="C820" s="5" t="str">
        <f>IFERROR(__xludf.DUMMYFUNCTION("""COMPUTED_VALUE"""),"purchase")</f>
        <v>purchase</v>
      </c>
      <c r="D820" s="10">
        <f t="shared" si="1"/>
        <v>45370</v>
      </c>
      <c r="E820" s="10">
        <f t="shared" si="2"/>
        <v>45369</v>
      </c>
      <c r="F820" s="10">
        <f t="shared" si="3"/>
        <v>45352</v>
      </c>
      <c r="G820" s="11"/>
    </row>
    <row r="821">
      <c r="A821" s="5">
        <f>IFERROR(__xludf.DUMMYFUNCTION("""COMPUTED_VALUE"""),5474.0)</f>
        <v>5474</v>
      </c>
      <c r="B821" s="9">
        <f>IFERROR(__xludf.DUMMYFUNCTION("""COMPUTED_VALUE"""),45370.118738425925)</f>
        <v>45370.11874</v>
      </c>
      <c r="C821" s="5" t="str">
        <f>IFERROR(__xludf.DUMMYFUNCTION("""COMPUTED_VALUE"""),"purchase")</f>
        <v>purchase</v>
      </c>
      <c r="D821" s="10">
        <f t="shared" si="1"/>
        <v>45370</v>
      </c>
      <c r="E821" s="10">
        <f t="shared" si="2"/>
        <v>45369</v>
      </c>
      <c r="F821" s="10">
        <f t="shared" si="3"/>
        <v>45352</v>
      </c>
      <c r="G821" s="11"/>
    </row>
    <row r="822">
      <c r="A822" s="5">
        <f>IFERROR(__xludf.DUMMYFUNCTION("""COMPUTED_VALUE"""),2808.0)</f>
        <v>2808</v>
      </c>
      <c r="B822" s="9">
        <f>IFERROR(__xludf.DUMMYFUNCTION("""COMPUTED_VALUE"""),45370.2716087963)</f>
        <v>45370.27161</v>
      </c>
      <c r="C822" s="5" t="str">
        <f>IFERROR(__xludf.DUMMYFUNCTION("""COMPUTED_VALUE"""),"purchase")</f>
        <v>purchase</v>
      </c>
      <c r="D822" s="10">
        <f t="shared" si="1"/>
        <v>45370</v>
      </c>
      <c r="E822" s="10">
        <f t="shared" si="2"/>
        <v>45369</v>
      </c>
      <c r="F822" s="10">
        <f t="shared" si="3"/>
        <v>45352</v>
      </c>
      <c r="G822" s="11"/>
    </row>
    <row r="823">
      <c r="A823" s="5">
        <f>IFERROR(__xludf.DUMMYFUNCTION("""COMPUTED_VALUE"""),2346.0)</f>
        <v>2346</v>
      </c>
      <c r="B823" s="9">
        <f>IFERROR(__xludf.DUMMYFUNCTION("""COMPUTED_VALUE"""),45370.2812962963)</f>
        <v>45370.2813</v>
      </c>
      <c r="C823" s="5" t="str">
        <f>IFERROR(__xludf.DUMMYFUNCTION("""COMPUTED_VALUE"""),"purchase")</f>
        <v>purchase</v>
      </c>
      <c r="D823" s="10">
        <f t="shared" si="1"/>
        <v>45370</v>
      </c>
      <c r="E823" s="10">
        <f t="shared" si="2"/>
        <v>45369</v>
      </c>
      <c r="F823" s="10">
        <f t="shared" si="3"/>
        <v>45352</v>
      </c>
      <c r="G823" s="11"/>
    </row>
    <row r="824">
      <c r="A824" s="5">
        <f>IFERROR(__xludf.DUMMYFUNCTION("""COMPUTED_VALUE"""),4831.0)</f>
        <v>4831</v>
      </c>
      <c r="B824" s="9">
        <f>IFERROR(__xludf.DUMMYFUNCTION("""COMPUTED_VALUE"""),45370.3984375)</f>
        <v>45370.39844</v>
      </c>
      <c r="C824" s="5" t="str">
        <f>IFERROR(__xludf.DUMMYFUNCTION("""COMPUTED_VALUE"""),"purchase")</f>
        <v>purchase</v>
      </c>
      <c r="D824" s="10">
        <f t="shared" si="1"/>
        <v>45370</v>
      </c>
      <c r="E824" s="10">
        <f t="shared" si="2"/>
        <v>45369</v>
      </c>
      <c r="F824" s="10">
        <f t="shared" si="3"/>
        <v>45352</v>
      </c>
      <c r="G824" s="11"/>
    </row>
    <row r="825">
      <c r="A825" s="5">
        <f>IFERROR(__xludf.DUMMYFUNCTION("""COMPUTED_VALUE"""),2023.0)</f>
        <v>2023</v>
      </c>
      <c r="B825" s="9">
        <f>IFERROR(__xludf.DUMMYFUNCTION("""COMPUTED_VALUE"""),45370.437106481484)</f>
        <v>45370.43711</v>
      </c>
      <c r="C825" s="5" t="str">
        <f>IFERROR(__xludf.DUMMYFUNCTION("""COMPUTED_VALUE"""),"purchase")</f>
        <v>purchase</v>
      </c>
      <c r="D825" s="10">
        <f t="shared" si="1"/>
        <v>45370</v>
      </c>
      <c r="E825" s="10">
        <f t="shared" si="2"/>
        <v>45369</v>
      </c>
      <c r="F825" s="10">
        <f t="shared" si="3"/>
        <v>45352</v>
      </c>
      <c r="G825" s="11"/>
    </row>
    <row r="826">
      <c r="A826" s="5">
        <f>IFERROR(__xludf.DUMMYFUNCTION("""COMPUTED_VALUE"""),3685.0)</f>
        <v>3685</v>
      </c>
      <c r="B826" s="9">
        <f>IFERROR(__xludf.DUMMYFUNCTION("""COMPUTED_VALUE"""),45370.63230324074)</f>
        <v>45370.6323</v>
      </c>
      <c r="C826" s="5" t="str">
        <f>IFERROR(__xludf.DUMMYFUNCTION("""COMPUTED_VALUE"""),"purchase")</f>
        <v>purchase</v>
      </c>
      <c r="D826" s="10">
        <f t="shared" si="1"/>
        <v>45370</v>
      </c>
      <c r="E826" s="10">
        <f t="shared" si="2"/>
        <v>45369</v>
      </c>
      <c r="F826" s="10">
        <f t="shared" si="3"/>
        <v>45352</v>
      </c>
      <c r="G826" s="11"/>
    </row>
    <row r="827">
      <c r="A827" s="5">
        <f>IFERROR(__xludf.DUMMYFUNCTION("""COMPUTED_VALUE"""),4828.0)</f>
        <v>4828</v>
      </c>
      <c r="B827" s="9">
        <f>IFERROR(__xludf.DUMMYFUNCTION("""COMPUTED_VALUE"""),45370.74686342593)</f>
        <v>45370.74686</v>
      </c>
      <c r="C827" s="5" t="str">
        <f>IFERROR(__xludf.DUMMYFUNCTION("""COMPUTED_VALUE"""),"purchase")</f>
        <v>purchase</v>
      </c>
      <c r="D827" s="10">
        <f t="shared" si="1"/>
        <v>45370</v>
      </c>
      <c r="E827" s="10">
        <f t="shared" si="2"/>
        <v>45369</v>
      </c>
      <c r="F827" s="10">
        <f t="shared" si="3"/>
        <v>45352</v>
      </c>
      <c r="G827" s="11"/>
    </row>
    <row r="828">
      <c r="A828" s="5">
        <f>IFERROR(__xludf.DUMMYFUNCTION("""COMPUTED_VALUE"""),6493.0)</f>
        <v>6493</v>
      </c>
      <c r="B828" s="9">
        <f>IFERROR(__xludf.DUMMYFUNCTION("""COMPUTED_VALUE"""),45370.7587037037)</f>
        <v>45370.7587</v>
      </c>
      <c r="C828" s="5" t="str">
        <f>IFERROR(__xludf.DUMMYFUNCTION("""COMPUTED_VALUE"""),"purchase")</f>
        <v>purchase</v>
      </c>
      <c r="D828" s="10">
        <f t="shared" si="1"/>
        <v>45370</v>
      </c>
      <c r="E828" s="10">
        <f t="shared" si="2"/>
        <v>45369</v>
      </c>
      <c r="F828" s="10">
        <f t="shared" si="3"/>
        <v>45352</v>
      </c>
      <c r="G828" s="11"/>
    </row>
    <row r="829">
      <c r="A829" s="5">
        <f>IFERROR(__xludf.DUMMYFUNCTION("""COMPUTED_VALUE"""),260.0)</f>
        <v>260</v>
      </c>
      <c r="B829" s="9">
        <f>IFERROR(__xludf.DUMMYFUNCTION("""COMPUTED_VALUE"""),45370.965162037035)</f>
        <v>45370.96516</v>
      </c>
      <c r="C829" s="5" t="str">
        <f>IFERROR(__xludf.DUMMYFUNCTION("""COMPUTED_VALUE"""),"purchase")</f>
        <v>purchase</v>
      </c>
      <c r="D829" s="10">
        <f t="shared" si="1"/>
        <v>45370</v>
      </c>
      <c r="E829" s="10">
        <f t="shared" si="2"/>
        <v>45369</v>
      </c>
      <c r="F829" s="10">
        <f t="shared" si="3"/>
        <v>45352</v>
      </c>
      <c r="G829" s="11"/>
    </row>
    <row r="830">
      <c r="A830" s="5">
        <f>IFERROR(__xludf.DUMMYFUNCTION("""COMPUTED_VALUE"""),4252.0)</f>
        <v>4252</v>
      </c>
      <c r="B830" s="9">
        <f>IFERROR(__xludf.DUMMYFUNCTION("""COMPUTED_VALUE"""),45370.97869212963)</f>
        <v>45370.97869</v>
      </c>
      <c r="C830" s="5" t="str">
        <f>IFERROR(__xludf.DUMMYFUNCTION("""COMPUTED_VALUE"""),"purchase")</f>
        <v>purchase</v>
      </c>
      <c r="D830" s="10">
        <f t="shared" si="1"/>
        <v>45370</v>
      </c>
      <c r="E830" s="10">
        <f t="shared" si="2"/>
        <v>45369</v>
      </c>
      <c r="F830" s="10">
        <f t="shared" si="3"/>
        <v>45352</v>
      </c>
      <c r="G830" s="11"/>
    </row>
    <row r="831">
      <c r="A831" s="5">
        <f>IFERROR(__xludf.DUMMYFUNCTION("""COMPUTED_VALUE"""),7613.0)</f>
        <v>7613</v>
      </c>
      <c r="B831" s="9">
        <f>IFERROR(__xludf.DUMMYFUNCTION("""COMPUTED_VALUE"""),45371.215995370374)</f>
        <v>45371.216</v>
      </c>
      <c r="C831" s="5" t="str">
        <f>IFERROR(__xludf.DUMMYFUNCTION("""COMPUTED_VALUE"""),"purchase")</f>
        <v>purchase</v>
      </c>
      <c r="D831" s="10">
        <f t="shared" si="1"/>
        <v>45371</v>
      </c>
      <c r="E831" s="10">
        <f t="shared" si="2"/>
        <v>45369</v>
      </c>
      <c r="F831" s="10">
        <f t="shared" si="3"/>
        <v>45352</v>
      </c>
      <c r="G831" s="11"/>
    </row>
    <row r="832">
      <c r="A832" s="5">
        <f>IFERROR(__xludf.DUMMYFUNCTION("""COMPUTED_VALUE"""),3406.0)</f>
        <v>3406</v>
      </c>
      <c r="B832" s="9">
        <f>IFERROR(__xludf.DUMMYFUNCTION("""COMPUTED_VALUE"""),45371.25881944445)</f>
        <v>45371.25882</v>
      </c>
      <c r="C832" s="5" t="str">
        <f>IFERROR(__xludf.DUMMYFUNCTION("""COMPUTED_VALUE"""),"purchase")</f>
        <v>purchase</v>
      </c>
      <c r="D832" s="10">
        <f t="shared" si="1"/>
        <v>45371</v>
      </c>
      <c r="E832" s="10">
        <f t="shared" si="2"/>
        <v>45369</v>
      </c>
      <c r="F832" s="10">
        <f t="shared" si="3"/>
        <v>45352</v>
      </c>
      <c r="G832" s="11"/>
    </row>
    <row r="833">
      <c r="A833" s="5">
        <f>IFERROR(__xludf.DUMMYFUNCTION("""COMPUTED_VALUE"""),1942.0)</f>
        <v>1942</v>
      </c>
      <c r="B833" s="9">
        <f>IFERROR(__xludf.DUMMYFUNCTION("""COMPUTED_VALUE"""),45371.27715277778)</f>
        <v>45371.27715</v>
      </c>
      <c r="C833" s="5" t="str">
        <f>IFERROR(__xludf.DUMMYFUNCTION("""COMPUTED_VALUE"""),"purchase")</f>
        <v>purchase</v>
      </c>
      <c r="D833" s="10">
        <f t="shared" si="1"/>
        <v>45371</v>
      </c>
      <c r="E833" s="10">
        <f t="shared" si="2"/>
        <v>45369</v>
      </c>
      <c r="F833" s="10">
        <f t="shared" si="3"/>
        <v>45352</v>
      </c>
      <c r="G833" s="11"/>
    </row>
    <row r="834">
      <c r="A834" s="5">
        <f>IFERROR(__xludf.DUMMYFUNCTION("""COMPUTED_VALUE"""),6063.0)</f>
        <v>6063</v>
      </c>
      <c r="B834" s="9">
        <f>IFERROR(__xludf.DUMMYFUNCTION("""COMPUTED_VALUE"""),45371.331979166665)</f>
        <v>45371.33198</v>
      </c>
      <c r="C834" s="5" t="str">
        <f>IFERROR(__xludf.DUMMYFUNCTION("""COMPUTED_VALUE"""),"purchase")</f>
        <v>purchase</v>
      </c>
      <c r="D834" s="10">
        <f t="shared" si="1"/>
        <v>45371</v>
      </c>
      <c r="E834" s="10">
        <f t="shared" si="2"/>
        <v>45369</v>
      </c>
      <c r="F834" s="10">
        <f t="shared" si="3"/>
        <v>45352</v>
      </c>
      <c r="G834" s="11"/>
    </row>
    <row r="835">
      <c r="A835" s="5">
        <f>IFERROR(__xludf.DUMMYFUNCTION("""COMPUTED_VALUE"""),2928.0)</f>
        <v>2928</v>
      </c>
      <c r="B835" s="9">
        <f>IFERROR(__xludf.DUMMYFUNCTION("""COMPUTED_VALUE"""),45371.48409722222)</f>
        <v>45371.4841</v>
      </c>
      <c r="C835" s="5" t="str">
        <f>IFERROR(__xludf.DUMMYFUNCTION("""COMPUTED_VALUE"""),"purchase")</f>
        <v>purchase</v>
      </c>
      <c r="D835" s="10">
        <f t="shared" si="1"/>
        <v>45371</v>
      </c>
      <c r="E835" s="10">
        <f t="shared" si="2"/>
        <v>45369</v>
      </c>
      <c r="F835" s="10">
        <f t="shared" si="3"/>
        <v>45352</v>
      </c>
      <c r="G835" s="11"/>
    </row>
    <row r="836">
      <c r="A836" s="5">
        <f>IFERROR(__xludf.DUMMYFUNCTION("""COMPUTED_VALUE"""),1177.0)</f>
        <v>1177</v>
      </c>
      <c r="B836" s="9">
        <f>IFERROR(__xludf.DUMMYFUNCTION("""COMPUTED_VALUE"""),45371.61207175926)</f>
        <v>45371.61207</v>
      </c>
      <c r="C836" s="5" t="str">
        <f>IFERROR(__xludf.DUMMYFUNCTION("""COMPUTED_VALUE"""),"purchase")</f>
        <v>purchase</v>
      </c>
      <c r="D836" s="10">
        <f t="shared" si="1"/>
        <v>45371</v>
      </c>
      <c r="E836" s="10">
        <f t="shared" si="2"/>
        <v>45369</v>
      </c>
      <c r="F836" s="10">
        <f t="shared" si="3"/>
        <v>45352</v>
      </c>
      <c r="G836" s="11"/>
    </row>
    <row r="837">
      <c r="A837" s="5">
        <f>IFERROR(__xludf.DUMMYFUNCTION("""COMPUTED_VALUE"""),2211.0)</f>
        <v>2211</v>
      </c>
      <c r="B837" s="9">
        <f>IFERROR(__xludf.DUMMYFUNCTION("""COMPUTED_VALUE"""),45371.666875)</f>
        <v>45371.66688</v>
      </c>
      <c r="C837" s="5" t="str">
        <f>IFERROR(__xludf.DUMMYFUNCTION("""COMPUTED_VALUE"""),"purchase")</f>
        <v>purchase</v>
      </c>
      <c r="D837" s="10">
        <f t="shared" si="1"/>
        <v>45371</v>
      </c>
      <c r="E837" s="10">
        <f t="shared" si="2"/>
        <v>45369</v>
      </c>
      <c r="F837" s="10">
        <f t="shared" si="3"/>
        <v>45352</v>
      </c>
      <c r="G837" s="11"/>
    </row>
    <row r="838">
      <c r="A838" s="5">
        <f>IFERROR(__xludf.DUMMYFUNCTION("""COMPUTED_VALUE"""),108.0)</f>
        <v>108</v>
      </c>
      <c r="B838" s="9">
        <f>IFERROR(__xludf.DUMMYFUNCTION("""COMPUTED_VALUE"""),45371.6671875)</f>
        <v>45371.66719</v>
      </c>
      <c r="C838" s="5" t="str">
        <f>IFERROR(__xludf.DUMMYFUNCTION("""COMPUTED_VALUE"""),"purchase")</f>
        <v>purchase</v>
      </c>
      <c r="D838" s="10">
        <f t="shared" si="1"/>
        <v>45371</v>
      </c>
      <c r="E838" s="10">
        <f t="shared" si="2"/>
        <v>45369</v>
      </c>
      <c r="F838" s="10">
        <f t="shared" si="3"/>
        <v>45352</v>
      </c>
      <c r="G838" s="11"/>
    </row>
    <row r="839">
      <c r="A839" s="5">
        <f>IFERROR(__xludf.DUMMYFUNCTION("""COMPUTED_VALUE"""),6265.0)</f>
        <v>6265</v>
      </c>
      <c r="B839" s="9">
        <f>IFERROR(__xludf.DUMMYFUNCTION("""COMPUTED_VALUE"""),45371.8734837963)</f>
        <v>45371.87348</v>
      </c>
      <c r="C839" s="5" t="str">
        <f>IFERROR(__xludf.DUMMYFUNCTION("""COMPUTED_VALUE"""),"purchase")</f>
        <v>purchase</v>
      </c>
      <c r="D839" s="10">
        <f t="shared" si="1"/>
        <v>45371</v>
      </c>
      <c r="E839" s="10">
        <f t="shared" si="2"/>
        <v>45369</v>
      </c>
      <c r="F839" s="10">
        <f t="shared" si="3"/>
        <v>45352</v>
      </c>
      <c r="G839" s="11"/>
    </row>
    <row r="840">
      <c r="A840" s="5">
        <f>IFERROR(__xludf.DUMMYFUNCTION("""COMPUTED_VALUE"""),4670.0)</f>
        <v>4670</v>
      </c>
      <c r="B840" s="9">
        <f>IFERROR(__xludf.DUMMYFUNCTION("""COMPUTED_VALUE"""),45372.07016203704)</f>
        <v>45372.07016</v>
      </c>
      <c r="C840" s="5" t="str">
        <f>IFERROR(__xludf.DUMMYFUNCTION("""COMPUTED_VALUE"""),"purchase")</f>
        <v>purchase</v>
      </c>
      <c r="D840" s="10">
        <f t="shared" si="1"/>
        <v>45372</v>
      </c>
      <c r="E840" s="10">
        <f t="shared" si="2"/>
        <v>45369</v>
      </c>
      <c r="F840" s="10">
        <f t="shared" si="3"/>
        <v>45352</v>
      </c>
      <c r="G840" s="11"/>
    </row>
    <row r="841">
      <c r="A841" s="5">
        <f>IFERROR(__xludf.DUMMYFUNCTION("""COMPUTED_VALUE"""),6386.0)</f>
        <v>6386</v>
      </c>
      <c r="B841" s="9">
        <f>IFERROR(__xludf.DUMMYFUNCTION("""COMPUTED_VALUE"""),45372.08650462963)</f>
        <v>45372.0865</v>
      </c>
      <c r="C841" s="5" t="str">
        <f>IFERROR(__xludf.DUMMYFUNCTION("""COMPUTED_VALUE"""),"purchase")</f>
        <v>purchase</v>
      </c>
      <c r="D841" s="10">
        <f t="shared" si="1"/>
        <v>45372</v>
      </c>
      <c r="E841" s="10">
        <f t="shared" si="2"/>
        <v>45369</v>
      </c>
      <c r="F841" s="10">
        <f t="shared" si="3"/>
        <v>45352</v>
      </c>
      <c r="G841" s="11"/>
    </row>
    <row r="842">
      <c r="A842" s="5">
        <f>IFERROR(__xludf.DUMMYFUNCTION("""COMPUTED_VALUE"""),7113.0)</f>
        <v>7113</v>
      </c>
      <c r="B842" s="9">
        <f>IFERROR(__xludf.DUMMYFUNCTION("""COMPUTED_VALUE"""),45372.345821759256)</f>
        <v>45372.34582</v>
      </c>
      <c r="C842" s="5" t="str">
        <f>IFERROR(__xludf.DUMMYFUNCTION("""COMPUTED_VALUE"""),"purchase")</f>
        <v>purchase</v>
      </c>
      <c r="D842" s="10">
        <f t="shared" si="1"/>
        <v>45372</v>
      </c>
      <c r="E842" s="10">
        <f t="shared" si="2"/>
        <v>45369</v>
      </c>
      <c r="F842" s="10">
        <f t="shared" si="3"/>
        <v>45352</v>
      </c>
      <c r="G842" s="11"/>
    </row>
    <row r="843">
      <c r="A843" s="5">
        <f>IFERROR(__xludf.DUMMYFUNCTION("""COMPUTED_VALUE"""),6660.0)</f>
        <v>6660</v>
      </c>
      <c r="B843" s="9">
        <f>IFERROR(__xludf.DUMMYFUNCTION("""COMPUTED_VALUE"""),45372.43662037037)</f>
        <v>45372.43662</v>
      </c>
      <c r="C843" s="5" t="str">
        <f>IFERROR(__xludf.DUMMYFUNCTION("""COMPUTED_VALUE"""),"purchase")</f>
        <v>purchase</v>
      </c>
      <c r="D843" s="10">
        <f t="shared" si="1"/>
        <v>45372</v>
      </c>
      <c r="E843" s="10">
        <f t="shared" si="2"/>
        <v>45369</v>
      </c>
      <c r="F843" s="10">
        <f t="shared" si="3"/>
        <v>45352</v>
      </c>
      <c r="G843" s="11"/>
    </row>
    <row r="844">
      <c r="A844" s="5">
        <f>IFERROR(__xludf.DUMMYFUNCTION("""COMPUTED_VALUE"""),4998.0)</f>
        <v>4998</v>
      </c>
      <c r="B844" s="9">
        <f>IFERROR(__xludf.DUMMYFUNCTION("""COMPUTED_VALUE"""),45372.50270833333)</f>
        <v>45372.50271</v>
      </c>
      <c r="C844" s="5" t="str">
        <f>IFERROR(__xludf.DUMMYFUNCTION("""COMPUTED_VALUE"""),"purchase")</f>
        <v>purchase</v>
      </c>
      <c r="D844" s="10">
        <f t="shared" si="1"/>
        <v>45372</v>
      </c>
      <c r="E844" s="10">
        <f t="shared" si="2"/>
        <v>45369</v>
      </c>
      <c r="F844" s="10">
        <f t="shared" si="3"/>
        <v>45352</v>
      </c>
      <c r="G844" s="11"/>
    </row>
    <row r="845">
      <c r="A845" s="5">
        <f>IFERROR(__xludf.DUMMYFUNCTION("""COMPUTED_VALUE"""),7377.0)</f>
        <v>7377</v>
      </c>
      <c r="B845" s="9">
        <f>IFERROR(__xludf.DUMMYFUNCTION("""COMPUTED_VALUE"""),45372.52196759259)</f>
        <v>45372.52197</v>
      </c>
      <c r="C845" s="5" t="str">
        <f>IFERROR(__xludf.DUMMYFUNCTION("""COMPUTED_VALUE"""),"purchase")</f>
        <v>purchase</v>
      </c>
      <c r="D845" s="10">
        <f t="shared" si="1"/>
        <v>45372</v>
      </c>
      <c r="E845" s="10">
        <f t="shared" si="2"/>
        <v>45369</v>
      </c>
      <c r="F845" s="10">
        <f t="shared" si="3"/>
        <v>45352</v>
      </c>
      <c r="G845" s="11"/>
    </row>
    <row r="846">
      <c r="A846" s="5">
        <f>IFERROR(__xludf.DUMMYFUNCTION("""COMPUTED_VALUE"""),6068.0)</f>
        <v>6068</v>
      </c>
      <c r="B846" s="9">
        <f>IFERROR(__xludf.DUMMYFUNCTION("""COMPUTED_VALUE"""),45372.52259259259)</f>
        <v>45372.52259</v>
      </c>
      <c r="C846" s="5" t="str">
        <f>IFERROR(__xludf.DUMMYFUNCTION("""COMPUTED_VALUE"""),"purchase")</f>
        <v>purchase</v>
      </c>
      <c r="D846" s="10">
        <f t="shared" si="1"/>
        <v>45372</v>
      </c>
      <c r="E846" s="10">
        <f t="shared" si="2"/>
        <v>45369</v>
      </c>
      <c r="F846" s="10">
        <f t="shared" si="3"/>
        <v>45352</v>
      </c>
      <c r="G846" s="11"/>
    </row>
    <row r="847">
      <c r="A847" s="5">
        <f>IFERROR(__xludf.DUMMYFUNCTION("""COMPUTED_VALUE"""),5803.0)</f>
        <v>5803</v>
      </c>
      <c r="B847" s="9">
        <f>IFERROR(__xludf.DUMMYFUNCTION("""COMPUTED_VALUE"""),45372.639918981484)</f>
        <v>45372.63992</v>
      </c>
      <c r="C847" s="5" t="str">
        <f>IFERROR(__xludf.DUMMYFUNCTION("""COMPUTED_VALUE"""),"purchase")</f>
        <v>purchase</v>
      </c>
      <c r="D847" s="10">
        <f t="shared" si="1"/>
        <v>45372</v>
      </c>
      <c r="E847" s="10">
        <f t="shared" si="2"/>
        <v>45369</v>
      </c>
      <c r="F847" s="10">
        <f t="shared" si="3"/>
        <v>45352</v>
      </c>
      <c r="G847" s="11"/>
    </row>
    <row r="848">
      <c r="A848" s="5">
        <f>IFERROR(__xludf.DUMMYFUNCTION("""COMPUTED_VALUE"""),4884.0)</f>
        <v>4884</v>
      </c>
      <c r="B848" s="9">
        <f>IFERROR(__xludf.DUMMYFUNCTION("""COMPUTED_VALUE"""),45372.64096064815)</f>
        <v>45372.64096</v>
      </c>
      <c r="C848" s="5" t="str">
        <f>IFERROR(__xludf.DUMMYFUNCTION("""COMPUTED_VALUE"""),"purchase")</f>
        <v>purchase</v>
      </c>
      <c r="D848" s="10">
        <f t="shared" si="1"/>
        <v>45372</v>
      </c>
      <c r="E848" s="10">
        <f t="shared" si="2"/>
        <v>45369</v>
      </c>
      <c r="F848" s="10">
        <f t="shared" si="3"/>
        <v>45352</v>
      </c>
      <c r="G848" s="11"/>
    </row>
    <row r="849">
      <c r="A849" s="5">
        <f>IFERROR(__xludf.DUMMYFUNCTION("""COMPUTED_VALUE"""),7322.0)</f>
        <v>7322</v>
      </c>
      <c r="B849" s="9">
        <f>IFERROR(__xludf.DUMMYFUNCTION("""COMPUTED_VALUE"""),45372.65590277778)</f>
        <v>45372.6559</v>
      </c>
      <c r="C849" s="5" t="str">
        <f>IFERROR(__xludf.DUMMYFUNCTION("""COMPUTED_VALUE"""),"purchase")</f>
        <v>purchase</v>
      </c>
      <c r="D849" s="10">
        <f t="shared" si="1"/>
        <v>45372</v>
      </c>
      <c r="E849" s="10">
        <f t="shared" si="2"/>
        <v>45369</v>
      </c>
      <c r="F849" s="10">
        <f t="shared" si="3"/>
        <v>45352</v>
      </c>
      <c r="G849" s="11"/>
    </row>
    <row r="850">
      <c r="A850" s="5">
        <f>IFERROR(__xludf.DUMMYFUNCTION("""COMPUTED_VALUE"""),1054.0)</f>
        <v>1054</v>
      </c>
      <c r="B850" s="9">
        <f>IFERROR(__xludf.DUMMYFUNCTION("""COMPUTED_VALUE"""),45372.756319444445)</f>
        <v>45372.75632</v>
      </c>
      <c r="C850" s="5" t="str">
        <f>IFERROR(__xludf.DUMMYFUNCTION("""COMPUTED_VALUE"""),"purchase")</f>
        <v>purchase</v>
      </c>
      <c r="D850" s="10">
        <f t="shared" si="1"/>
        <v>45372</v>
      </c>
      <c r="E850" s="10">
        <f t="shared" si="2"/>
        <v>45369</v>
      </c>
      <c r="F850" s="10">
        <f t="shared" si="3"/>
        <v>45352</v>
      </c>
      <c r="G850" s="11"/>
    </row>
    <row r="851">
      <c r="A851" s="5">
        <f>IFERROR(__xludf.DUMMYFUNCTION("""COMPUTED_VALUE"""),197.0)</f>
        <v>197</v>
      </c>
      <c r="B851" s="9">
        <f>IFERROR(__xludf.DUMMYFUNCTION("""COMPUTED_VALUE"""),45372.76116898148)</f>
        <v>45372.76117</v>
      </c>
      <c r="C851" s="5" t="str">
        <f>IFERROR(__xludf.DUMMYFUNCTION("""COMPUTED_VALUE"""),"purchase")</f>
        <v>purchase</v>
      </c>
      <c r="D851" s="10">
        <f t="shared" si="1"/>
        <v>45372</v>
      </c>
      <c r="E851" s="10">
        <f t="shared" si="2"/>
        <v>45369</v>
      </c>
      <c r="F851" s="10">
        <f t="shared" si="3"/>
        <v>45352</v>
      </c>
      <c r="G851" s="11"/>
    </row>
    <row r="852">
      <c r="A852" s="5">
        <f>IFERROR(__xludf.DUMMYFUNCTION("""COMPUTED_VALUE"""),1254.0)</f>
        <v>1254</v>
      </c>
      <c r="B852" s="9">
        <f>IFERROR(__xludf.DUMMYFUNCTION("""COMPUTED_VALUE"""),45372.87318287037)</f>
        <v>45372.87318</v>
      </c>
      <c r="C852" s="5" t="str">
        <f>IFERROR(__xludf.DUMMYFUNCTION("""COMPUTED_VALUE"""),"purchase")</f>
        <v>purchase</v>
      </c>
      <c r="D852" s="10">
        <f t="shared" si="1"/>
        <v>45372</v>
      </c>
      <c r="E852" s="10">
        <f t="shared" si="2"/>
        <v>45369</v>
      </c>
      <c r="F852" s="10">
        <f t="shared" si="3"/>
        <v>45352</v>
      </c>
      <c r="G852" s="11"/>
    </row>
    <row r="853">
      <c r="A853" s="5">
        <f>IFERROR(__xludf.DUMMYFUNCTION("""COMPUTED_VALUE"""),1536.0)</f>
        <v>1536</v>
      </c>
      <c r="B853" s="9">
        <f>IFERROR(__xludf.DUMMYFUNCTION("""COMPUTED_VALUE"""),45372.92150462963)</f>
        <v>45372.9215</v>
      </c>
      <c r="C853" s="5" t="str">
        <f>IFERROR(__xludf.DUMMYFUNCTION("""COMPUTED_VALUE"""),"purchase")</f>
        <v>purchase</v>
      </c>
      <c r="D853" s="10">
        <f t="shared" si="1"/>
        <v>45372</v>
      </c>
      <c r="E853" s="10">
        <f t="shared" si="2"/>
        <v>45369</v>
      </c>
      <c r="F853" s="10">
        <f t="shared" si="3"/>
        <v>45352</v>
      </c>
      <c r="G853" s="11"/>
    </row>
    <row r="854">
      <c r="A854" s="5">
        <f>IFERROR(__xludf.DUMMYFUNCTION("""COMPUTED_VALUE"""),2949.0)</f>
        <v>2949</v>
      </c>
      <c r="B854" s="9">
        <f>IFERROR(__xludf.DUMMYFUNCTION("""COMPUTED_VALUE"""),45373.015625)</f>
        <v>45373.01563</v>
      </c>
      <c r="C854" s="5" t="str">
        <f>IFERROR(__xludf.DUMMYFUNCTION("""COMPUTED_VALUE"""),"purchase")</f>
        <v>purchase</v>
      </c>
      <c r="D854" s="10">
        <f t="shared" si="1"/>
        <v>45373</v>
      </c>
      <c r="E854" s="10">
        <f t="shared" si="2"/>
        <v>45369</v>
      </c>
      <c r="F854" s="10">
        <f t="shared" si="3"/>
        <v>45352</v>
      </c>
      <c r="G854" s="11"/>
    </row>
    <row r="855">
      <c r="A855" s="5">
        <f>IFERROR(__xludf.DUMMYFUNCTION("""COMPUTED_VALUE"""),488.0)</f>
        <v>488</v>
      </c>
      <c r="B855" s="9">
        <f>IFERROR(__xludf.DUMMYFUNCTION("""COMPUTED_VALUE"""),45373.055138888885)</f>
        <v>45373.05514</v>
      </c>
      <c r="C855" s="5" t="str">
        <f>IFERROR(__xludf.DUMMYFUNCTION("""COMPUTED_VALUE"""),"purchase")</f>
        <v>purchase</v>
      </c>
      <c r="D855" s="10">
        <f t="shared" si="1"/>
        <v>45373</v>
      </c>
      <c r="E855" s="10">
        <f t="shared" si="2"/>
        <v>45369</v>
      </c>
      <c r="F855" s="10">
        <f t="shared" si="3"/>
        <v>45352</v>
      </c>
      <c r="G855" s="11"/>
    </row>
    <row r="856">
      <c r="A856" s="5">
        <f>IFERROR(__xludf.DUMMYFUNCTION("""COMPUTED_VALUE"""),2813.0)</f>
        <v>2813</v>
      </c>
      <c r="B856" s="9">
        <f>IFERROR(__xludf.DUMMYFUNCTION("""COMPUTED_VALUE"""),45373.233877314815)</f>
        <v>45373.23388</v>
      </c>
      <c r="C856" s="5" t="str">
        <f>IFERROR(__xludf.DUMMYFUNCTION("""COMPUTED_VALUE"""),"purchase")</f>
        <v>purchase</v>
      </c>
      <c r="D856" s="10">
        <f t="shared" si="1"/>
        <v>45373</v>
      </c>
      <c r="E856" s="10">
        <f t="shared" si="2"/>
        <v>45369</v>
      </c>
      <c r="F856" s="10">
        <f t="shared" si="3"/>
        <v>45352</v>
      </c>
      <c r="G856" s="11"/>
    </row>
    <row r="857">
      <c r="A857" s="5">
        <f>IFERROR(__xludf.DUMMYFUNCTION("""COMPUTED_VALUE"""),3001.0)</f>
        <v>3001</v>
      </c>
      <c r="B857" s="9">
        <f>IFERROR(__xludf.DUMMYFUNCTION("""COMPUTED_VALUE"""),45373.2455787037)</f>
        <v>45373.24558</v>
      </c>
      <c r="C857" s="5" t="str">
        <f>IFERROR(__xludf.DUMMYFUNCTION("""COMPUTED_VALUE"""),"purchase")</f>
        <v>purchase</v>
      </c>
      <c r="D857" s="10">
        <f t="shared" si="1"/>
        <v>45373</v>
      </c>
      <c r="E857" s="10">
        <f t="shared" si="2"/>
        <v>45369</v>
      </c>
      <c r="F857" s="10">
        <f t="shared" si="3"/>
        <v>45352</v>
      </c>
      <c r="G857" s="11"/>
    </row>
    <row r="858">
      <c r="A858" s="5">
        <f>IFERROR(__xludf.DUMMYFUNCTION("""COMPUTED_VALUE"""),1079.0)</f>
        <v>1079</v>
      </c>
      <c r="B858" s="9">
        <f>IFERROR(__xludf.DUMMYFUNCTION("""COMPUTED_VALUE"""),45373.25665509259)</f>
        <v>45373.25666</v>
      </c>
      <c r="C858" s="5" t="str">
        <f>IFERROR(__xludf.DUMMYFUNCTION("""COMPUTED_VALUE"""),"purchase")</f>
        <v>purchase</v>
      </c>
      <c r="D858" s="10">
        <f t="shared" si="1"/>
        <v>45373</v>
      </c>
      <c r="E858" s="10">
        <f t="shared" si="2"/>
        <v>45369</v>
      </c>
      <c r="F858" s="10">
        <f t="shared" si="3"/>
        <v>45352</v>
      </c>
      <c r="G858" s="11"/>
    </row>
    <row r="859">
      <c r="A859" s="5">
        <f>IFERROR(__xludf.DUMMYFUNCTION("""COMPUTED_VALUE"""),550.0)</f>
        <v>550</v>
      </c>
      <c r="B859" s="9">
        <f>IFERROR(__xludf.DUMMYFUNCTION("""COMPUTED_VALUE"""),45373.30021990741)</f>
        <v>45373.30022</v>
      </c>
      <c r="C859" s="5" t="str">
        <f>IFERROR(__xludf.DUMMYFUNCTION("""COMPUTED_VALUE"""),"purchase")</f>
        <v>purchase</v>
      </c>
      <c r="D859" s="10">
        <f t="shared" si="1"/>
        <v>45373</v>
      </c>
      <c r="E859" s="10">
        <f t="shared" si="2"/>
        <v>45369</v>
      </c>
      <c r="F859" s="10">
        <f t="shared" si="3"/>
        <v>45352</v>
      </c>
      <c r="G859" s="11"/>
    </row>
    <row r="860">
      <c r="A860" s="5">
        <f>IFERROR(__xludf.DUMMYFUNCTION("""COMPUTED_VALUE"""),7301.0)</f>
        <v>7301</v>
      </c>
      <c r="B860" s="9">
        <f>IFERROR(__xludf.DUMMYFUNCTION("""COMPUTED_VALUE"""),45373.41520833333)</f>
        <v>45373.41521</v>
      </c>
      <c r="C860" s="5" t="str">
        <f>IFERROR(__xludf.DUMMYFUNCTION("""COMPUTED_VALUE"""),"purchase")</f>
        <v>purchase</v>
      </c>
      <c r="D860" s="10">
        <f t="shared" si="1"/>
        <v>45373</v>
      </c>
      <c r="E860" s="10">
        <f t="shared" si="2"/>
        <v>45369</v>
      </c>
      <c r="F860" s="10">
        <f t="shared" si="3"/>
        <v>45352</v>
      </c>
      <c r="G860" s="11"/>
    </row>
    <row r="861">
      <c r="A861" s="5">
        <f>IFERROR(__xludf.DUMMYFUNCTION("""COMPUTED_VALUE"""),3072.0)</f>
        <v>3072</v>
      </c>
      <c r="B861" s="9">
        <f>IFERROR(__xludf.DUMMYFUNCTION("""COMPUTED_VALUE"""),45373.42775462963)</f>
        <v>45373.42775</v>
      </c>
      <c r="C861" s="5" t="str">
        <f>IFERROR(__xludf.DUMMYFUNCTION("""COMPUTED_VALUE"""),"purchase")</f>
        <v>purchase</v>
      </c>
      <c r="D861" s="10">
        <f t="shared" si="1"/>
        <v>45373</v>
      </c>
      <c r="E861" s="10">
        <f t="shared" si="2"/>
        <v>45369</v>
      </c>
      <c r="F861" s="10">
        <f t="shared" si="3"/>
        <v>45352</v>
      </c>
      <c r="G861" s="11"/>
    </row>
    <row r="862">
      <c r="A862" s="5">
        <f>IFERROR(__xludf.DUMMYFUNCTION("""COMPUTED_VALUE"""),3394.0)</f>
        <v>3394</v>
      </c>
      <c r="B862" s="9">
        <f>IFERROR(__xludf.DUMMYFUNCTION("""COMPUTED_VALUE"""),45373.42934027778)</f>
        <v>45373.42934</v>
      </c>
      <c r="C862" s="5" t="str">
        <f>IFERROR(__xludf.DUMMYFUNCTION("""COMPUTED_VALUE"""),"purchase")</f>
        <v>purchase</v>
      </c>
      <c r="D862" s="10">
        <f t="shared" si="1"/>
        <v>45373</v>
      </c>
      <c r="E862" s="10">
        <f t="shared" si="2"/>
        <v>45369</v>
      </c>
      <c r="F862" s="10">
        <f t="shared" si="3"/>
        <v>45352</v>
      </c>
      <c r="G862" s="11"/>
    </row>
    <row r="863">
      <c r="A863" s="5">
        <f>IFERROR(__xludf.DUMMYFUNCTION("""COMPUTED_VALUE"""),1076.0)</f>
        <v>1076</v>
      </c>
      <c r="B863" s="9">
        <f>IFERROR(__xludf.DUMMYFUNCTION("""COMPUTED_VALUE"""),45373.54571759259)</f>
        <v>45373.54572</v>
      </c>
      <c r="C863" s="5" t="str">
        <f>IFERROR(__xludf.DUMMYFUNCTION("""COMPUTED_VALUE"""),"purchase")</f>
        <v>purchase</v>
      </c>
      <c r="D863" s="10">
        <f t="shared" si="1"/>
        <v>45373</v>
      </c>
      <c r="E863" s="10">
        <f t="shared" si="2"/>
        <v>45369</v>
      </c>
      <c r="F863" s="10">
        <f t="shared" si="3"/>
        <v>45352</v>
      </c>
      <c r="G863" s="11"/>
    </row>
    <row r="864">
      <c r="A864" s="5">
        <f>IFERROR(__xludf.DUMMYFUNCTION("""COMPUTED_VALUE"""),7213.0)</f>
        <v>7213</v>
      </c>
      <c r="B864" s="9">
        <f>IFERROR(__xludf.DUMMYFUNCTION("""COMPUTED_VALUE"""),45373.824224537035)</f>
        <v>45373.82422</v>
      </c>
      <c r="C864" s="5" t="str">
        <f>IFERROR(__xludf.DUMMYFUNCTION("""COMPUTED_VALUE"""),"purchase")</f>
        <v>purchase</v>
      </c>
      <c r="D864" s="10">
        <f t="shared" si="1"/>
        <v>45373</v>
      </c>
      <c r="E864" s="10">
        <f t="shared" si="2"/>
        <v>45369</v>
      </c>
      <c r="F864" s="10">
        <f t="shared" si="3"/>
        <v>45352</v>
      </c>
      <c r="G864" s="11"/>
    </row>
    <row r="865">
      <c r="A865" s="5">
        <f>IFERROR(__xludf.DUMMYFUNCTION("""COMPUTED_VALUE"""),3033.0)</f>
        <v>3033</v>
      </c>
      <c r="B865" s="9">
        <f>IFERROR(__xludf.DUMMYFUNCTION("""COMPUTED_VALUE"""),45373.86199074074)</f>
        <v>45373.86199</v>
      </c>
      <c r="C865" s="5" t="str">
        <f>IFERROR(__xludf.DUMMYFUNCTION("""COMPUTED_VALUE"""),"purchase")</f>
        <v>purchase</v>
      </c>
      <c r="D865" s="10">
        <f t="shared" si="1"/>
        <v>45373</v>
      </c>
      <c r="E865" s="10">
        <f t="shared" si="2"/>
        <v>45369</v>
      </c>
      <c r="F865" s="10">
        <f t="shared" si="3"/>
        <v>45352</v>
      </c>
      <c r="G865" s="11"/>
    </row>
    <row r="866">
      <c r="A866" s="5">
        <f>IFERROR(__xludf.DUMMYFUNCTION("""COMPUTED_VALUE"""),6466.0)</f>
        <v>6466</v>
      </c>
      <c r="B866" s="9">
        <f>IFERROR(__xludf.DUMMYFUNCTION("""COMPUTED_VALUE"""),45373.879849537036)</f>
        <v>45373.87985</v>
      </c>
      <c r="C866" s="5" t="str">
        <f>IFERROR(__xludf.DUMMYFUNCTION("""COMPUTED_VALUE"""),"purchase")</f>
        <v>purchase</v>
      </c>
      <c r="D866" s="10">
        <f t="shared" si="1"/>
        <v>45373</v>
      </c>
      <c r="E866" s="10">
        <f t="shared" si="2"/>
        <v>45369</v>
      </c>
      <c r="F866" s="10">
        <f t="shared" si="3"/>
        <v>45352</v>
      </c>
      <c r="G866" s="11"/>
    </row>
    <row r="867">
      <c r="A867" s="5">
        <f>IFERROR(__xludf.DUMMYFUNCTION("""COMPUTED_VALUE"""),7828.0)</f>
        <v>7828</v>
      </c>
      <c r="B867" s="9">
        <f>IFERROR(__xludf.DUMMYFUNCTION("""COMPUTED_VALUE"""),45373.99784722222)</f>
        <v>45373.99785</v>
      </c>
      <c r="C867" s="5" t="str">
        <f>IFERROR(__xludf.DUMMYFUNCTION("""COMPUTED_VALUE"""),"purchase")</f>
        <v>purchase</v>
      </c>
      <c r="D867" s="10">
        <f t="shared" si="1"/>
        <v>45373</v>
      </c>
      <c r="E867" s="10">
        <f t="shared" si="2"/>
        <v>45369</v>
      </c>
      <c r="F867" s="10">
        <f t="shared" si="3"/>
        <v>45352</v>
      </c>
      <c r="G867" s="11"/>
    </row>
    <row r="868">
      <c r="A868" s="5">
        <f>IFERROR(__xludf.DUMMYFUNCTION("""COMPUTED_VALUE"""),1026.0)</f>
        <v>1026</v>
      </c>
      <c r="B868" s="9">
        <f>IFERROR(__xludf.DUMMYFUNCTION("""COMPUTED_VALUE"""),45374.06761574074)</f>
        <v>45374.06762</v>
      </c>
      <c r="C868" s="5" t="str">
        <f>IFERROR(__xludf.DUMMYFUNCTION("""COMPUTED_VALUE"""),"purchase")</f>
        <v>purchase</v>
      </c>
      <c r="D868" s="10">
        <f t="shared" si="1"/>
        <v>45374</v>
      </c>
      <c r="E868" s="10">
        <f t="shared" si="2"/>
        <v>45369</v>
      </c>
      <c r="F868" s="10">
        <f t="shared" si="3"/>
        <v>45352</v>
      </c>
      <c r="G868" s="11"/>
    </row>
    <row r="869">
      <c r="A869" s="5">
        <f>IFERROR(__xludf.DUMMYFUNCTION("""COMPUTED_VALUE"""),7825.0)</f>
        <v>7825</v>
      </c>
      <c r="B869" s="9">
        <f>IFERROR(__xludf.DUMMYFUNCTION("""COMPUTED_VALUE"""),45374.09434027778)</f>
        <v>45374.09434</v>
      </c>
      <c r="C869" s="5" t="str">
        <f>IFERROR(__xludf.DUMMYFUNCTION("""COMPUTED_VALUE"""),"purchase")</f>
        <v>purchase</v>
      </c>
      <c r="D869" s="10">
        <f t="shared" si="1"/>
        <v>45374</v>
      </c>
      <c r="E869" s="10">
        <f t="shared" si="2"/>
        <v>45369</v>
      </c>
      <c r="F869" s="10">
        <f t="shared" si="3"/>
        <v>45352</v>
      </c>
      <c r="G869" s="11"/>
    </row>
    <row r="870">
      <c r="A870" s="5">
        <f>IFERROR(__xludf.DUMMYFUNCTION("""COMPUTED_VALUE"""),6836.0)</f>
        <v>6836</v>
      </c>
      <c r="B870" s="9">
        <f>IFERROR(__xludf.DUMMYFUNCTION("""COMPUTED_VALUE"""),45374.132152777776)</f>
        <v>45374.13215</v>
      </c>
      <c r="C870" s="5" t="str">
        <f>IFERROR(__xludf.DUMMYFUNCTION("""COMPUTED_VALUE"""),"purchase")</f>
        <v>purchase</v>
      </c>
      <c r="D870" s="10">
        <f t="shared" si="1"/>
        <v>45374</v>
      </c>
      <c r="E870" s="10">
        <f t="shared" si="2"/>
        <v>45369</v>
      </c>
      <c r="F870" s="10">
        <f t="shared" si="3"/>
        <v>45352</v>
      </c>
      <c r="G870" s="11"/>
    </row>
    <row r="871">
      <c r="A871" s="5">
        <f>IFERROR(__xludf.DUMMYFUNCTION("""COMPUTED_VALUE"""),5717.0)</f>
        <v>5717</v>
      </c>
      <c r="B871" s="9">
        <f>IFERROR(__xludf.DUMMYFUNCTION("""COMPUTED_VALUE"""),45374.137453703705)</f>
        <v>45374.13745</v>
      </c>
      <c r="C871" s="5" t="str">
        <f>IFERROR(__xludf.DUMMYFUNCTION("""COMPUTED_VALUE"""),"purchase")</f>
        <v>purchase</v>
      </c>
      <c r="D871" s="10">
        <f t="shared" si="1"/>
        <v>45374</v>
      </c>
      <c r="E871" s="10">
        <f t="shared" si="2"/>
        <v>45369</v>
      </c>
      <c r="F871" s="10">
        <f t="shared" si="3"/>
        <v>45352</v>
      </c>
      <c r="G871" s="11"/>
    </row>
    <row r="872">
      <c r="A872" s="5">
        <f>IFERROR(__xludf.DUMMYFUNCTION("""COMPUTED_VALUE"""),1299.0)</f>
        <v>1299</v>
      </c>
      <c r="B872" s="9">
        <f>IFERROR(__xludf.DUMMYFUNCTION("""COMPUTED_VALUE"""),45374.14084490741)</f>
        <v>45374.14084</v>
      </c>
      <c r="C872" s="5" t="str">
        <f>IFERROR(__xludf.DUMMYFUNCTION("""COMPUTED_VALUE"""),"purchase")</f>
        <v>purchase</v>
      </c>
      <c r="D872" s="10">
        <f t="shared" si="1"/>
        <v>45374</v>
      </c>
      <c r="E872" s="10">
        <f t="shared" si="2"/>
        <v>45369</v>
      </c>
      <c r="F872" s="10">
        <f t="shared" si="3"/>
        <v>45352</v>
      </c>
      <c r="G872" s="11"/>
    </row>
    <row r="873">
      <c r="A873" s="5">
        <f>IFERROR(__xludf.DUMMYFUNCTION("""COMPUTED_VALUE"""),5675.0)</f>
        <v>5675</v>
      </c>
      <c r="B873" s="9">
        <f>IFERROR(__xludf.DUMMYFUNCTION("""COMPUTED_VALUE"""),45374.22045138889)</f>
        <v>45374.22045</v>
      </c>
      <c r="C873" s="5" t="str">
        <f>IFERROR(__xludf.DUMMYFUNCTION("""COMPUTED_VALUE"""),"purchase")</f>
        <v>purchase</v>
      </c>
      <c r="D873" s="10">
        <f t="shared" si="1"/>
        <v>45374</v>
      </c>
      <c r="E873" s="10">
        <f t="shared" si="2"/>
        <v>45369</v>
      </c>
      <c r="F873" s="10">
        <f t="shared" si="3"/>
        <v>45352</v>
      </c>
      <c r="G873" s="11"/>
    </row>
    <row r="874">
      <c r="A874" s="5">
        <f>IFERROR(__xludf.DUMMYFUNCTION("""COMPUTED_VALUE"""),3186.0)</f>
        <v>3186</v>
      </c>
      <c r="B874" s="9">
        <f>IFERROR(__xludf.DUMMYFUNCTION("""COMPUTED_VALUE"""),45374.24424768519)</f>
        <v>45374.24425</v>
      </c>
      <c r="C874" s="5" t="str">
        <f>IFERROR(__xludf.DUMMYFUNCTION("""COMPUTED_VALUE"""),"purchase")</f>
        <v>purchase</v>
      </c>
      <c r="D874" s="10">
        <f t="shared" si="1"/>
        <v>45374</v>
      </c>
      <c r="E874" s="10">
        <f t="shared" si="2"/>
        <v>45369</v>
      </c>
      <c r="F874" s="10">
        <f t="shared" si="3"/>
        <v>45352</v>
      </c>
      <c r="G874" s="11"/>
    </row>
    <row r="875">
      <c r="A875" s="5">
        <f>IFERROR(__xludf.DUMMYFUNCTION("""COMPUTED_VALUE"""),4501.0)</f>
        <v>4501</v>
      </c>
      <c r="B875" s="9">
        <f>IFERROR(__xludf.DUMMYFUNCTION("""COMPUTED_VALUE"""),45374.2484837963)</f>
        <v>45374.24848</v>
      </c>
      <c r="C875" s="5" t="str">
        <f>IFERROR(__xludf.DUMMYFUNCTION("""COMPUTED_VALUE"""),"purchase")</f>
        <v>purchase</v>
      </c>
      <c r="D875" s="10">
        <f t="shared" si="1"/>
        <v>45374</v>
      </c>
      <c r="E875" s="10">
        <f t="shared" si="2"/>
        <v>45369</v>
      </c>
      <c r="F875" s="10">
        <f t="shared" si="3"/>
        <v>45352</v>
      </c>
      <c r="G875" s="11"/>
    </row>
    <row r="876">
      <c r="A876" s="5">
        <f>IFERROR(__xludf.DUMMYFUNCTION("""COMPUTED_VALUE"""),2649.0)</f>
        <v>2649</v>
      </c>
      <c r="B876" s="9">
        <f>IFERROR(__xludf.DUMMYFUNCTION("""COMPUTED_VALUE"""),45374.2921875)</f>
        <v>45374.29219</v>
      </c>
      <c r="C876" s="5" t="str">
        <f>IFERROR(__xludf.DUMMYFUNCTION("""COMPUTED_VALUE"""),"purchase")</f>
        <v>purchase</v>
      </c>
      <c r="D876" s="10">
        <f t="shared" si="1"/>
        <v>45374</v>
      </c>
      <c r="E876" s="10">
        <f t="shared" si="2"/>
        <v>45369</v>
      </c>
      <c r="F876" s="10">
        <f t="shared" si="3"/>
        <v>45352</v>
      </c>
      <c r="G876" s="11"/>
    </row>
    <row r="877">
      <c r="A877" s="5">
        <f>IFERROR(__xludf.DUMMYFUNCTION("""COMPUTED_VALUE"""),6497.0)</f>
        <v>6497</v>
      </c>
      <c r="B877" s="9">
        <f>IFERROR(__xludf.DUMMYFUNCTION("""COMPUTED_VALUE"""),45374.31636574074)</f>
        <v>45374.31637</v>
      </c>
      <c r="C877" s="5" t="str">
        <f>IFERROR(__xludf.DUMMYFUNCTION("""COMPUTED_VALUE"""),"purchase")</f>
        <v>purchase</v>
      </c>
      <c r="D877" s="10">
        <f t="shared" si="1"/>
        <v>45374</v>
      </c>
      <c r="E877" s="10">
        <f t="shared" si="2"/>
        <v>45369</v>
      </c>
      <c r="F877" s="10">
        <f t="shared" si="3"/>
        <v>45352</v>
      </c>
      <c r="G877" s="11"/>
    </row>
    <row r="878">
      <c r="A878" s="5">
        <f>IFERROR(__xludf.DUMMYFUNCTION("""COMPUTED_VALUE"""),2551.0)</f>
        <v>2551</v>
      </c>
      <c r="B878" s="9">
        <f>IFERROR(__xludf.DUMMYFUNCTION("""COMPUTED_VALUE"""),45374.34070601852)</f>
        <v>45374.34071</v>
      </c>
      <c r="C878" s="5" t="str">
        <f>IFERROR(__xludf.DUMMYFUNCTION("""COMPUTED_VALUE"""),"purchase")</f>
        <v>purchase</v>
      </c>
      <c r="D878" s="10">
        <f t="shared" si="1"/>
        <v>45374</v>
      </c>
      <c r="E878" s="10">
        <f t="shared" si="2"/>
        <v>45369</v>
      </c>
      <c r="F878" s="10">
        <f t="shared" si="3"/>
        <v>45352</v>
      </c>
      <c r="G878" s="11"/>
    </row>
    <row r="879">
      <c r="A879" s="5">
        <f>IFERROR(__xludf.DUMMYFUNCTION("""COMPUTED_VALUE"""),834.0)</f>
        <v>834</v>
      </c>
      <c r="B879" s="9">
        <f>IFERROR(__xludf.DUMMYFUNCTION("""COMPUTED_VALUE"""),45374.39148148148)</f>
        <v>45374.39148</v>
      </c>
      <c r="C879" s="5" t="str">
        <f>IFERROR(__xludf.DUMMYFUNCTION("""COMPUTED_VALUE"""),"purchase")</f>
        <v>purchase</v>
      </c>
      <c r="D879" s="10">
        <f t="shared" si="1"/>
        <v>45374</v>
      </c>
      <c r="E879" s="10">
        <f t="shared" si="2"/>
        <v>45369</v>
      </c>
      <c r="F879" s="10">
        <f t="shared" si="3"/>
        <v>45352</v>
      </c>
      <c r="G879" s="11"/>
    </row>
    <row r="880">
      <c r="A880" s="5">
        <f>IFERROR(__xludf.DUMMYFUNCTION("""COMPUTED_VALUE"""),5003.0)</f>
        <v>5003</v>
      </c>
      <c r="B880" s="9">
        <f>IFERROR(__xludf.DUMMYFUNCTION("""COMPUTED_VALUE"""),45374.56873842593)</f>
        <v>45374.56874</v>
      </c>
      <c r="C880" s="5" t="str">
        <f>IFERROR(__xludf.DUMMYFUNCTION("""COMPUTED_VALUE"""),"purchase")</f>
        <v>purchase</v>
      </c>
      <c r="D880" s="10">
        <f t="shared" si="1"/>
        <v>45374</v>
      </c>
      <c r="E880" s="10">
        <f t="shared" si="2"/>
        <v>45369</v>
      </c>
      <c r="F880" s="10">
        <f t="shared" si="3"/>
        <v>45352</v>
      </c>
      <c r="G880" s="11"/>
    </row>
    <row r="881">
      <c r="A881" s="5">
        <f>IFERROR(__xludf.DUMMYFUNCTION("""COMPUTED_VALUE"""),4025.0)</f>
        <v>4025</v>
      </c>
      <c r="B881" s="9">
        <f>IFERROR(__xludf.DUMMYFUNCTION("""COMPUTED_VALUE"""),45374.59164351852)</f>
        <v>45374.59164</v>
      </c>
      <c r="C881" s="5" t="str">
        <f>IFERROR(__xludf.DUMMYFUNCTION("""COMPUTED_VALUE"""),"purchase")</f>
        <v>purchase</v>
      </c>
      <c r="D881" s="10">
        <f t="shared" si="1"/>
        <v>45374</v>
      </c>
      <c r="E881" s="10">
        <f t="shared" si="2"/>
        <v>45369</v>
      </c>
      <c r="F881" s="10">
        <f t="shared" si="3"/>
        <v>45352</v>
      </c>
      <c r="G881" s="11"/>
    </row>
    <row r="882">
      <c r="A882" s="5">
        <f>IFERROR(__xludf.DUMMYFUNCTION("""COMPUTED_VALUE"""),6469.0)</f>
        <v>6469</v>
      </c>
      <c r="B882" s="9">
        <f>IFERROR(__xludf.DUMMYFUNCTION("""COMPUTED_VALUE"""),45374.65803240741)</f>
        <v>45374.65803</v>
      </c>
      <c r="C882" s="5" t="str">
        <f>IFERROR(__xludf.DUMMYFUNCTION("""COMPUTED_VALUE"""),"purchase")</f>
        <v>purchase</v>
      </c>
      <c r="D882" s="10">
        <f t="shared" si="1"/>
        <v>45374</v>
      </c>
      <c r="E882" s="10">
        <f t="shared" si="2"/>
        <v>45369</v>
      </c>
      <c r="F882" s="10">
        <f t="shared" si="3"/>
        <v>45352</v>
      </c>
      <c r="G882" s="11"/>
    </row>
    <row r="883">
      <c r="A883" s="5">
        <f>IFERROR(__xludf.DUMMYFUNCTION("""COMPUTED_VALUE"""),2522.0)</f>
        <v>2522</v>
      </c>
      <c r="B883" s="9">
        <f>IFERROR(__xludf.DUMMYFUNCTION("""COMPUTED_VALUE"""),45374.702881944446)</f>
        <v>45374.70288</v>
      </c>
      <c r="C883" s="5" t="str">
        <f>IFERROR(__xludf.DUMMYFUNCTION("""COMPUTED_VALUE"""),"purchase")</f>
        <v>purchase</v>
      </c>
      <c r="D883" s="10">
        <f t="shared" si="1"/>
        <v>45374</v>
      </c>
      <c r="E883" s="10">
        <f t="shared" si="2"/>
        <v>45369</v>
      </c>
      <c r="F883" s="10">
        <f t="shared" si="3"/>
        <v>45352</v>
      </c>
      <c r="G883" s="11"/>
    </row>
    <row r="884">
      <c r="A884" s="5">
        <f>IFERROR(__xludf.DUMMYFUNCTION("""COMPUTED_VALUE"""),3571.0)</f>
        <v>3571</v>
      </c>
      <c r="B884" s="9">
        <f>IFERROR(__xludf.DUMMYFUNCTION("""COMPUTED_VALUE"""),45374.70837962963)</f>
        <v>45374.70838</v>
      </c>
      <c r="C884" s="5" t="str">
        <f>IFERROR(__xludf.DUMMYFUNCTION("""COMPUTED_VALUE"""),"purchase")</f>
        <v>purchase</v>
      </c>
      <c r="D884" s="10">
        <f t="shared" si="1"/>
        <v>45374</v>
      </c>
      <c r="E884" s="10">
        <f t="shared" si="2"/>
        <v>45369</v>
      </c>
      <c r="F884" s="10">
        <f t="shared" si="3"/>
        <v>45352</v>
      </c>
      <c r="G884" s="11"/>
    </row>
    <row r="885">
      <c r="A885" s="5">
        <f>IFERROR(__xludf.DUMMYFUNCTION("""COMPUTED_VALUE"""),2088.0)</f>
        <v>2088</v>
      </c>
      <c r="B885" s="9">
        <f>IFERROR(__xludf.DUMMYFUNCTION("""COMPUTED_VALUE"""),45374.7203125)</f>
        <v>45374.72031</v>
      </c>
      <c r="C885" s="5" t="str">
        <f>IFERROR(__xludf.DUMMYFUNCTION("""COMPUTED_VALUE"""),"purchase")</f>
        <v>purchase</v>
      </c>
      <c r="D885" s="10">
        <f t="shared" si="1"/>
        <v>45374</v>
      </c>
      <c r="E885" s="10">
        <f t="shared" si="2"/>
        <v>45369</v>
      </c>
      <c r="F885" s="10">
        <f t="shared" si="3"/>
        <v>45352</v>
      </c>
      <c r="G885" s="11"/>
    </row>
    <row r="886">
      <c r="A886" s="5">
        <f>IFERROR(__xludf.DUMMYFUNCTION("""COMPUTED_VALUE"""),1062.0)</f>
        <v>1062</v>
      </c>
      <c r="B886" s="9">
        <f>IFERROR(__xludf.DUMMYFUNCTION("""COMPUTED_VALUE"""),45374.72577546296)</f>
        <v>45374.72578</v>
      </c>
      <c r="C886" s="5" t="str">
        <f>IFERROR(__xludf.DUMMYFUNCTION("""COMPUTED_VALUE"""),"purchase")</f>
        <v>purchase</v>
      </c>
      <c r="D886" s="10">
        <f t="shared" si="1"/>
        <v>45374</v>
      </c>
      <c r="E886" s="10">
        <f t="shared" si="2"/>
        <v>45369</v>
      </c>
      <c r="F886" s="10">
        <f t="shared" si="3"/>
        <v>45352</v>
      </c>
      <c r="G886" s="11"/>
    </row>
    <row r="887">
      <c r="A887" s="5">
        <f>IFERROR(__xludf.DUMMYFUNCTION("""COMPUTED_VALUE"""),6487.0)</f>
        <v>6487</v>
      </c>
      <c r="B887" s="9">
        <f>IFERROR(__xludf.DUMMYFUNCTION("""COMPUTED_VALUE"""),45374.733402777776)</f>
        <v>45374.7334</v>
      </c>
      <c r="C887" s="5" t="str">
        <f>IFERROR(__xludf.DUMMYFUNCTION("""COMPUTED_VALUE"""),"purchase")</f>
        <v>purchase</v>
      </c>
      <c r="D887" s="10">
        <f t="shared" si="1"/>
        <v>45374</v>
      </c>
      <c r="E887" s="10">
        <f t="shared" si="2"/>
        <v>45369</v>
      </c>
      <c r="F887" s="10">
        <f t="shared" si="3"/>
        <v>45352</v>
      </c>
      <c r="G887" s="11"/>
    </row>
    <row r="888">
      <c r="A888" s="5">
        <f>IFERROR(__xludf.DUMMYFUNCTION("""COMPUTED_VALUE"""),3287.0)</f>
        <v>3287</v>
      </c>
      <c r="B888" s="9">
        <f>IFERROR(__xludf.DUMMYFUNCTION("""COMPUTED_VALUE"""),45374.74296296296)</f>
        <v>45374.74296</v>
      </c>
      <c r="C888" s="5" t="str">
        <f>IFERROR(__xludf.DUMMYFUNCTION("""COMPUTED_VALUE"""),"purchase")</f>
        <v>purchase</v>
      </c>
      <c r="D888" s="10">
        <f t="shared" si="1"/>
        <v>45374</v>
      </c>
      <c r="E888" s="10">
        <f t="shared" si="2"/>
        <v>45369</v>
      </c>
      <c r="F888" s="10">
        <f t="shared" si="3"/>
        <v>45352</v>
      </c>
      <c r="G888" s="11"/>
    </row>
    <row r="889">
      <c r="A889" s="5">
        <f>IFERROR(__xludf.DUMMYFUNCTION("""COMPUTED_VALUE"""),1883.0)</f>
        <v>1883</v>
      </c>
      <c r="B889" s="9">
        <f>IFERROR(__xludf.DUMMYFUNCTION("""COMPUTED_VALUE"""),45374.77548611111)</f>
        <v>45374.77549</v>
      </c>
      <c r="C889" s="5" t="str">
        <f>IFERROR(__xludf.DUMMYFUNCTION("""COMPUTED_VALUE"""),"purchase")</f>
        <v>purchase</v>
      </c>
      <c r="D889" s="10">
        <f t="shared" si="1"/>
        <v>45374</v>
      </c>
      <c r="E889" s="10">
        <f t="shared" si="2"/>
        <v>45369</v>
      </c>
      <c r="F889" s="10">
        <f t="shared" si="3"/>
        <v>45352</v>
      </c>
      <c r="G889" s="11"/>
    </row>
    <row r="890">
      <c r="A890" s="5">
        <f>IFERROR(__xludf.DUMMYFUNCTION("""COMPUTED_VALUE"""),5104.0)</f>
        <v>5104</v>
      </c>
      <c r="B890" s="9">
        <f>IFERROR(__xludf.DUMMYFUNCTION("""COMPUTED_VALUE"""),45374.85655092593)</f>
        <v>45374.85655</v>
      </c>
      <c r="C890" s="5" t="str">
        <f>IFERROR(__xludf.DUMMYFUNCTION("""COMPUTED_VALUE"""),"purchase")</f>
        <v>purchase</v>
      </c>
      <c r="D890" s="10">
        <f t="shared" si="1"/>
        <v>45374</v>
      </c>
      <c r="E890" s="10">
        <f t="shared" si="2"/>
        <v>45369</v>
      </c>
      <c r="F890" s="10">
        <f t="shared" si="3"/>
        <v>45352</v>
      </c>
      <c r="G890" s="11"/>
    </row>
    <row r="891">
      <c r="A891" s="5">
        <f>IFERROR(__xludf.DUMMYFUNCTION("""COMPUTED_VALUE"""),7840.0)</f>
        <v>7840</v>
      </c>
      <c r="B891" s="9">
        <f>IFERROR(__xludf.DUMMYFUNCTION("""COMPUTED_VALUE"""),45375.05420138889)</f>
        <v>45375.0542</v>
      </c>
      <c r="C891" s="5" t="str">
        <f>IFERROR(__xludf.DUMMYFUNCTION("""COMPUTED_VALUE"""),"purchase")</f>
        <v>purchase</v>
      </c>
      <c r="D891" s="10">
        <f t="shared" si="1"/>
        <v>45375</v>
      </c>
      <c r="E891" s="10">
        <f t="shared" si="2"/>
        <v>45369</v>
      </c>
      <c r="F891" s="10">
        <f t="shared" si="3"/>
        <v>45352</v>
      </c>
      <c r="G891" s="11"/>
    </row>
    <row r="892">
      <c r="A892" s="5">
        <f>IFERROR(__xludf.DUMMYFUNCTION("""COMPUTED_VALUE"""),3735.0)</f>
        <v>3735</v>
      </c>
      <c r="B892" s="9">
        <f>IFERROR(__xludf.DUMMYFUNCTION("""COMPUTED_VALUE"""),45375.20113425926)</f>
        <v>45375.20113</v>
      </c>
      <c r="C892" s="5" t="str">
        <f>IFERROR(__xludf.DUMMYFUNCTION("""COMPUTED_VALUE"""),"purchase")</f>
        <v>purchase</v>
      </c>
      <c r="D892" s="10">
        <f t="shared" si="1"/>
        <v>45375</v>
      </c>
      <c r="E892" s="10">
        <f t="shared" si="2"/>
        <v>45369</v>
      </c>
      <c r="F892" s="10">
        <f t="shared" si="3"/>
        <v>45352</v>
      </c>
      <c r="G892" s="11"/>
    </row>
    <row r="893">
      <c r="A893" s="5">
        <f>IFERROR(__xludf.DUMMYFUNCTION("""COMPUTED_VALUE"""),2946.0)</f>
        <v>2946</v>
      </c>
      <c r="B893" s="9">
        <f>IFERROR(__xludf.DUMMYFUNCTION("""COMPUTED_VALUE"""),45375.20415509259)</f>
        <v>45375.20416</v>
      </c>
      <c r="C893" s="5" t="str">
        <f>IFERROR(__xludf.DUMMYFUNCTION("""COMPUTED_VALUE"""),"purchase")</f>
        <v>purchase</v>
      </c>
      <c r="D893" s="10">
        <f t="shared" si="1"/>
        <v>45375</v>
      </c>
      <c r="E893" s="10">
        <f t="shared" si="2"/>
        <v>45369</v>
      </c>
      <c r="F893" s="10">
        <f t="shared" si="3"/>
        <v>45352</v>
      </c>
      <c r="G893" s="11"/>
    </row>
    <row r="894">
      <c r="A894" s="5">
        <f>IFERROR(__xludf.DUMMYFUNCTION("""COMPUTED_VALUE"""),1973.0)</f>
        <v>1973</v>
      </c>
      <c r="B894" s="9">
        <f>IFERROR(__xludf.DUMMYFUNCTION("""COMPUTED_VALUE"""),45375.39795138889)</f>
        <v>45375.39795</v>
      </c>
      <c r="C894" s="5" t="str">
        <f>IFERROR(__xludf.DUMMYFUNCTION("""COMPUTED_VALUE"""),"purchase")</f>
        <v>purchase</v>
      </c>
      <c r="D894" s="10">
        <f t="shared" si="1"/>
        <v>45375</v>
      </c>
      <c r="E894" s="10">
        <f t="shared" si="2"/>
        <v>45369</v>
      </c>
      <c r="F894" s="10">
        <f t="shared" si="3"/>
        <v>45352</v>
      </c>
      <c r="G894" s="11"/>
    </row>
    <row r="895">
      <c r="A895" s="5">
        <f>IFERROR(__xludf.DUMMYFUNCTION("""COMPUTED_VALUE"""),6628.0)</f>
        <v>6628</v>
      </c>
      <c r="B895" s="9">
        <f>IFERROR(__xludf.DUMMYFUNCTION("""COMPUTED_VALUE"""),45375.49613425926)</f>
        <v>45375.49613</v>
      </c>
      <c r="C895" s="5" t="str">
        <f>IFERROR(__xludf.DUMMYFUNCTION("""COMPUTED_VALUE"""),"purchase")</f>
        <v>purchase</v>
      </c>
      <c r="D895" s="10">
        <f t="shared" si="1"/>
        <v>45375</v>
      </c>
      <c r="E895" s="10">
        <f t="shared" si="2"/>
        <v>45369</v>
      </c>
      <c r="F895" s="10">
        <f t="shared" si="3"/>
        <v>45352</v>
      </c>
      <c r="G895" s="11"/>
    </row>
    <row r="896">
      <c r="A896" s="5">
        <f>IFERROR(__xludf.DUMMYFUNCTION("""COMPUTED_VALUE"""),4161.0)</f>
        <v>4161</v>
      </c>
      <c r="B896" s="9">
        <f>IFERROR(__xludf.DUMMYFUNCTION("""COMPUTED_VALUE"""),45375.55150462963)</f>
        <v>45375.5515</v>
      </c>
      <c r="C896" s="5" t="str">
        <f>IFERROR(__xludf.DUMMYFUNCTION("""COMPUTED_VALUE"""),"purchase")</f>
        <v>purchase</v>
      </c>
      <c r="D896" s="10">
        <f t="shared" si="1"/>
        <v>45375</v>
      </c>
      <c r="E896" s="10">
        <f t="shared" si="2"/>
        <v>45369</v>
      </c>
      <c r="F896" s="10">
        <f t="shared" si="3"/>
        <v>45352</v>
      </c>
      <c r="G896" s="11"/>
    </row>
    <row r="897">
      <c r="A897" s="5">
        <f>IFERROR(__xludf.DUMMYFUNCTION("""COMPUTED_VALUE"""),848.0)</f>
        <v>848</v>
      </c>
      <c r="B897" s="9">
        <f>IFERROR(__xludf.DUMMYFUNCTION("""COMPUTED_VALUE"""),45375.559745370374)</f>
        <v>45375.55975</v>
      </c>
      <c r="C897" s="5" t="str">
        <f>IFERROR(__xludf.DUMMYFUNCTION("""COMPUTED_VALUE"""),"purchase")</f>
        <v>purchase</v>
      </c>
      <c r="D897" s="10">
        <f t="shared" si="1"/>
        <v>45375</v>
      </c>
      <c r="E897" s="10">
        <f t="shared" si="2"/>
        <v>45369</v>
      </c>
      <c r="F897" s="10">
        <f t="shared" si="3"/>
        <v>45352</v>
      </c>
      <c r="G897" s="11"/>
    </row>
    <row r="898">
      <c r="A898" s="5">
        <f>IFERROR(__xludf.DUMMYFUNCTION("""COMPUTED_VALUE"""),1194.0)</f>
        <v>1194</v>
      </c>
      <c r="B898" s="9">
        <f>IFERROR(__xludf.DUMMYFUNCTION("""COMPUTED_VALUE"""),45375.610185185185)</f>
        <v>45375.61019</v>
      </c>
      <c r="C898" s="5" t="str">
        <f>IFERROR(__xludf.DUMMYFUNCTION("""COMPUTED_VALUE"""),"purchase")</f>
        <v>purchase</v>
      </c>
      <c r="D898" s="10">
        <f t="shared" si="1"/>
        <v>45375</v>
      </c>
      <c r="E898" s="10">
        <f t="shared" si="2"/>
        <v>45369</v>
      </c>
      <c r="F898" s="10">
        <f t="shared" si="3"/>
        <v>45352</v>
      </c>
      <c r="G898" s="11"/>
    </row>
    <row r="899">
      <c r="A899" s="5">
        <f>IFERROR(__xludf.DUMMYFUNCTION("""COMPUTED_VALUE"""),4175.0)</f>
        <v>4175</v>
      </c>
      <c r="B899" s="9">
        <f>IFERROR(__xludf.DUMMYFUNCTION("""COMPUTED_VALUE"""),45375.656377314815)</f>
        <v>45375.65638</v>
      </c>
      <c r="C899" s="5" t="str">
        <f>IFERROR(__xludf.DUMMYFUNCTION("""COMPUTED_VALUE"""),"purchase")</f>
        <v>purchase</v>
      </c>
      <c r="D899" s="10">
        <f t="shared" si="1"/>
        <v>45375</v>
      </c>
      <c r="E899" s="10">
        <f t="shared" si="2"/>
        <v>45369</v>
      </c>
      <c r="F899" s="10">
        <f t="shared" si="3"/>
        <v>45352</v>
      </c>
      <c r="G899" s="11"/>
    </row>
    <row r="900">
      <c r="A900" s="5">
        <f>IFERROR(__xludf.DUMMYFUNCTION("""COMPUTED_VALUE"""),1653.0)</f>
        <v>1653</v>
      </c>
      <c r="B900" s="9">
        <f>IFERROR(__xludf.DUMMYFUNCTION("""COMPUTED_VALUE"""),45375.71413194444)</f>
        <v>45375.71413</v>
      </c>
      <c r="C900" s="5" t="str">
        <f>IFERROR(__xludf.DUMMYFUNCTION("""COMPUTED_VALUE"""),"purchase")</f>
        <v>purchase</v>
      </c>
      <c r="D900" s="10">
        <f t="shared" si="1"/>
        <v>45375</v>
      </c>
      <c r="E900" s="10">
        <f t="shared" si="2"/>
        <v>45369</v>
      </c>
      <c r="F900" s="10">
        <f t="shared" si="3"/>
        <v>45352</v>
      </c>
      <c r="G900" s="11"/>
    </row>
    <row r="901">
      <c r="A901" s="5">
        <f>IFERROR(__xludf.DUMMYFUNCTION("""COMPUTED_VALUE"""),5158.0)</f>
        <v>5158</v>
      </c>
      <c r="B901" s="9">
        <f>IFERROR(__xludf.DUMMYFUNCTION("""COMPUTED_VALUE"""),45375.748506944445)</f>
        <v>45375.74851</v>
      </c>
      <c r="C901" s="5" t="str">
        <f>IFERROR(__xludf.DUMMYFUNCTION("""COMPUTED_VALUE"""),"purchase")</f>
        <v>purchase</v>
      </c>
      <c r="D901" s="10">
        <f t="shared" si="1"/>
        <v>45375</v>
      </c>
      <c r="E901" s="10">
        <f t="shared" si="2"/>
        <v>45369</v>
      </c>
      <c r="F901" s="10">
        <f t="shared" si="3"/>
        <v>45352</v>
      </c>
      <c r="G901" s="11"/>
    </row>
    <row r="902">
      <c r="A902" s="5">
        <f>IFERROR(__xludf.DUMMYFUNCTION("""COMPUTED_VALUE"""),7300.0)</f>
        <v>7300</v>
      </c>
      <c r="B902" s="9">
        <f>IFERROR(__xludf.DUMMYFUNCTION("""COMPUTED_VALUE"""),45375.89638888889)</f>
        <v>45375.89639</v>
      </c>
      <c r="C902" s="5" t="str">
        <f>IFERROR(__xludf.DUMMYFUNCTION("""COMPUTED_VALUE"""),"purchase")</f>
        <v>purchase</v>
      </c>
      <c r="D902" s="10">
        <f t="shared" si="1"/>
        <v>45375</v>
      </c>
      <c r="E902" s="10">
        <f t="shared" si="2"/>
        <v>45369</v>
      </c>
      <c r="F902" s="10">
        <f t="shared" si="3"/>
        <v>45352</v>
      </c>
      <c r="G902" s="11"/>
    </row>
    <row r="903">
      <c r="A903" s="5">
        <f>IFERROR(__xludf.DUMMYFUNCTION("""COMPUTED_VALUE"""),5170.0)</f>
        <v>5170</v>
      </c>
      <c r="B903" s="9">
        <f>IFERROR(__xludf.DUMMYFUNCTION("""COMPUTED_VALUE"""),45376.01652777778)</f>
        <v>45376.01653</v>
      </c>
      <c r="C903" s="5" t="str">
        <f>IFERROR(__xludf.DUMMYFUNCTION("""COMPUTED_VALUE"""),"purchase")</f>
        <v>purchase</v>
      </c>
      <c r="D903" s="10">
        <f t="shared" si="1"/>
        <v>45376</v>
      </c>
      <c r="E903" s="10">
        <f t="shared" si="2"/>
        <v>45376</v>
      </c>
      <c r="F903" s="10">
        <f t="shared" si="3"/>
        <v>45352</v>
      </c>
      <c r="G903" s="11"/>
    </row>
    <row r="904">
      <c r="A904" s="5">
        <f>IFERROR(__xludf.DUMMYFUNCTION("""COMPUTED_VALUE"""),2719.0)</f>
        <v>2719</v>
      </c>
      <c r="B904" s="9">
        <f>IFERROR(__xludf.DUMMYFUNCTION("""COMPUTED_VALUE"""),45376.199375)</f>
        <v>45376.19938</v>
      </c>
      <c r="C904" s="5" t="str">
        <f>IFERROR(__xludf.DUMMYFUNCTION("""COMPUTED_VALUE"""),"purchase")</f>
        <v>purchase</v>
      </c>
      <c r="D904" s="10">
        <f t="shared" si="1"/>
        <v>45376</v>
      </c>
      <c r="E904" s="10">
        <f t="shared" si="2"/>
        <v>45376</v>
      </c>
      <c r="F904" s="10">
        <f t="shared" si="3"/>
        <v>45352</v>
      </c>
      <c r="G904" s="11"/>
    </row>
    <row r="905">
      <c r="A905" s="5">
        <f>IFERROR(__xludf.DUMMYFUNCTION("""COMPUTED_VALUE"""),1421.0)</f>
        <v>1421</v>
      </c>
      <c r="B905" s="9">
        <f>IFERROR(__xludf.DUMMYFUNCTION("""COMPUTED_VALUE"""),45376.488969907405)</f>
        <v>45376.48897</v>
      </c>
      <c r="C905" s="5" t="str">
        <f>IFERROR(__xludf.DUMMYFUNCTION("""COMPUTED_VALUE"""),"purchase")</f>
        <v>purchase</v>
      </c>
      <c r="D905" s="10">
        <f t="shared" si="1"/>
        <v>45376</v>
      </c>
      <c r="E905" s="10">
        <f t="shared" si="2"/>
        <v>45376</v>
      </c>
      <c r="F905" s="10">
        <f t="shared" si="3"/>
        <v>45352</v>
      </c>
      <c r="G905" s="11"/>
    </row>
    <row r="906">
      <c r="A906" s="5">
        <f>IFERROR(__xludf.DUMMYFUNCTION("""COMPUTED_VALUE"""),4422.0)</f>
        <v>4422</v>
      </c>
      <c r="B906" s="9">
        <f>IFERROR(__xludf.DUMMYFUNCTION("""COMPUTED_VALUE"""),45376.509791666664)</f>
        <v>45376.50979</v>
      </c>
      <c r="C906" s="5" t="str">
        <f>IFERROR(__xludf.DUMMYFUNCTION("""COMPUTED_VALUE"""),"purchase")</f>
        <v>purchase</v>
      </c>
      <c r="D906" s="10">
        <f t="shared" si="1"/>
        <v>45376</v>
      </c>
      <c r="E906" s="10">
        <f t="shared" si="2"/>
        <v>45376</v>
      </c>
      <c r="F906" s="10">
        <f t="shared" si="3"/>
        <v>45352</v>
      </c>
      <c r="G906" s="11"/>
    </row>
    <row r="907">
      <c r="A907" s="5">
        <f>IFERROR(__xludf.DUMMYFUNCTION("""COMPUTED_VALUE"""),7817.0)</f>
        <v>7817</v>
      </c>
      <c r="B907" s="9">
        <f>IFERROR(__xludf.DUMMYFUNCTION("""COMPUTED_VALUE"""),45376.64523148148)</f>
        <v>45376.64523</v>
      </c>
      <c r="C907" s="5" t="str">
        <f>IFERROR(__xludf.DUMMYFUNCTION("""COMPUTED_VALUE"""),"purchase")</f>
        <v>purchase</v>
      </c>
      <c r="D907" s="10">
        <f t="shared" si="1"/>
        <v>45376</v>
      </c>
      <c r="E907" s="10">
        <f t="shared" si="2"/>
        <v>45376</v>
      </c>
      <c r="F907" s="10">
        <f t="shared" si="3"/>
        <v>45352</v>
      </c>
      <c r="G907" s="11"/>
    </row>
    <row r="908">
      <c r="A908" s="5">
        <f>IFERROR(__xludf.DUMMYFUNCTION("""COMPUTED_VALUE"""),857.0)</f>
        <v>857</v>
      </c>
      <c r="B908" s="9">
        <f>IFERROR(__xludf.DUMMYFUNCTION("""COMPUTED_VALUE"""),45376.71042824074)</f>
        <v>45376.71043</v>
      </c>
      <c r="C908" s="5" t="str">
        <f>IFERROR(__xludf.DUMMYFUNCTION("""COMPUTED_VALUE"""),"purchase")</f>
        <v>purchase</v>
      </c>
      <c r="D908" s="10">
        <f t="shared" si="1"/>
        <v>45376</v>
      </c>
      <c r="E908" s="10">
        <f t="shared" si="2"/>
        <v>45376</v>
      </c>
      <c r="F908" s="10">
        <f t="shared" si="3"/>
        <v>45352</v>
      </c>
      <c r="G908" s="11"/>
    </row>
    <row r="909">
      <c r="A909" s="5">
        <f>IFERROR(__xludf.DUMMYFUNCTION("""COMPUTED_VALUE"""),7907.0)</f>
        <v>7907</v>
      </c>
      <c r="B909" s="9">
        <f>IFERROR(__xludf.DUMMYFUNCTION("""COMPUTED_VALUE"""),45376.78533564815)</f>
        <v>45376.78534</v>
      </c>
      <c r="C909" s="5" t="str">
        <f>IFERROR(__xludf.DUMMYFUNCTION("""COMPUTED_VALUE"""),"purchase")</f>
        <v>purchase</v>
      </c>
      <c r="D909" s="10">
        <f t="shared" si="1"/>
        <v>45376</v>
      </c>
      <c r="E909" s="10">
        <f t="shared" si="2"/>
        <v>45376</v>
      </c>
      <c r="F909" s="10">
        <f t="shared" si="3"/>
        <v>45352</v>
      </c>
      <c r="G909" s="11"/>
    </row>
    <row r="910">
      <c r="A910" s="5">
        <f>IFERROR(__xludf.DUMMYFUNCTION("""COMPUTED_VALUE"""),4230.0)</f>
        <v>4230</v>
      </c>
      <c r="B910" s="9">
        <f>IFERROR(__xludf.DUMMYFUNCTION("""COMPUTED_VALUE"""),45376.79398148148)</f>
        <v>45376.79398</v>
      </c>
      <c r="C910" s="5" t="str">
        <f>IFERROR(__xludf.DUMMYFUNCTION("""COMPUTED_VALUE"""),"purchase")</f>
        <v>purchase</v>
      </c>
      <c r="D910" s="10">
        <f t="shared" si="1"/>
        <v>45376</v>
      </c>
      <c r="E910" s="10">
        <f t="shared" si="2"/>
        <v>45376</v>
      </c>
      <c r="F910" s="10">
        <f t="shared" si="3"/>
        <v>45352</v>
      </c>
      <c r="G910" s="11"/>
    </row>
    <row r="911">
      <c r="A911" s="5">
        <f>IFERROR(__xludf.DUMMYFUNCTION("""COMPUTED_VALUE"""),6038.0)</f>
        <v>6038</v>
      </c>
      <c r="B911" s="9">
        <f>IFERROR(__xludf.DUMMYFUNCTION("""COMPUTED_VALUE"""),45376.987395833334)</f>
        <v>45376.9874</v>
      </c>
      <c r="C911" s="5" t="str">
        <f>IFERROR(__xludf.DUMMYFUNCTION("""COMPUTED_VALUE"""),"purchase")</f>
        <v>purchase</v>
      </c>
      <c r="D911" s="10">
        <f t="shared" si="1"/>
        <v>45376</v>
      </c>
      <c r="E911" s="10">
        <f t="shared" si="2"/>
        <v>45376</v>
      </c>
      <c r="F911" s="10">
        <f t="shared" si="3"/>
        <v>45352</v>
      </c>
      <c r="G911" s="11"/>
    </row>
    <row r="912">
      <c r="A912" s="5">
        <f>IFERROR(__xludf.DUMMYFUNCTION("""COMPUTED_VALUE"""),2578.0)</f>
        <v>2578</v>
      </c>
      <c r="B912" s="9">
        <f>IFERROR(__xludf.DUMMYFUNCTION("""COMPUTED_VALUE"""),45377.03579861111)</f>
        <v>45377.0358</v>
      </c>
      <c r="C912" s="5" t="str">
        <f>IFERROR(__xludf.DUMMYFUNCTION("""COMPUTED_VALUE"""),"purchase")</f>
        <v>purchase</v>
      </c>
      <c r="D912" s="10">
        <f t="shared" si="1"/>
        <v>45377</v>
      </c>
      <c r="E912" s="10">
        <f t="shared" si="2"/>
        <v>45376</v>
      </c>
      <c r="F912" s="10">
        <f t="shared" si="3"/>
        <v>45352</v>
      </c>
      <c r="G912" s="11"/>
    </row>
    <row r="913">
      <c r="A913" s="5">
        <f>IFERROR(__xludf.DUMMYFUNCTION("""COMPUTED_VALUE"""),5019.0)</f>
        <v>5019</v>
      </c>
      <c r="B913" s="9">
        <f>IFERROR(__xludf.DUMMYFUNCTION("""COMPUTED_VALUE"""),45377.05416666667)</f>
        <v>45377.05417</v>
      </c>
      <c r="C913" s="5" t="str">
        <f>IFERROR(__xludf.DUMMYFUNCTION("""COMPUTED_VALUE"""),"purchase")</f>
        <v>purchase</v>
      </c>
      <c r="D913" s="10">
        <f t="shared" si="1"/>
        <v>45377</v>
      </c>
      <c r="E913" s="10">
        <f t="shared" si="2"/>
        <v>45376</v>
      </c>
      <c r="F913" s="10">
        <f t="shared" si="3"/>
        <v>45352</v>
      </c>
      <c r="G913" s="11"/>
    </row>
    <row r="914">
      <c r="A914" s="5">
        <f>IFERROR(__xludf.DUMMYFUNCTION("""COMPUTED_VALUE"""),7146.0)</f>
        <v>7146</v>
      </c>
      <c r="B914" s="9">
        <f>IFERROR(__xludf.DUMMYFUNCTION("""COMPUTED_VALUE"""),45377.210381944446)</f>
        <v>45377.21038</v>
      </c>
      <c r="C914" s="5" t="str">
        <f>IFERROR(__xludf.DUMMYFUNCTION("""COMPUTED_VALUE"""),"purchase")</f>
        <v>purchase</v>
      </c>
      <c r="D914" s="10">
        <f t="shared" si="1"/>
        <v>45377</v>
      </c>
      <c r="E914" s="10">
        <f t="shared" si="2"/>
        <v>45376</v>
      </c>
      <c r="F914" s="10">
        <f t="shared" si="3"/>
        <v>45352</v>
      </c>
      <c r="G914" s="11"/>
    </row>
    <row r="915">
      <c r="A915" s="5">
        <f>IFERROR(__xludf.DUMMYFUNCTION("""COMPUTED_VALUE"""),5472.0)</f>
        <v>5472</v>
      </c>
      <c r="B915" s="9">
        <f>IFERROR(__xludf.DUMMYFUNCTION("""COMPUTED_VALUE"""),45377.23025462963)</f>
        <v>45377.23025</v>
      </c>
      <c r="C915" s="5" t="str">
        <f>IFERROR(__xludf.DUMMYFUNCTION("""COMPUTED_VALUE"""),"purchase")</f>
        <v>purchase</v>
      </c>
      <c r="D915" s="10">
        <f t="shared" si="1"/>
        <v>45377</v>
      </c>
      <c r="E915" s="10">
        <f t="shared" si="2"/>
        <v>45376</v>
      </c>
      <c r="F915" s="10">
        <f t="shared" si="3"/>
        <v>45352</v>
      </c>
      <c r="G915" s="11"/>
    </row>
    <row r="916">
      <c r="A916" s="5">
        <f>IFERROR(__xludf.DUMMYFUNCTION("""COMPUTED_VALUE"""),3308.0)</f>
        <v>3308</v>
      </c>
      <c r="B916" s="9">
        <f>IFERROR(__xludf.DUMMYFUNCTION("""COMPUTED_VALUE"""),45377.29530092593)</f>
        <v>45377.2953</v>
      </c>
      <c r="C916" s="5" t="str">
        <f>IFERROR(__xludf.DUMMYFUNCTION("""COMPUTED_VALUE"""),"purchase")</f>
        <v>purchase</v>
      </c>
      <c r="D916" s="10">
        <f t="shared" si="1"/>
        <v>45377</v>
      </c>
      <c r="E916" s="10">
        <f t="shared" si="2"/>
        <v>45376</v>
      </c>
      <c r="F916" s="10">
        <f t="shared" si="3"/>
        <v>45352</v>
      </c>
      <c r="G916" s="11"/>
    </row>
    <row r="917">
      <c r="A917" s="5">
        <f>IFERROR(__xludf.DUMMYFUNCTION("""COMPUTED_VALUE"""),5628.0)</f>
        <v>5628</v>
      </c>
      <c r="B917" s="9">
        <f>IFERROR(__xludf.DUMMYFUNCTION("""COMPUTED_VALUE"""),45377.40841435185)</f>
        <v>45377.40841</v>
      </c>
      <c r="C917" s="5" t="str">
        <f>IFERROR(__xludf.DUMMYFUNCTION("""COMPUTED_VALUE"""),"purchase")</f>
        <v>purchase</v>
      </c>
      <c r="D917" s="10">
        <f t="shared" si="1"/>
        <v>45377</v>
      </c>
      <c r="E917" s="10">
        <f t="shared" si="2"/>
        <v>45376</v>
      </c>
      <c r="F917" s="10">
        <f t="shared" si="3"/>
        <v>45352</v>
      </c>
      <c r="G917" s="11"/>
    </row>
    <row r="918">
      <c r="A918" s="5">
        <f>IFERROR(__xludf.DUMMYFUNCTION("""COMPUTED_VALUE"""),1745.0)</f>
        <v>1745</v>
      </c>
      <c r="B918" s="9">
        <f>IFERROR(__xludf.DUMMYFUNCTION("""COMPUTED_VALUE"""),45377.469363425924)</f>
        <v>45377.46936</v>
      </c>
      <c r="C918" s="5" t="str">
        <f>IFERROR(__xludf.DUMMYFUNCTION("""COMPUTED_VALUE"""),"purchase")</f>
        <v>purchase</v>
      </c>
      <c r="D918" s="10">
        <f t="shared" si="1"/>
        <v>45377</v>
      </c>
      <c r="E918" s="10">
        <f t="shared" si="2"/>
        <v>45376</v>
      </c>
      <c r="F918" s="10">
        <f t="shared" si="3"/>
        <v>45352</v>
      </c>
      <c r="G918" s="11"/>
    </row>
    <row r="919">
      <c r="A919" s="5">
        <f>IFERROR(__xludf.DUMMYFUNCTION("""COMPUTED_VALUE"""),3961.0)</f>
        <v>3961</v>
      </c>
      <c r="B919" s="9">
        <f>IFERROR(__xludf.DUMMYFUNCTION("""COMPUTED_VALUE"""),45377.48653935185)</f>
        <v>45377.48654</v>
      </c>
      <c r="C919" s="5" t="str">
        <f>IFERROR(__xludf.DUMMYFUNCTION("""COMPUTED_VALUE"""),"purchase")</f>
        <v>purchase</v>
      </c>
      <c r="D919" s="10">
        <f t="shared" si="1"/>
        <v>45377</v>
      </c>
      <c r="E919" s="10">
        <f t="shared" si="2"/>
        <v>45376</v>
      </c>
      <c r="F919" s="10">
        <f t="shared" si="3"/>
        <v>45352</v>
      </c>
      <c r="G919" s="11"/>
    </row>
    <row r="920">
      <c r="A920" s="5">
        <f>IFERROR(__xludf.DUMMYFUNCTION("""COMPUTED_VALUE"""),6290.0)</f>
        <v>6290</v>
      </c>
      <c r="B920" s="9">
        <f>IFERROR(__xludf.DUMMYFUNCTION("""COMPUTED_VALUE"""),45377.53734953704)</f>
        <v>45377.53735</v>
      </c>
      <c r="C920" s="5" t="str">
        <f>IFERROR(__xludf.DUMMYFUNCTION("""COMPUTED_VALUE"""),"purchase")</f>
        <v>purchase</v>
      </c>
      <c r="D920" s="10">
        <f t="shared" si="1"/>
        <v>45377</v>
      </c>
      <c r="E920" s="10">
        <f t="shared" si="2"/>
        <v>45376</v>
      </c>
      <c r="F920" s="10">
        <f t="shared" si="3"/>
        <v>45352</v>
      </c>
      <c r="G920" s="11"/>
    </row>
    <row r="921">
      <c r="A921" s="5">
        <f>IFERROR(__xludf.DUMMYFUNCTION("""COMPUTED_VALUE"""),3986.0)</f>
        <v>3986</v>
      </c>
      <c r="B921" s="9">
        <f>IFERROR(__xludf.DUMMYFUNCTION("""COMPUTED_VALUE"""),45377.65855324074)</f>
        <v>45377.65855</v>
      </c>
      <c r="C921" s="5" t="str">
        <f>IFERROR(__xludf.DUMMYFUNCTION("""COMPUTED_VALUE"""),"purchase")</f>
        <v>purchase</v>
      </c>
      <c r="D921" s="10">
        <f t="shared" si="1"/>
        <v>45377</v>
      </c>
      <c r="E921" s="10">
        <f t="shared" si="2"/>
        <v>45376</v>
      </c>
      <c r="F921" s="10">
        <f t="shared" si="3"/>
        <v>45352</v>
      </c>
      <c r="G921" s="11"/>
    </row>
    <row r="922">
      <c r="A922" s="5">
        <f>IFERROR(__xludf.DUMMYFUNCTION("""COMPUTED_VALUE"""),7066.0)</f>
        <v>7066</v>
      </c>
      <c r="B922" s="9">
        <f>IFERROR(__xludf.DUMMYFUNCTION("""COMPUTED_VALUE"""),45377.74673611111)</f>
        <v>45377.74674</v>
      </c>
      <c r="C922" s="5" t="str">
        <f>IFERROR(__xludf.DUMMYFUNCTION("""COMPUTED_VALUE"""),"purchase")</f>
        <v>purchase</v>
      </c>
      <c r="D922" s="10">
        <f t="shared" si="1"/>
        <v>45377</v>
      </c>
      <c r="E922" s="10">
        <f t="shared" si="2"/>
        <v>45376</v>
      </c>
      <c r="F922" s="10">
        <f t="shared" si="3"/>
        <v>45352</v>
      </c>
      <c r="G922" s="11"/>
    </row>
    <row r="923">
      <c r="A923" s="5">
        <f>IFERROR(__xludf.DUMMYFUNCTION("""COMPUTED_VALUE"""),5776.0)</f>
        <v>5776</v>
      </c>
      <c r="B923" s="9">
        <f>IFERROR(__xludf.DUMMYFUNCTION("""COMPUTED_VALUE"""),45377.791041666664)</f>
        <v>45377.79104</v>
      </c>
      <c r="C923" s="5" t="str">
        <f>IFERROR(__xludf.DUMMYFUNCTION("""COMPUTED_VALUE"""),"purchase")</f>
        <v>purchase</v>
      </c>
      <c r="D923" s="10">
        <f t="shared" si="1"/>
        <v>45377</v>
      </c>
      <c r="E923" s="10">
        <f t="shared" si="2"/>
        <v>45376</v>
      </c>
      <c r="F923" s="10">
        <f t="shared" si="3"/>
        <v>45352</v>
      </c>
      <c r="G923" s="11"/>
    </row>
    <row r="924">
      <c r="A924" s="5">
        <f>IFERROR(__xludf.DUMMYFUNCTION("""COMPUTED_VALUE"""),5689.0)</f>
        <v>5689</v>
      </c>
      <c r="B924" s="9">
        <f>IFERROR(__xludf.DUMMYFUNCTION("""COMPUTED_VALUE"""),45377.81601851852)</f>
        <v>45377.81602</v>
      </c>
      <c r="C924" s="5" t="str">
        <f>IFERROR(__xludf.DUMMYFUNCTION("""COMPUTED_VALUE"""),"purchase")</f>
        <v>purchase</v>
      </c>
      <c r="D924" s="10">
        <f t="shared" si="1"/>
        <v>45377</v>
      </c>
      <c r="E924" s="10">
        <f t="shared" si="2"/>
        <v>45376</v>
      </c>
      <c r="F924" s="10">
        <f t="shared" si="3"/>
        <v>45352</v>
      </c>
      <c r="G924" s="11"/>
    </row>
    <row r="925">
      <c r="A925" s="5">
        <f>IFERROR(__xludf.DUMMYFUNCTION("""COMPUTED_VALUE"""),6124.0)</f>
        <v>6124</v>
      </c>
      <c r="B925" s="9">
        <f>IFERROR(__xludf.DUMMYFUNCTION("""COMPUTED_VALUE"""),45377.85556712963)</f>
        <v>45377.85557</v>
      </c>
      <c r="C925" s="5" t="str">
        <f>IFERROR(__xludf.DUMMYFUNCTION("""COMPUTED_VALUE"""),"purchase")</f>
        <v>purchase</v>
      </c>
      <c r="D925" s="10">
        <f t="shared" si="1"/>
        <v>45377</v>
      </c>
      <c r="E925" s="10">
        <f t="shared" si="2"/>
        <v>45376</v>
      </c>
      <c r="F925" s="10">
        <f t="shared" si="3"/>
        <v>45352</v>
      </c>
      <c r="G925" s="11"/>
    </row>
    <row r="926">
      <c r="A926" s="5">
        <f>IFERROR(__xludf.DUMMYFUNCTION("""COMPUTED_VALUE"""),4914.0)</f>
        <v>4914</v>
      </c>
      <c r="B926" s="9">
        <f>IFERROR(__xludf.DUMMYFUNCTION("""COMPUTED_VALUE"""),45377.8875)</f>
        <v>45377.8875</v>
      </c>
      <c r="C926" s="5" t="str">
        <f>IFERROR(__xludf.DUMMYFUNCTION("""COMPUTED_VALUE"""),"purchase")</f>
        <v>purchase</v>
      </c>
      <c r="D926" s="10">
        <f t="shared" si="1"/>
        <v>45377</v>
      </c>
      <c r="E926" s="10">
        <f t="shared" si="2"/>
        <v>45376</v>
      </c>
      <c r="F926" s="10">
        <f t="shared" si="3"/>
        <v>45352</v>
      </c>
      <c r="G926" s="11"/>
    </row>
    <row r="927">
      <c r="A927" s="5">
        <f>IFERROR(__xludf.DUMMYFUNCTION("""COMPUTED_VALUE"""),477.0)</f>
        <v>477</v>
      </c>
      <c r="B927" s="9">
        <f>IFERROR(__xludf.DUMMYFUNCTION("""COMPUTED_VALUE"""),45378.22907407407)</f>
        <v>45378.22907</v>
      </c>
      <c r="C927" s="5" t="str">
        <f>IFERROR(__xludf.DUMMYFUNCTION("""COMPUTED_VALUE"""),"purchase")</f>
        <v>purchase</v>
      </c>
      <c r="D927" s="10">
        <f t="shared" si="1"/>
        <v>45378</v>
      </c>
      <c r="E927" s="10">
        <f t="shared" si="2"/>
        <v>45376</v>
      </c>
      <c r="F927" s="10">
        <f t="shared" si="3"/>
        <v>45352</v>
      </c>
      <c r="G927" s="11"/>
    </row>
    <row r="928">
      <c r="A928" s="5">
        <f>IFERROR(__xludf.DUMMYFUNCTION("""COMPUTED_VALUE"""),7741.0)</f>
        <v>7741</v>
      </c>
      <c r="B928" s="9">
        <f>IFERROR(__xludf.DUMMYFUNCTION("""COMPUTED_VALUE"""),45378.23542824074)</f>
        <v>45378.23543</v>
      </c>
      <c r="C928" s="5" t="str">
        <f>IFERROR(__xludf.DUMMYFUNCTION("""COMPUTED_VALUE"""),"purchase")</f>
        <v>purchase</v>
      </c>
      <c r="D928" s="10">
        <f t="shared" si="1"/>
        <v>45378</v>
      </c>
      <c r="E928" s="10">
        <f t="shared" si="2"/>
        <v>45376</v>
      </c>
      <c r="F928" s="10">
        <f t="shared" si="3"/>
        <v>45352</v>
      </c>
      <c r="G928" s="11"/>
    </row>
    <row r="929">
      <c r="A929" s="5">
        <f>IFERROR(__xludf.DUMMYFUNCTION("""COMPUTED_VALUE"""),7342.0)</f>
        <v>7342</v>
      </c>
      <c r="B929" s="9">
        <f>IFERROR(__xludf.DUMMYFUNCTION("""COMPUTED_VALUE"""),45378.256516203706)</f>
        <v>45378.25652</v>
      </c>
      <c r="C929" s="5" t="str">
        <f>IFERROR(__xludf.DUMMYFUNCTION("""COMPUTED_VALUE"""),"purchase")</f>
        <v>purchase</v>
      </c>
      <c r="D929" s="10">
        <f t="shared" si="1"/>
        <v>45378</v>
      </c>
      <c r="E929" s="10">
        <f t="shared" si="2"/>
        <v>45376</v>
      </c>
      <c r="F929" s="10">
        <f t="shared" si="3"/>
        <v>45352</v>
      </c>
      <c r="G929" s="11"/>
    </row>
    <row r="930">
      <c r="A930" s="5">
        <f>IFERROR(__xludf.DUMMYFUNCTION("""COMPUTED_VALUE"""),7863.0)</f>
        <v>7863</v>
      </c>
      <c r="B930" s="9">
        <f>IFERROR(__xludf.DUMMYFUNCTION("""COMPUTED_VALUE"""),45378.33015046296)</f>
        <v>45378.33015</v>
      </c>
      <c r="C930" s="5" t="str">
        <f>IFERROR(__xludf.DUMMYFUNCTION("""COMPUTED_VALUE"""),"purchase")</f>
        <v>purchase</v>
      </c>
      <c r="D930" s="10">
        <f t="shared" si="1"/>
        <v>45378</v>
      </c>
      <c r="E930" s="10">
        <f t="shared" si="2"/>
        <v>45376</v>
      </c>
      <c r="F930" s="10">
        <f t="shared" si="3"/>
        <v>45352</v>
      </c>
      <c r="G930" s="11"/>
    </row>
    <row r="931">
      <c r="A931" s="5">
        <f>IFERROR(__xludf.DUMMYFUNCTION("""COMPUTED_VALUE"""),6537.0)</f>
        <v>6537</v>
      </c>
      <c r="B931" s="9">
        <f>IFERROR(__xludf.DUMMYFUNCTION("""COMPUTED_VALUE"""),45378.48091435185)</f>
        <v>45378.48091</v>
      </c>
      <c r="C931" s="5" t="str">
        <f>IFERROR(__xludf.DUMMYFUNCTION("""COMPUTED_VALUE"""),"purchase")</f>
        <v>purchase</v>
      </c>
      <c r="D931" s="10">
        <f t="shared" si="1"/>
        <v>45378</v>
      </c>
      <c r="E931" s="10">
        <f t="shared" si="2"/>
        <v>45376</v>
      </c>
      <c r="F931" s="10">
        <f t="shared" si="3"/>
        <v>45352</v>
      </c>
      <c r="G931" s="11"/>
    </row>
    <row r="932">
      <c r="A932" s="5">
        <f>IFERROR(__xludf.DUMMYFUNCTION("""COMPUTED_VALUE"""),711.0)</f>
        <v>711</v>
      </c>
      <c r="B932" s="9">
        <f>IFERROR(__xludf.DUMMYFUNCTION("""COMPUTED_VALUE"""),45378.55554398148)</f>
        <v>45378.55554</v>
      </c>
      <c r="C932" s="5" t="str">
        <f>IFERROR(__xludf.DUMMYFUNCTION("""COMPUTED_VALUE"""),"purchase")</f>
        <v>purchase</v>
      </c>
      <c r="D932" s="10">
        <f t="shared" si="1"/>
        <v>45378</v>
      </c>
      <c r="E932" s="10">
        <f t="shared" si="2"/>
        <v>45376</v>
      </c>
      <c r="F932" s="10">
        <f t="shared" si="3"/>
        <v>45352</v>
      </c>
      <c r="G932" s="11"/>
    </row>
    <row r="933">
      <c r="A933" s="5">
        <f>IFERROR(__xludf.DUMMYFUNCTION("""COMPUTED_VALUE"""),909.0)</f>
        <v>909</v>
      </c>
      <c r="B933" s="9">
        <f>IFERROR(__xludf.DUMMYFUNCTION("""COMPUTED_VALUE"""),45378.59322916667)</f>
        <v>45378.59323</v>
      </c>
      <c r="C933" s="5" t="str">
        <f>IFERROR(__xludf.DUMMYFUNCTION("""COMPUTED_VALUE"""),"purchase")</f>
        <v>purchase</v>
      </c>
      <c r="D933" s="10">
        <f t="shared" si="1"/>
        <v>45378</v>
      </c>
      <c r="E933" s="10">
        <f t="shared" si="2"/>
        <v>45376</v>
      </c>
      <c r="F933" s="10">
        <f t="shared" si="3"/>
        <v>45352</v>
      </c>
      <c r="G933" s="11"/>
    </row>
    <row r="934">
      <c r="A934" s="5">
        <f>IFERROR(__xludf.DUMMYFUNCTION("""COMPUTED_VALUE"""),6989.0)</f>
        <v>6989</v>
      </c>
      <c r="B934" s="9">
        <f>IFERROR(__xludf.DUMMYFUNCTION("""COMPUTED_VALUE"""),45378.6987037037)</f>
        <v>45378.6987</v>
      </c>
      <c r="C934" s="5" t="str">
        <f>IFERROR(__xludf.DUMMYFUNCTION("""COMPUTED_VALUE"""),"purchase")</f>
        <v>purchase</v>
      </c>
      <c r="D934" s="10">
        <f t="shared" si="1"/>
        <v>45378</v>
      </c>
      <c r="E934" s="10">
        <f t="shared" si="2"/>
        <v>45376</v>
      </c>
      <c r="F934" s="10">
        <f t="shared" si="3"/>
        <v>45352</v>
      </c>
      <c r="G934" s="11"/>
    </row>
    <row r="935">
      <c r="A935" s="5">
        <f>IFERROR(__xludf.DUMMYFUNCTION("""COMPUTED_VALUE"""),2334.0)</f>
        <v>2334</v>
      </c>
      <c r="B935" s="9">
        <f>IFERROR(__xludf.DUMMYFUNCTION("""COMPUTED_VALUE"""),45378.772835648146)</f>
        <v>45378.77284</v>
      </c>
      <c r="C935" s="5" t="str">
        <f>IFERROR(__xludf.DUMMYFUNCTION("""COMPUTED_VALUE"""),"purchase")</f>
        <v>purchase</v>
      </c>
      <c r="D935" s="10">
        <f t="shared" si="1"/>
        <v>45378</v>
      </c>
      <c r="E935" s="10">
        <f t="shared" si="2"/>
        <v>45376</v>
      </c>
      <c r="F935" s="10">
        <f t="shared" si="3"/>
        <v>45352</v>
      </c>
      <c r="G935" s="11"/>
    </row>
    <row r="936">
      <c r="A936" s="5">
        <f>IFERROR(__xludf.DUMMYFUNCTION("""COMPUTED_VALUE"""),6410.0)</f>
        <v>6410</v>
      </c>
      <c r="B936" s="9">
        <f>IFERROR(__xludf.DUMMYFUNCTION("""COMPUTED_VALUE"""),45378.86084490741)</f>
        <v>45378.86084</v>
      </c>
      <c r="C936" s="5" t="str">
        <f>IFERROR(__xludf.DUMMYFUNCTION("""COMPUTED_VALUE"""),"purchase")</f>
        <v>purchase</v>
      </c>
      <c r="D936" s="10">
        <f t="shared" si="1"/>
        <v>45378</v>
      </c>
      <c r="E936" s="10">
        <f t="shared" si="2"/>
        <v>45376</v>
      </c>
      <c r="F936" s="10">
        <f t="shared" si="3"/>
        <v>45352</v>
      </c>
      <c r="G936" s="11"/>
    </row>
    <row r="937">
      <c r="A937" s="5">
        <f>IFERROR(__xludf.DUMMYFUNCTION("""COMPUTED_VALUE"""),735.0)</f>
        <v>735</v>
      </c>
      <c r="B937" s="9">
        <f>IFERROR(__xludf.DUMMYFUNCTION("""COMPUTED_VALUE"""),45379.02087962963)</f>
        <v>45379.02088</v>
      </c>
      <c r="C937" s="5" t="str">
        <f>IFERROR(__xludf.DUMMYFUNCTION("""COMPUTED_VALUE"""),"purchase")</f>
        <v>purchase</v>
      </c>
      <c r="D937" s="10">
        <f t="shared" si="1"/>
        <v>45379</v>
      </c>
      <c r="E937" s="10">
        <f t="shared" si="2"/>
        <v>45376</v>
      </c>
      <c r="F937" s="10">
        <f t="shared" si="3"/>
        <v>45352</v>
      </c>
      <c r="G937" s="11"/>
    </row>
    <row r="938">
      <c r="A938" s="5">
        <f>IFERROR(__xludf.DUMMYFUNCTION("""COMPUTED_VALUE"""),5822.0)</f>
        <v>5822</v>
      </c>
      <c r="B938" s="9">
        <f>IFERROR(__xludf.DUMMYFUNCTION("""COMPUTED_VALUE"""),45379.09422453704)</f>
        <v>45379.09422</v>
      </c>
      <c r="C938" s="5" t="str">
        <f>IFERROR(__xludf.DUMMYFUNCTION("""COMPUTED_VALUE"""),"purchase")</f>
        <v>purchase</v>
      </c>
      <c r="D938" s="10">
        <f t="shared" si="1"/>
        <v>45379</v>
      </c>
      <c r="E938" s="10">
        <f t="shared" si="2"/>
        <v>45376</v>
      </c>
      <c r="F938" s="10">
        <f t="shared" si="3"/>
        <v>45352</v>
      </c>
      <c r="G938" s="11"/>
    </row>
    <row r="939">
      <c r="A939" s="5">
        <f>IFERROR(__xludf.DUMMYFUNCTION("""COMPUTED_VALUE"""),4661.0)</f>
        <v>4661</v>
      </c>
      <c r="B939" s="9">
        <f>IFERROR(__xludf.DUMMYFUNCTION("""COMPUTED_VALUE"""),45379.10407407407)</f>
        <v>45379.10407</v>
      </c>
      <c r="C939" s="5" t="str">
        <f>IFERROR(__xludf.DUMMYFUNCTION("""COMPUTED_VALUE"""),"purchase")</f>
        <v>purchase</v>
      </c>
      <c r="D939" s="10">
        <f t="shared" si="1"/>
        <v>45379</v>
      </c>
      <c r="E939" s="10">
        <f t="shared" si="2"/>
        <v>45376</v>
      </c>
      <c r="F939" s="10">
        <f t="shared" si="3"/>
        <v>45352</v>
      </c>
      <c r="G939" s="11"/>
    </row>
    <row r="940">
      <c r="A940" s="5">
        <f>IFERROR(__xludf.DUMMYFUNCTION("""COMPUTED_VALUE"""),5635.0)</f>
        <v>5635</v>
      </c>
      <c r="B940" s="9">
        <f>IFERROR(__xludf.DUMMYFUNCTION("""COMPUTED_VALUE"""),45379.132523148146)</f>
        <v>45379.13252</v>
      </c>
      <c r="C940" s="5" t="str">
        <f>IFERROR(__xludf.DUMMYFUNCTION("""COMPUTED_VALUE"""),"purchase")</f>
        <v>purchase</v>
      </c>
      <c r="D940" s="10">
        <f t="shared" si="1"/>
        <v>45379</v>
      </c>
      <c r="E940" s="10">
        <f t="shared" si="2"/>
        <v>45376</v>
      </c>
      <c r="F940" s="10">
        <f t="shared" si="3"/>
        <v>45352</v>
      </c>
      <c r="G940" s="11"/>
    </row>
    <row r="941">
      <c r="A941" s="5">
        <f>IFERROR(__xludf.DUMMYFUNCTION("""COMPUTED_VALUE"""),1920.0)</f>
        <v>1920</v>
      </c>
      <c r="B941" s="9">
        <f>IFERROR(__xludf.DUMMYFUNCTION("""COMPUTED_VALUE"""),45379.30755787037)</f>
        <v>45379.30756</v>
      </c>
      <c r="C941" s="5" t="str">
        <f>IFERROR(__xludf.DUMMYFUNCTION("""COMPUTED_VALUE"""),"purchase")</f>
        <v>purchase</v>
      </c>
      <c r="D941" s="10">
        <f t="shared" si="1"/>
        <v>45379</v>
      </c>
      <c r="E941" s="10">
        <f t="shared" si="2"/>
        <v>45376</v>
      </c>
      <c r="F941" s="10">
        <f t="shared" si="3"/>
        <v>45352</v>
      </c>
      <c r="G941" s="11"/>
    </row>
    <row r="942">
      <c r="A942" s="5">
        <f>IFERROR(__xludf.DUMMYFUNCTION("""COMPUTED_VALUE"""),4533.0)</f>
        <v>4533</v>
      </c>
      <c r="B942" s="9">
        <f>IFERROR(__xludf.DUMMYFUNCTION("""COMPUTED_VALUE"""),45379.4403125)</f>
        <v>45379.44031</v>
      </c>
      <c r="C942" s="5" t="str">
        <f>IFERROR(__xludf.DUMMYFUNCTION("""COMPUTED_VALUE"""),"purchase")</f>
        <v>purchase</v>
      </c>
      <c r="D942" s="10">
        <f t="shared" si="1"/>
        <v>45379</v>
      </c>
      <c r="E942" s="10">
        <f t="shared" si="2"/>
        <v>45376</v>
      </c>
      <c r="F942" s="10">
        <f t="shared" si="3"/>
        <v>45352</v>
      </c>
      <c r="G942" s="11"/>
    </row>
    <row r="943">
      <c r="A943" s="5">
        <f>IFERROR(__xludf.DUMMYFUNCTION("""COMPUTED_VALUE"""),6578.0)</f>
        <v>6578</v>
      </c>
      <c r="B943" s="9">
        <f>IFERROR(__xludf.DUMMYFUNCTION("""COMPUTED_VALUE"""),45379.47634259259)</f>
        <v>45379.47634</v>
      </c>
      <c r="C943" s="5" t="str">
        <f>IFERROR(__xludf.DUMMYFUNCTION("""COMPUTED_VALUE"""),"purchase")</f>
        <v>purchase</v>
      </c>
      <c r="D943" s="10">
        <f t="shared" si="1"/>
        <v>45379</v>
      </c>
      <c r="E943" s="10">
        <f t="shared" si="2"/>
        <v>45376</v>
      </c>
      <c r="F943" s="10">
        <f t="shared" si="3"/>
        <v>45352</v>
      </c>
      <c r="G943" s="11"/>
    </row>
    <row r="944">
      <c r="A944" s="5">
        <f>IFERROR(__xludf.DUMMYFUNCTION("""COMPUTED_VALUE"""),4150.0)</f>
        <v>4150</v>
      </c>
      <c r="B944" s="9">
        <f>IFERROR(__xludf.DUMMYFUNCTION("""COMPUTED_VALUE"""),45379.554768518516)</f>
        <v>45379.55477</v>
      </c>
      <c r="C944" s="5" t="str">
        <f>IFERROR(__xludf.DUMMYFUNCTION("""COMPUTED_VALUE"""),"purchase")</f>
        <v>purchase</v>
      </c>
      <c r="D944" s="10">
        <f t="shared" si="1"/>
        <v>45379</v>
      </c>
      <c r="E944" s="10">
        <f t="shared" si="2"/>
        <v>45376</v>
      </c>
      <c r="F944" s="10">
        <f t="shared" si="3"/>
        <v>45352</v>
      </c>
      <c r="G944" s="11"/>
    </row>
    <row r="945">
      <c r="A945" s="5">
        <f>IFERROR(__xludf.DUMMYFUNCTION("""COMPUTED_VALUE"""),6684.0)</f>
        <v>6684</v>
      </c>
      <c r="B945" s="9">
        <f>IFERROR(__xludf.DUMMYFUNCTION("""COMPUTED_VALUE"""),45379.6306712963)</f>
        <v>45379.63067</v>
      </c>
      <c r="C945" s="5" t="str">
        <f>IFERROR(__xludf.DUMMYFUNCTION("""COMPUTED_VALUE"""),"purchase")</f>
        <v>purchase</v>
      </c>
      <c r="D945" s="10">
        <f t="shared" si="1"/>
        <v>45379</v>
      </c>
      <c r="E945" s="10">
        <f t="shared" si="2"/>
        <v>45376</v>
      </c>
      <c r="F945" s="10">
        <f t="shared" si="3"/>
        <v>45352</v>
      </c>
      <c r="G945" s="11"/>
    </row>
    <row r="946">
      <c r="A946" s="5">
        <f>IFERROR(__xludf.DUMMYFUNCTION("""COMPUTED_VALUE"""),1785.0)</f>
        <v>1785</v>
      </c>
      <c r="B946" s="9">
        <f>IFERROR(__xludf.DUMMYFUNCTION("""COMPUTED_VALUE"""),45379.65898148148)</f>
        <v>45379.65898</v>
      </c>
      <c r="C946" s="5" t="str">
        <f>IFERROR(__xludf.DUMMYFUNCTION("""COMPUTED_VALUE"""),"purchase")</f>
        <v>purchase</v>
      </c>
      <c r="D946" s="10">
        <f t="shared" si="1"/>
        <v>45379</v>
      </c>
      <c r="E946" s="10">
        <f t="shared" si="2"/>
        <v>45376</v>
      </c>
      <c r="F946" s="10">
        <f t="shared" si="3"/>
        <v>45352</v>
      </c>
      <c r="G946" s="11"/>
    </row>
    <row r="947">
      <c r="A947" s="5">
        <f>IFERROR(__xludf.DUMMYFUNCTION("""COMPUTED_VALUE"""),1437.0)</f>
        <v>1437</v>
      </c>
      <c r="B947" s="9">
        <f>IFERROR(__xludf.DUMMYFUNCTION("""COMPUTED_VALUE"""),45379.68612268518)</f>
        <v>45379.68612</v>
      </c>
      <c r="C947" s="5" t="str">
        <f>IFERROR(__xludf.DUMMYFUNCTION("""COMPUTED_VALUE"""),"purchase")</f>
        <v>purchase</v>
      </c>
      <c r="D947" s="10">
        <f t="shared" si="1"/>
        <v>45379</v>
      </c>
      <c r="E947" s="10">
        <f t="shared" si="2"/>
        <v>45376</v>
      </c>
      <c r="F947" s="10">
        <f t="shared" si="3"/>
        <v>45352</v>
      </c>
      <c r="G947" s="11"/>
    </row>
    <row r="948">
      <c r="A948" s="5">
        <f>IFERROR(__xludf.DUMMYFUNCTION("""COMPUTED_VALUE"""),1700.0)</f>
        <v>1700</v>
      </c>
      <c r="B948" s="9">
        <f>IFERROR(__xludf.DUMMYFUNCTION("""COMPUTED_VALUE"""),45379.76731481482)</f>
        <v>45379.76731</v>
      </c>
      <c r="C948" s="5" t="str">
        <f>IFERROR(__xludf.DUMMYFUNCTION("""COMPUTED_VALUE"""),"purchase")</f>
        <v>purchase</v>
      </c>
      <c r="D948" s="10">
        <f t="shared" si="1"/>
        <v>45379</v>
      </c>
      <c r="E948" s="10">
        <f t="shared" si="2"/>
        <v>45376</v>
      </c>
      <c r="F948" s="10">
        <f t="shared" si="3"/>
        <v>45352</v>
      </c>
      <c r="G948" s="11"/>
    </row>
    <row r="949">
      <c r="A949" s="5">
        <f>IFERROR(__xludf.DUMMYFUNCTION("""COMPUTED_VALUE"""),7459.0)</f>
        <v>7459</v>
      </c>
      <c r="B949" s="9">
        <f>IFERROR(__xludf.DUMMYFUNCTION("""COMPUTED_VALUE"""),45379.894594907404)</f>
        <v>45379.89459</v>
      </c>
      <c r="C949" s="5" t="str">
        <f>IFERROR(__xludf.DUMMYFUNCTION("""COMPUTED_VALUE"""),"purchase")</f>
        <v>purchase</v>
      </c>
      <c r="D949" s="10">
        <f t="shared" si="1"/>
        <v>45379</v>
      </c>
      <c r="E949" s="10">
        <f t="shared" si="2"/>
        <v>45376</v>
      </c>
      <c r="F949" s="10">
        <f t="shared" si="3"/>
        <v>45352</v>
      </c>
      <c r="G949" s="11"/>
    </row>
    <row r="950">
      <c r="A950" s="5">
        <f>IFERROR(__xludf.DUMMYFUNCTION("""COMPUTED_VALUE"""),534.0)</f>
        <v>534</v>
      </c>
      <c r="B950" s="9">
        <f>IFERROR(__xludf.DUMMYFUNCTION("""COMPUTED_VALUE"""),45379.94756944444)</f>
        <v>45379.94757</v>
      </c>
      <c r="C950" s="5" t="str">
        <f>IFERROR(__xludf.DUMMYFUNCTION("""COMPUTED_VALUE"""),"purchase")</f>
        <v>purchase</v>
      </c>
      <c r="D950" s="10">
        <f t="shared" si="1"/>
        <v>45379</v>
      </c>
      <c r="E950" s="10">
        <f t="shared" si="2"/>
        <v>45376</v>
      </c>
      <c r="F950" s="10">
        <f t="shared" si="3"/>
        <v>45352</v>
      </c>
      <c r="G950" s="11"/>
    </row>
    <row r="951">
      <c r="A951" s="5">
        <f>IFERROR(__xludf.DUMMYFUNCTION("""COMPUTED_VALUE"""),3827.0)</f>
        <v>3827</v>
      </c>
      <c r="B951" s="9">
        <f>IFERROR(__xludf.DUMMYFUNCTION("""COMPUTED_VALUE"""),45379.97844907407)</f>
        <v>45379.97845</v>
      </c>
      <c r="C951" s="5" t="str">
        <f>IFERROR(__xludf.DUMMYFUNCTION("""COMPUTED_VALUE"""),"purchase")</f>
        <v>purchase</v>
      </c>
      <c r="D951" s="10">
        <f t="shared" si="1"/>
        <v>45379</v>
      </c>
      <c r="E951" s="10">
        <f t="shared" si="2"/>
        <v>45376</v>
      </c>
      <c r="F951" s="10">
        <f t="shared" si="3"/>
        <v>45352</v>
      </c>
      <c r="G951" s="11"/>
    </row>
    <row r="952">
      <c r="A952" s="5">
        <f>IFERROR(__xludf.DUMMYFUNCTION("""COMPUTED_VALUE"""),7790.0)</f>
        <v>7790</v>
      </c>
      <c r="B952" s="9">
        <f>IFERROR(__xludf.DUMMYFUNCTION("""COMPUTED_VALUE"""),45379.98327546296)</f>
        <v>45379.98328</v>
      </c>
      <c r="C952" s="5" t="str">
        <f>IFERROR(__xludf.DUMMYFUNCTION("""COMPUTED_VALUE"""),"purchase")</f>
        <v>purchase</v>
      </c>
      <c r="D952" s="10">
        <f t="shared" si="1"/>
        <v>45379</v>
      </c>
      <c r="E952" s="10">
        <f t="shared" si="2"/>
        <v>45376</v>
      </c>
      <c r="F952" s="10">
        <f t="shared" si="3"/>
        <v>45352</v>
      </c>
      <c r="G952" s="11"/>
    </row>
    <row r="953">
      <c r="A953" s="5">
        <f>IFERROR(__xludf.DUMMYFUNCTION("""COMPUTED_VALUE"""),178.0)</f>
        <v>178</v>
      </c>
      <c r="B953" s="9">
        <f>IFERROR(__xludf.DUMMYFUNCTION("""COMPUTED_VALUE"""),45379.98427083333)</f>
        <v>45379.98427</v>
      </c>
      <c r="C953" s="5" t="str">
        <f>IFERROR(__xludf.DUMMYFUNCTION("""COMPUTED_VALUE"""),"purchase")</f>
        <v>purchase</v>
      </c>
      <c r="D953" s="10">
        <f t="shared" si="1"/>
        <v>45379</v>
      </c>
      <c r="E953" s="10">
        <f t="shared" si="2"/>
        <v>45376</v>
      </c>
      <c r="F953" s="10">
        <f t="shared" si="3"/>
        <v>45352</v>
      </c>
      <c r="G953" s="11"/>
    </row>
    <row r="954">
      <c r="A954" s="5">
        <f>IFERROR(__xludf.DUMMYFUNCTION("""COMPUTED_VALUE"""),7561.0)</f>
        <v>7561</v>
      </c>
      <c r="B954" s="9">
        <f>IFERROR(__xludf.DUMMYFUNCTION("""COMPUTED_VALUE"""),45380.116898148146)</f>
        <v>45380.1169</v>
      </c>
      <c r="C954" s="5" t="str">
        <f>IFERROR(__xludf.DUMMYFUNCTION("""COMPUTED_VALUE"""),"purchase")</f>
        <v>purchase</v>
      </c>
      <c r="D954" s="10">
        <f t="shared" si="1"/>
        <v>45380</v>
      </c>
      <c r="E954" s="10">
        <f t="shared" si="2"/>
        <v>45376</v>
      </c>
      <c r="F954" s="10">
        <f t="shared" si="3"/>
        <v>45352</v>
      </c>
      <c r="G954" s="11"/>
    </row>
    <row r="955">
      <c r="A955" s="5">
        <f>IFERROR(__xludf.DUMMYFUNCTION("""COMPUTED_VALUE"""),323.0)</f>
        <v>323</v>
      </c>
      <c r="B955" s="9">
        <f>IFERROR(__xludf.DUMMYFUNCTION("""COMPUTED_VALUE"""),45380.11724537037)</f>
        <v>45380.11725</v>
      </c>
      <c r="C955" s="5" t="str">
        <f>IFERROR(__xludf.DUMMYFUNCTION("""COMPUTED_VALUE"""),"purchase")</f>
        <v>purchase</v>
      </c>
      <c r="D955" s="10">
        <f t="shared" si="1"/>
        <v>45380</v>
      </c>
      <c r="E955" s="10">
        <f t="shared" si="2"/>
        <v>45376</v>
      </c>
      <c r="F955" s="10">
        <f t="shared" si="3"/>
        <v>45352</v>
      </c>
      <c r="G955" s="11"/>
    </row>
    <row r="956">
      <c r="A956" s="5">
        <f>IFERROR(__xludf.DUMMYFUNCTION("""COMPUTED_VALUE"""),52.0)</f>
        <v>52</v>
      </c>
      <c r="B956" s="9">
        <f>IFERROR(__xludf.DUMMYFUNCTION("""COMPUTED_VALUE"""),45380.21263888889)</f>
        <v>45380.21264</v>
      </c>
      <c r="C956" s="5" t="str">
        <f>IFERROR(__xludf.DUMMYFUNCTION("""COMPUTED_VALUE"""),"purchase")</f>
        <v>purchase</v>
      </c>
      <c r="D956" s="10">
        <f t="shared" si="1"/>
        <v>45380</v>
      </c>
      <c r="E956" s="10">
        <f t="shared" si="2"/>
        <v>45376</v>
      </c>
      <c r="F956" s="10">
        <f t="shared" si="3"/>
        <v>45352</v>
      </c>
      <c r="G956" s="11"/>
    </row>
    <row r="957">
      <c r="A957" s="5">
        <f>IFERROR(__xludf.DUMMYFUNCTION("""COMPUTED_VALUE"""),6073.0)</f>
        <v>6073</v>
      </c>
      <c r="B957" s="9">
        <f>IFERROR(__xludf.DUMMYFUNCTION("""COMPUTED_VALUE"""),45380.227164351854)</f>
        <v>45380.22716</v>
      </c>
      <c r="C957" s="5" t="str">
        <f>IFERROR(__xludf.DUMMYFUNCTION("""COMPUTED_VALUE"""),"purchase")</f>
        <v>purchase</v>
      </c>
      <c r="D957" s="10">
        <f t="shared" si="1"/>
        <v>45380</v>
      </c>
      <c r="E957" s="10">
        <f t="shared" si="2"/>
        <v>45376</v>
      </c>
      <c r="F957" s="10">
        <f t="shared" si="3"/>
        <v>45352</v>
      </c>
      <c r="G957" s="11"/>
    </row>
    <row r="958">
      <c r="A958" s="5">
        <f>IFERROR(__xludf.DUMMYFUNCTION("""COMPUTED_VALUE"""),5609.0)</f>
        <v>5609</v>
      </c>
      <c r="B958" s="9">
        <f>IFERROR(__xludf.DUMMYFUNCTION("""COMPUTED_VALUE"""),45380.260787037034)</f>
        <v>45380.26079</v>
      </c>
      <c r="C958" s="5" t="str">
        <f>IFERROR(__xludf.DUMMYFUNCTION("""COMPUTED_VALUE"""),"purchase")</f>
        <v>purchase</v>
      </c>
      <c r="D958" s="10">
        <f t="shared" si="1"/>
        <v>45380</v>
      </c>
      <c r="E958" s="10">
        <f t="shared" si="2"/>
        <v>45376</v>
      </c>
      <c r="F958" s="10">
        <f t="shared" si="3"/>
        <v>45352</v>
      </c>
      <c r="G958" s="11"/>
    </row>
    <row r="959">
      <c r="A959" s="5">
        <f>IFERROR(__xludf.DUMMYFUNCTION("""COMPUTED_VALUE"""),3754.0)</f>
        <v>3754</v>
      </c>
      <c r="B959" s="9">
        <f>IFERROR(__xludf.DUMMYFUNCTION("""COMPUTED_VALUE"""),45380.33168981481)</f>
        <v>45380.33169</v>
      </c>
      <c r="C959" s="5" t="str">
        <f>IFERROR(__xludf.DUMMYFUNCTION("""COMPUTED_VALUE"""),"purchase")</f>
        <v>purchase</v>
      </c>
      <c r="D959" s="10">
        <f t="shared" si="1"/>
        <v>45380</v>
      </c>
      <c r="E959" s="10">
        <f t="shared" si="2"/>
        <v>45376</v>
      </c>
      <c r="F959" s="10">
        <f t="shared" si="3"/>
        <v>45352</v>
      </c>
      <c r="G959" s="11"/>
    </row>
    <row r="960">
      <c r="A960" s="5">
        <f>IFERROR(__xludf.DUMMYFUNCTION("""COMPUTED_VALUE"""),1516.0)</f>
        <v>1516</v>
      </c>
      <c r="B960" s="9">
        <f>IFERROR(__xludf.DUMMYFUNCTION("""COMPUTED_VALUE"""),45380.348657407405)</f>
        <v>45380.34866</v>
      </c>
      <c r="C960" s="5" t="str">
        <f>IFERROR(__xludf.DUMMYFUNCTION("""COMPUTED_VALUE"""),"purchase")</f>
        <v>purchase</v>
      </c>
      <c r="D960" s="10">
        <f t="shared" si="1"/>
        <v>45380</v>
      </c>
      <c r="E960" s="10">
        <f t="shared" si="2"/>
        <v>45376</v>
      </c>
      <c r="F960" s="10">
        <f t="shared" si="3"/>
        <v>45352</v>
      </c>
      <c r="G960" s="11"/>
    </row>
    <row r="961">
      <c r="A961" s="5">
        <f>IFERROR(__xludf.DUMMYFUNCTION("""COMPUTED_VALUE"""),7926.0)</f>
        <v>7926</v>
      </c>
      <c r="B961" s="9">
        <f>IFERROR(__xludf.DUMMYFUNCTION("""COMPUTED_VALUE"""),45380.442349537036)</f>
        <v>45380.44235</v>
      </c>
      <c r="C961" s="5" t="str">
        <f>IFERROR(__xludf.DUMMYFUNCTION("""COMPUTED_VALUE"""),"purchase")</f>
        <v>purchase</v>
      </c>
      <c r="D961" s="10">
        <f t="shared" si="1"/>
        <v>45380</v>
      </c>
      <c r="E961" s="10">
        <f t="shared" si="2"/>
        <v>45376</v>
      </c>
      <c r="F961" s="10">
        <f t="shared" si="3"/>
        <v>45352</v>
      </c>
      <c r="G961" s="11"/>
    </row>
    <row r="962">
      <c r="A962" s="5">
        <f>IFERROR(__xludf.DUMMYFUNCTION("""COMPUTED_VALUE"""),4229.0)</f>
        <v>4229</v>
      </c>
      <c r="B962" s="9">
        <f>IFERROR(__xludf.DUMMYFUNCTION("""COMPUTED_VALUE"""),45380.44875)</f>
        <v>45380.44875</v>
      </c>
      <c r="C962" s="5" t="str">
        <f>IFERROR(__xludf.DUMMYFUNCTION("""COMPUTED_VALUE"""),"purchase")</f>
        <v>purchase</v>
      </c>
      <c r="D962" s="10">
        <f t="shared" si="1"/>
        <v>45380</v>
      </c>
      <c r="E962" s="10">
        <f t="shared" si="2"/>
        <v>45376</v>
      </c>
      <c r="F962" s="10">
        <f t="shared" si="3"/>
        <v>45352</v>
      </c>
      <c r="G962" s="11"/>
    </row>
    <row r="963">
      <c r="A963" s="5">
        <f>IFERROR(__xludf.DUMMYFUNCTION("""COMPUTED_VALUE"""),4648.0)</f>
        <v>4648</v>
      </c>
      <c r="B963" s="9">
        <f>IFERROR(__xludf.DUMMYFUNCTION("""COMPUTED_VALUE"""),45380.52421296296)</f>
        <v>45380.52421</v>
      </c>
      <c r="C963" s="5" t="str">
        <f>IFERROR(__xludf.DUMMYFUNCTION("""COMPUTED_VALUE"""),"purchase")</f>
        <v>purchase</v>
      </c>
      <c r="D963" s="10">
        <f t="shared" si="1"/>
        <v>45380</v>
      </c>
      <c r="E963" s="10">
        <f t="shared" si="2"/>
        <v>45376</v>
      </c>
      <c r="F963" s="10">
        <f t="shared" si="3"/>
        <v>45352</v>
      </c>
      <c r="G963" s="11"/>
    </row>
    <row r="964">
      <c r="A964" s="5">
        <f>IFERROR(__xludf.DUMMYFUNCTION("""COMPUTED_VALUE"""),1145.0)</f>
        <v>1145</v>
      </c>
      <c r="B964" s="9">
        <f>IFERROR(__xludf.DUMMYFUNCTION("""COMPUTED_VALUE"""),45380.68152777778)</f>
        <v>45380.68153</v>
      </c>
      <c r="C964" s="5" t="str">
        <f>IFERROR(__xludf.DUMMYFUNCTION("""COMPUTED_VALUE"""),"purchase")</f>
        <v>purchase</v>
      </c>
      <c r="D964" s="10">
        <f t="shared" si="1"/>
        <v>45380</v>
      </c>
      <c r="E964" s="10">
        <f t="shared" si="2"/>
        <v>45376</v>
      </c>
      <c r="F964" s="10">
        <f t="shared" si="3"/>
        <v>45352</v>
      </c>
      <c r="G964" s="11"/>
    </row>
    <row r="965">
      <c r="A965" s="5">
        <f>IFERROR(__xludf.DUMMYFUNCTION("""COMPUTED_VALUE"""),4271.0)</f>
        <v>4271</v>
      </c>
      <c r="B965" s="9">
        <f>IFERROR(__xludf.DUMMYFUNCTION("""COMPUTED_VALUE"""),45380.923171296294)</f>
        <v>45380.92317</v>
      </c>
      <c r="C965" s="5" t="str">
        <f>IFERROR(__xludf.DUMMYFUNCTION("""COMPUTED_VALUE"""),"purchase")</f>
        <v>purchase</v>
      </c>
      <c r="D965" s="10">
        <f t="shared" si="1"/>
        <v>45380</v>
      </c>
      <c r="E965" s="10">
        <f t="shared" si="2"/>
        <v>45376</v>
      </c>
      <c r="F965" s="10">
        <f t="shared" si="3"/>
        <v>45352</v>
      </c>
      <c r="G965" s="11"/>
    </row>
    <row r="966">
      <c r="A966" s="5">
        <f>IFERROR(__xludf.DUMMYFUNCTION("""COMPUTED_VALUE"""),512.0)</f>
        <v>512</v>
      </c>
      <c r="B966" s="9">
        <f>IFERROR(__xludf.DUMMYFUNCTION("""COMPUTED_VALUE"""),45380.952314814815)</f>
        <v>45380.95231</v>
      </c>
      <c r="C966" s="5" t="str">
        <f>IFERROR(__xludf.DUMMYFUNCTION("""COMPUTED_VALUE"""),"purchase")</f>
        <v>purchase</v>
      </c>
      <c r="D966" s="10">
        <f t="shared" si="1"/>
        <v>45380</v>
      </c>
      <c r="E966" s="10">
        <f t="shared" si="2"/>
        <v>45376</v>
      </c>
      <c r="F966" s="10">
        <f t="shared" si="3"/>
        <v>45352</v>
      </c>
      <c r="G966" s="11"/>
    </row>
    <row r="967">
      <c r="A967" s="5">
        <f>IFERROR(__xludf.DUMMYFUNCTION("""COMPUTED_VALUE"""),7609.0)</f>
        <v>7609</v>
      </c>
      <c r="B967" s="9">
        <f>IFERROR(__xludf.DUMMYFUNCTION("""COMPUTED_VALUE"""),45380.99383101852)</f>
        <v>45380.99383</v>
      </c>
      <c r="C967" s="5" t="str">
        <f>IFERROR(__xludf.DUMMYFUNCTION("""COMPUTED_VALUE"""),"purchase")</f>
        <v>purchase</v>
      </c>
      <c r="D967" s="10">
        <f t="shared" si="1"/>
        <v>45380</v>
      </c>
      <c r="E967" s="10">
        <f t="shared" si="2"/>
        <v>45376</v>
      </c>
      <c r="F967" s="10">
        <f t="shared" si="3"/>
        <v>45352</v>
      </c>
      <c r="G967" s="11"/>
    </row>
    <row r="968">
      <c r="A968" s="5">
        <f>IFERROR(__xludf.DUMMYFUNCTION("""COMPUTED_VALUE"""),6045.0)</f>
        <v>6045</v>
      </c>
      <c r="B968" s="9">
        <f>IFERROR(__xludf.DUMMYFUNCTION("""COMPUTED_VALUE"""),45381.07053240741)</f>
        <v>45381.07053</v>
      </c>
      <c r="C968" s="5" t="str">
        <f>IFERROR(__xludf.DUMMYFUNCTION("""COMPUTED_VALUE"""),"purchase")</f>
        <v>purchase</v>
      </c>
      <c r="D968" s="10">
        <f t="shared" si="1"/>
        <v>45381</v>
      </c>
      <c r="E968" s="10">
        <f t="shared" si="2"/>
        <v>45376</v>
      </c>
      <c r="F968" s="10">
        <f t="shared" si="3"/>
        <v>45352</v>
      </c>
      <c r="G968" s="11"/>
    </row>
    <row r="969">
      <c r="A969" s="5">
        <f>IFERROR(__xludf.DUMMYFUNCTION("""COMPUTED_VALUE"""),6406.0)</f>
        <v>6406</v>
      </c>
      <c r="B969" s="9">
        <f>IFERROR(__xludf.DUMMYFUNCTION("""COMPUTED_VALUE"""),45381.204780092594)</f>
        <v>45381.20478</v>
      </c>
      <c r="C969" s="5" t="str">
        <f>IFERROR(__xludf.DUMMYFUNCTION("""COMPUTED_VALUE"""),"purchase")</f>
        <v>purchase</v>
      </c>
      <c r="D969" s="10">
        <f t="shared" si="1"/>
        <v>45381</v>
      </c>
      <c r="E969" s="10">
        <f t="shared" si="2"/>
        <v>45376</v>
      </c>
      <c r="F969" s="10">
        <f t="shared" si="3"/>
        <v>45352</v>
      </c>
      <c r="G969" s="11"/>
    </row>
    <row r="970">
      <c r="A970" s="5">
        <f>IFERROR(__xludf.DUMMYFUNCTION("""COMPUTED_VALUE"""),6263.0)</f>
        <v>6263</v>
      </c>
      <c r="B970" s="9">
        <f>IFERROR(__xludf.DUMMYFUNCTION("""COMPUTED_VALUE"""),45381.20784722222)</f>
        <v>45381.20785</v>
      </c>
      <c r="C970" s="5" t="str">
        <f>IFERROR(__xludf.DUMMYFUNCTION("""COMPUTED_VALUE"""),"purchase")</f>
        <v>purchase</v>
      </c>
      <c r="D970" s="10">
        <f t="shared" si="1"/>
        <v>45381</v>
      </c>
      <c r="E970" s="10">
        <f t="shared" si="2"/>
        <v>45376</v>
      </c>
      <c r="F970" s="10">
        <f t="shared" si="3"/>
        <v>45352</v>
      </c>
      <c r="G970" s="11"/>
    </row>
    <row r="971">
      <c r="A971" s="5">
        <f>IFERROR(__xludf.DUMMYFUNCTION("""COMPUTED_VALUE"""),5517.0)</f>
        <v>5517</v>
      </c>
      <c r="B971" s="9">
        <f>IFERROR(__xludf.DUMMYFUNCTION("""COMPUTED_VALUE"""),45381.25497685185)</f>
        <v>45381.25498</v>
      </c>
      <c r="C971" s="5" t="str">
        <f>IFERROR(__xludf.DUMMYFUNCTION("""COMPUTED_VALUE"""),"purchase")</f>
        <v>purchase</v>
      </c>
      <c r="D971" s="10">
        <f t="shared" si="1"/>
        <v>45381</v>
      </c>
      <c r="E971" s="10">
        <f t="shared" si="2"/>
        <v>45376</v>
      </c>
      <c r="F971" s="10">
        <f t="shared" si="3"/>
        <v>45352</v>
      </c>
      <c r="G971" s="11"/>
    </row>
    <row r="972">
      <c r="A972" s="5">
        <f>IFERROR(__xludf.DUMMYFUNCTION("""COMPUTED_VALUE"""),150.0)</f>
        <v>150</v>
      </c>
      <c r="B972" s="9">
        <f>IFERROR(__xludf.DUMMYFUNCTION("""COMPUTED_VALUE"""),45381.34211805555)</f>
        <v>45381.34212</v>
      </c>
      <c r="C972" s="5" t="str">
        <f>IFERROR(__xludf.DUMMYFUNCTION("""COMPUTED_VALUE"""),"purchase")</f>
        <v>purchase</v>
      </c>
      <c r="D972" s="10">
        <f t="shared" si="1"/>
        <v>45381</v>
      </c>
      <c r="E972" s="10">
        <f t="shared" si="2"/>
        <v>45376</v>
      </c>
      <c r="F972" s="10">
        <f t="shared" si="3"/>
        <v>45352</v>
      </c>
      <c r="G972" s="11"/>
    </row>
    <row r="973">
      <c r="A973" s="5">
        <f>IFERROR(__xludf.DUMMYFUNCTION("""COMPUTED_VALUE"""),1927.0)</f>
        <v>1927</v>
      </c>
      <c r="B973" s="9">
        <f>IFERROR(__xludf.DUMMYFUNCTION("""COMPUTED_VALUE"""),45381.40482638889)</f>
        <v>45381.40483</v>
      </c>
      <c r="C973" s="5" t="str">
        <f>IFERROR(__xludf.DUMMYFUNCTION("""COMPUTED_VALUE"""),"purchase")</f>
        <v>purchase</v>
      </c>
      <c r="D973" s="10">
        <f t="shared" si="1"/>
        <v>45381</v>
      </c>
      <c r="E973" s="10">
        <f t="shared" si="2"/>
        <v>45376</v>
      </c>
      <c r="F973" s="10">
        <f t="shared" si="3"/>
        <v>45352</v>
      </c>
      <c r="G973" s="11"/>
    </row>
    <row r="974">
      <c r="A974" s="5">
        <f>IFERROR(__xludf.DUMMYFUNCTION("""COMPUTED_VALUE"""),2583.0)</f>
        <v>2583</v>
      </c>
      <c r="B974" s="9">
        <f>IFERROR(__xludf.DUMMYFUNCTION("""COMPUTED_VALUE"""),45381.51778935185)</f>
        <v>45381.51779</v>
      </c>
      <c r="C974" s="5" t="str">
        <f>IFERROR(__xludf.DUMMYFUNCTION("""COMPUTED_VALUE"""),"purchase")</f>
        <v>purchase</v>
      </c>
      <c r="D974" s="10">
        <f t="shared" si="1"/>
        <v>45381</v>
      </c>
      <c r="E974" s="10">
        <f t="shared" si="2"/>
        <v>45376</v>
      </c>
      <c r="F974" s="10">
        <f t="shared" si="3"/>
        <v>45352</v>
      </c>
      <c r="G974" s="11"/>
    </row>
    <row r="975">
      <c r="A975" s="5">
        <f>IFERROR(__xludf.DUMMYFUNCTION("""COMPUTED_VALUE"""),7535.0)</f>
        <v>7535</v>
      </c>
      <c r="B975" s="9">
        <f>IFERROR(__xludf.DUMMYFUNCTION("""COMPUTED_VALUE"""),45381.592569444445)</f>
        <v>45381.59257</v>
      </c>
      <c r="C975" s="5" t="str">
        <f>IFERROR(__xludf.DUMMYFUNCTION("""COMPUTED_VALUE"""),"purchase")</f>
        <v>purchase</v>
      </c>
      <c r="D975" s="10">
        <f t="shared" si="1"/>
        <v>45381</v>
      </c>
      <c r="E975" s="10">
        <f t="shared" si="2"/>
        <v>45376</v>
      </c>
      <c r="F975" s="10">
        <f t="shared" si="3"/>
        <v>45352</v>
      </c>
      <c r="G975" s="11"/>
    </row>
    <row r="976">
      <c r="A976" s="5">
        <f>IFERROR(__xludf.DUMMYFUNCTION("""COMPUTED_VALUE"""),7037.0)</f>
        <v>7037</v>
      </c>
      <c r="B976" s="9">
        <f>IFERROR(__xludf.DUMMYFUNCTION("""COMPUTED_VALUE"""),45381.67832175926)</f>
        <v>45381.67832</v>
      </c>
      <c r="C976" s="5" t="str">
        <f>IFERROR(__xludf.DUMMYFUNCTION("""COMPUTED_VALUE"""),"purchase")</f>
        <v>purchase</v>
      </c>
      <c r="D976" s="10">
        <f t="shared" si="1"/>
        <v>45381</v>
      </c>
      <c r="E976" s="10">
        <f t="shared" si="2"/>
        <v>45376</v>
      </c>
      <c r="F976" s="10">
        <f t="shared" si="3"/>
        <v>45352</v>
      </c>
      <c r="G976" s="11"/>
    </row>
    <row r="977">
      <c r="A977" s="5">
        <f>IFERROR(__xludf.DUMMYFUNCTION("""COMPUTED_VALUE"""),6801.0)</f>
        <v>6801</v>
      </c>
      <c r="B977" s="9">
        <f>IFERROR(__xludf.DUMMYFUNCTION("""COMPUTED_VALUE"""),45381.71738425926)</f>
        <v>45381.71738</v>
      </c>
      <c r="C977" s="5" t="str">
        <f>IFERROR(__xludf.DUMMYFUNCTION("""COMPUTED_VALUE"""),"purchase")</f>
        <v>purchase</v>
      </c>
      <c r="D977" s="10">
        <f t="shared" si="1"/>
        <v>45381</v>
      </c>
      <c r="E977" s="10">
        <f t="shared" si="2"/>
        <v>45376</v>
      </c>
      <c r="F977" s="10">
        <f t="shared" si="3"/>
        <v>45352</v>
      </c>
      <c r="G977" s="11"/>
    </row>
    <row r="978">
      <c r="A978" s="5">
        <f>IFERROR(__xludf.DUMMYFUNCTION("""COMPUTED_VALUE"""),5818.0)</f>
        <v>5818</v>
      </c>
      <c r="B978" s="9">
        <f>IFERROR(__xludf.DUMMYFUNCTION("""COMPUTED_VALUE"""),45382.05228009259)</f>
        <v>45382.05228</v>
      </c>
      <c r="C978" s="5" t="str">
        <f>IFERROR(__xludf.DUMMYFUNCTION("""COMPUTED_VALUE"""),"purchase")</f>
        <v>purchase</v>
      </c>
      <c r="D978" s="10">
        <f t="shared" si="1"/>
        <v>45382</v>
      </c>
      <c r="E978" s="10">
        <f t="shared" si="2"/>
        <v>45376</v>
      </c>
      <c r="F978" s="10">
        <f t="shared" si="3"/>
        <v>45352</v>
      </c>
      <c r="G978" s="11"/>
    </row>
    <row r="979">
      <c r="A979" s="5">
        <f>IFERROR(__xludf.DUMMYFUNCTION("""COMPUTED_VALUE"""),223.0)</f>
        <v>223</v>
      </c>
      <c r="B979" s="9">
        <f>IFERROR(__xludf.DUMMYFUNCTION("""COMPUTED_VALUE"""),45382.17811342593)</f>
        <v>45382.17811</v>
      </c>
      <c r="C979" s="5" t="str">
        <f>IFERROR(__xludf.DUMMYFUNCTION("""COMPUTED_VALUE"""),"purchase")</f>
        <v>purchase</v>
      </c>
      <c r="D979" s="10">
        <f t="shared" si="1"/>
        <v>45382</v>
      </c>
      <c r="E979" s="10">
        <f t="shared" si="2"/>
        <v>45376</v>
      </c>
      <c r="F979" s="10">
        <f t="shared" si="3"/>
        <v>45352</v>
      </c>
      <c r="G979" s="11"/>
    </row>
    <row r="980">
      <c r="A980" s="5">
        <f>IFERROR(__xludf.DUMMYFUNCTION("""COMPUTED_VALUE"""),4954.0)</f>
        <v>4954</v>
      </c>
      <c r="B980" s="9">
        <f>IFERROR(__xludf.DUMMYFUNCTION("""COMPUTED_VALUE"""),45382.24916666667)</f>
        <v>45382.24917</v>
      </c>
      <c r="C980" s="5" t="str">
        <f>IFERROR(__xludf.DUMMYFUNCTION("""COMPUTED_VALUE"""),"purchase")</f>
        <v>purchase</v>
      </c>
      <c r="D980" s="10">
        <f t="shared" si="1"/>
        <v>45382</v>
      </c>
      <c r="E980" s="10">
        <f t="shared" si="2"/>
        <v>45376</v>
      </c>
      <c r="F980" s="10">
        <f t="shared" si="3"/>
        <v>45352</v>
      </c>
      <c r="G980" s="11"/>
    </row>
    <row r="981">
      <c r="A981" s="5">
        <f>IFERROR(__xludf.DUMMYFUNCTION("""COMPUTED_VALUE"""),7410.0)</f>
        <v>7410</v>
      </c>
      <c r="B981" s="9">
        <f>IFERROR(__xludf.DUMMYFUNCTION("""COMPUTED_VALUE"""),45382.29336805556)</f>
        <v>45382.29337</v>
      </c>
      <c r="C981" s="5" t="str">
        <f>IFERROR(__xludf.DUMMYFUNCTION("""COMPUTED_VALUE"""),"purchase")</f>
        <v>purchase</v>
      </c>
      <c r="D981" s="10">
        <f t="shared" si="1"/>
        <v>45382</v>
      </c>
      <c r="E981" s="10">
        <f t="shared" si="2"/>
        <v>45376</v>
      </c>
      <c r="F981" s="10">
        <f t="shared" si="3"/>
        <v>45352</v>
      </c>
      <c r="G981" s="11"/>
    </row>
    <row r="982">
      <c r="A982" s="5">
        <f>IFERROR(__xludf.DUMMYFUNCTION("""COMPUTED_VALUE"""),5897.0)</f>
        <v>5897</v>
      </c>
      <c r="B982" s="9">
        <f>IFERROR(__xludf.DUMMYFUNCTION("""COMPUTED_VALUE"""),45382.335868055554)</f>
        <v>45382.33587</v>
      </c>
      <c r="C982" s="5" t="str">
        <f>IFERROR(__xludf.DUMMYFUNCTION("""COMPUTED_VALUE"""),"purchase")</f>
        <v>purchase</v>
      </c>
      <c r="D982" s="10">
        <f t="shared" si="1"/>
        <v>45382</v>
      </c>
      <c r="E982" s="10">
        <f t="shared" si="2"/>
        <v>45376</v>
      </c>
      <c r="F982" s="10">
        <f t="shared" si="3"/>
        <v>45352</v>
      </c>
      <c r="G982" s="11"/>
    </row>
    <row r="983">
      <c r="A983" s="5">
        <f>IFERROR(__xludf.DUMMYFUNCTION("""COMPUTED_VALUE"""),4450.0)</f>
        <v>4450</v>
      </c>
      <c r="B983" s="9">
        <f>IFERROR(__xludf.DUMMYFUNCTION("""COMPUTED_VALUE"""),45382.45804398148)</f>
        <v>45382.45804</v>
      </c>
      <c r="C983" s="5" t="str">
        <f>IFERROR(__xludf.DUMMYFUNCTION("""COMPUTED_VALUE"""),"purchase")</f>
        <v>purchase</v>
      </c>
      <c r="D983" s="10">
        <f t="shared" si="1"/>
        <v>45382</v>
      </c>
      <c r="E983" s="10">
        <f t="shared" si="2"/>
        <v>45376</v>
      </c>
      <c r="F983" s="10">
        <f t="shared" si="3"/>
        <v>45352</v>
      </c>
      <c r="G983" s="11"/>
    </row>
    <row r="984">
      <c r="A984" s="5">
        <f>IFERROR(__xludf.DUMMYFUNCTION("""COMPUTED_VALUE"""),535.0)</f>
        <v>535</v>
      </c>
      <c r="B984" s="9">
        <f>IFERROR(__xludf.DUMMYFUNCTION("""COMPUTED_VALUE"""),45382.487280092595)</f>
        <v>45382.48728</v>
      </c>
      <c r="C984" s="5" t="str">
        <f>IFERROR(__xludf.DUMMYFUNCTION("""COMPUTED_VALUE"""),"purchase")</f>
        <v>purchase</v>
      </c>
      <c r="D984" s="10">
        <f t="shared" si="1"/>
        <v>45382</v>
      </c>
      <c r="E984" s="10">
        <f t="shared" si="2"/>
        <v>45376</v>
      </c>
      <c r="F984" s="10">
        <f t="shared" si="3"/>
        <v>45352</v>
      </c>
      <c r="G984" s="11"/>
    </row>
    <row r="985">
      <c r="A985" s="5">
        <f>IFERROR(__xludf.DUMMYFUNCTION("""COMPUTED_VALUE"""),335.0)</f>
        <v>335</v>
      </c>
      <c r="B985" s="9">
        <f>IFERROR(__xludf.DUMMYFUNCTION("""COMPUTED_VALUE"""),45382.51965277778)</f>
        <v>45382.51965</v>
      </c>
      <c r="C985" s="5" t="str">
        <f>IFERROR(__xludf.DUMMYFUNCTION("""COMPUTED_VALUE"""),"purchase")</f>
        <v>purchase</v>
      </c>
      <c r="D985" s="10">
        <f t="shared" si="1"/>
        <v>45382</v>
      </c>
      <c r="E985" s="10">
        <f t="shared" si="2"/>
        <v>45376</v>
      </c>
      <c r="F985" s="10">
        <f t="shared" si="3"/>
        <v>45352</v>
      </c>
      <c r="G985" s="11"/>
    </row>
    <row r="986">
      <c r="A986" s="5">
        <f>IFERROR(__xludf.DUMMYFUNCTION("""COMPUTED_VALUE"""),1560.0)</f>
        <v>1560</v>
      </c>
      <c r="B986" s="9">
        <f>IFERROR(__xludf.DUMMYFUNCTION("""COMPUTED_VALUE"""),45382.82417824074)</f>
        <v>45382.82418</v>
      </c>
      <c r="C986" s="5" t="str">
        <f>IFERROR(__xludf.DUMMYFUNCTION("""COMPUTED_VALUE"""),"purchase")</f>
        <v>purchase</v>
      </c>
      <c r="D986" s="10">
        <f t="shared" si="1"/>
        <v>45382</v>
      </c>
      <c r="E986" s="10">
        <f t="shared" si="2"/>
        <v>45376</v>
      </c>
      <c r="F986" s="10">
        <f t="shared" si="3"/>
        <v>45352</v>
      </c>
      <c r="G986" s="11"/>
    </row>
    <row r="987">
      <c r="A987" s="5">
        <f>IFERROR(__xludf.DUMMYFUNCTION("""COMPUTED_VALUE"""),7915.0)</f>
        <v>7915</v>
      </c>
      <c r="B987" s="9">
        <f>IFERROR(__xludf.DUMMYFUNCTION("""COMPUTED_VALUE"""),45382.84144675926)</f>
        <v>45382.84145</v>
      </c>
      <c r="C987" s="5" t="str">
        <f>IFERROR(__xludf.DUMMYFUNCTION("""COMPUTED_VALUE"""),"purchase")</f>
        <v>purchase</v>
      </c>
      <c r="D987" s="10">
        <f t="shared" si="1"/>
        <v>45382</v>
      </c>
      <c r="E987" s="10">
        <f t="shared" si="2"/>
        <v>45376</v>
      </c>
      <c r="F987" s="10">
        <f t="shared" si="3"/>
        <v>45352</v>
      </c>
      <c r="G987" s="11"/>
    </row>
    <row r="988">
      <c r="A988" s="5">
        <f>IFERROR(__xludf.DUMMYFUNCTION("""COMPUTED_VALUE"""),5671.0)</f>
        <v>5671</v>
      </c>
      <c r="B988" s="9">
        <f>IFERROR(__xludf.DUMMYFUNCTION("""COMPUTED_VALUE"""),45382.854317129626)</f>
        <v>45382.85432</v>
      </c>
      <c r="C988" s="5" t="str">
        <f>IFERROR(__xludf.DUMMYFUNCTION("""COMPUTED_VALUE"""),"purchase")</f>
        <v>purchase</v>
      </c>
      <c r="D988" s="10">
        <f t="shared" si="1"/>
        <v>45382</v>
      </c>
      <c r="E988" s="10">
        <f t="shared" si="2"/>
        <v>45376</v>
      </c>
      <c r="F988" s="10">
        <f t="shared" si="3"/>
        <v>45352</v>
      </c>
      <c r="G988" s="11"/>
    </row>
    <row r="989">
      <c r="A989" s="5">
        <f>IFERROR(__xludf.DUMMYFUNCTION("""COMPUTED_VALUE"""),6084.0)</f>
        <v>6084</v>
      </c>
      <c r="B989" s="9">
        <f>IFERROR(__xludf.DUMMYFUNCTION("""COMPUTED_VALUE"""),45382.87165509259)</f>
        <v>45382.87166</v>
      </c>
      <c r="C989" s="5" t="str">
        <f>IFERROR(__xludf.DUMMYFUNCTION("""COMPUTED_VALUE"""),"purchase")</f>
        <v>purchase</v>
      </c>
      <c r="D989" s="10">
        <f t="shared" si="1"/>
        <v>45382</v>
      </c>
      <c r="E989" s="10">
        <f t="shared" si="2"/>
        <v>45376</v>
      </c>
      <c r="F989" s="10">
        <f t="shared" si="3"/>
        <v>45352</v>
      </c>
      <c r="G989" s="11"/>
    </row>
    <row r="990">
      <c r="A990" s="5">
        <f>IFERROR(__xludf.DUMMYFUNCTION("""COMPUTED_VALUE"""),6342.0)</f>
        <v>6342</v>
      </c>
      <c r="B990" s="9">
        <f>IFERROR(__xludf.DUMMYFUNCTION("""COMPUTED_VALUE"""),45382.88568287037)</f>
        <v>45382.88568</v>
      </c>
      <c r="C990" s="5" t="str">
        <f>IFERROR(__xludf.DUMMYFUNCTION("""COMPUTED_VALUE"""),"purchase")</f>
        <v>purchase</v>
      </c>
      <c r="D990" s="10">
        <f t="shared" si="1"/>
        <v>45382</v>
      </c>
      <c r="E990" s="10">
        <f t="shared" si="2"/>
        <v>45376</v>
      </c>
      <c r="F990" s="10">
        <f t="shared" si="3"/>
        <v>45352</v>
      </c>
      <c r="G990" s="11"/>
    </row>
    <row r="991">
      <c r="A991" s="5">
        <f>IFERROR(__xludf.DUMMYFUNCTION("""COMPUTED_VALUE"""),5563.0)</f>
        <v>5563</v>
      </c>
      <c r="B991" s="9">
        <f>IFERROR(__xludf.DUMMYFUNCTION("""COMPUTED_VALUE"""),45382.9015162037)</f>
        <v>45382.90152</v>
      </c>
      <c r="C991" s="5" t="str">
        <f>IFERROR(__xludf.DUMMYFUNCTION("""COMPUTED_VALUE"""),"purchase")</f>
        <v>purchase</v>
      </c>
      <c r="D991" s="10">
        <f t="shared" si="1"/>
        <v>45382</v>
      </c>
      <c r="E991" s="10">
        <f t="shared" si="2"/>
        <v>45376</v>
      </c>
      <c r="F991" s="10">
        <f t="shared" si="3"/>
        <v>45352</v>
      </c>
      <c r="G991" s="11"/>
    </row>
    <row r="992">
      <c r="A992" s="5">
        <f>IFERROR(__xludf.DUMMYFUNCTION("""COMPUTED_VALUE"""),4862.0)</f>
        <v>4862</v>
      </c>
      <c r="B992" s="9">
        <f>IFERROR(__xludf.DUMMYFUNCTION("""COMPUTED_VALUE"""),45382.97793981482)</f>
        <v>45382.97794</v>
      </c>
      <c r="C992" s="5" t="str">
        <f>IFERROR(__xludf.DUMMYFUNCTION("""COMPUTED_VALUE"""),"purchase")</f>
        <v>purchase</v>
      </c>
      <c r="D992" s="10">
        <f t="shared" si="1"/>
        <v>45382</v>
      </c>
      <c r="E992" s="10">
        <f t="shared" si="2"/>
        <v>45376</v>
      </c>
      <c r="F992" s="10">
        <f t="shared" si="3"/>
        <v>45352</v>
      </c>
      <c r="G992" s="11"/>
    </row>
    <row r="993">
      <c r="A993" s="5">
        <f>IFERROR(__xludf.DUMMYFUNCTION("""COMPUTED_VALUE"""),6907.0)</f>
        <v>6907</v>
      </c>
      <c r="B993" s="9">
        <f>IFERROR(__xludf.DUMMYFUNCTION("""COMPUTED_VALUE"""),45383.010613425926)</f>
        <v>45383.01061</v>
      </c>
      <c r="C993" s="5" t="str">
        <f>IFERROR(__xludf.DUMMYFUNCTION("""COMPUTED_VALUE"""),"purchase")</f>
        <v>purchase</v>
      </c>
      <c r="D993" s="10">
        <f t="shared" si="1"/>
        <v>45383</v>
      </c>
      <c r="E993" s="10">
        <f t="shared" si="2"/>
        <v>45383</v>
      </c>
      <c r="F993" s="10">
        <f t="shared" si="3"/>
        <v>45383</v>
      </c>
      <c r="G993" s="11"/>
    </row>
    <row r="994">
      <c r="A994" s="5">
        <f>IFERROR(__xludf.DUMMYFUNCTION("""COMPUTED_VALUE"""),20.0)</f>
        <v>20</v>
      </c>
      <c r="B994" s="9">
        <f>IFERROR(__xludf.DUMMYFUNCTION("""COMPUTED_VALUE"""),45383.053449074076)</f>
        <v>45383.05345</v>
      </c>
      <c r="C994" s="5" t="str">
        <f>IFERROR(__xludf.DUMMYFUNCTION("""COMPUTED_VALUE"""),"purchase")</f>
        <v>purchase</v>
      </c>
      <c r="D994" s="10">
        <f t="shared" si="1"/>
        <v>45383</v>
      </c>
      <c r="E994" s="10">
        <f t="shared" si="2"/>
        <v>45383</v>
      </c>
      <c r="F994" s="10">
        <f t="shared" si="3"/>
        <v>45383</v>
      </c>
      <c r="G994" s="11"/>
    </row>
    <row r="995">
      <c r="A995" s="5">
        <f>IFERROR(__xludf.DUMMYFUNCTION("""COMPUTED_VALUE"""),5687.0)</f>
        <v>5687</v>
      </c>
      <c r="B995" s="9">
        <f>IFERROR(__xludf.DUMMYFUNCTION("""COMPUTED_VALUE"""),45383.112337962964)</f>
        <v>45383.11234</v>
      </c>
      <c r="C995" s="5" t="str">
        <f>IFERROR(__xludf.DUMMYFUNCTION("""COMPUTED_VALUE"""),"purchase")</f>
        <v>purchase</v>
      </c>
      <c r="D995" s="10">
        <f t="shared" si="1"/>
        <v>45383</v>
      </c>
      <c r="E995" s="10">
        <f t="shared" si="2"/>
        <v>45383</v>
      </c>
      <c r="F995" s="10">
        <f t="shared" si="3"/>
        <v>45383</v>
      </c>
      <c r="G995" s="11"/>
    </row>
    <row r="996">
      <c r="A996" s="5">
        <f>IFERROR(__xludf.DUMMYFUNCTION("""COMPUTED_VALUE"""),3371.0)</f>
        <v>3371</v>
      </c>
      <c r="B996" s="9">
        <f>IFERROR(__xludf.DUMMYFUNCTION("""COMPUTED_VALUE"""),45383.11583333334)</f>
        <v>45383.11583</v>
      </c>
      <c r="C996" s="5" t="str">
        <f>IFERROR(__xludf.DUMMYFUNCTION("""COMPUTED_VALUE"""),"purchase")</f>
        <v>purchase</v>
      </c>
      <c r="D996" s="10">
        <f t="shared" si="1"/>
        <v>45383</v>
      </c>
      <c r="E996" s="10">
        <f t="shared" si="2"/>
        <v>45383</v>
      </c>
      <c r="F996" s="10">
        <f t="shared" si="3"/>
        <v>45383</v>
      </c>
      <c r="G996" s="11"/>
    </row>
    <row r="997">
      <c r="A997" s="5">
        <f>IFERROR(__xludf.DUMMYFUNCTION("""COMPUTED_VALUE"""),2771.0)</f>
        <v>2771</v>
      </c>
      <c r="B997" s="9">
        <f>IFERROR(__xludf.DUMMYFUNCTION("""COMPUTED_VALUE"""),45383.14871527778)</f>
        <v>45383.14872</v>
      </c>
      <c r="C997" s="5" t="str">
        <f>IFERROR(__xludf.DUMMYFUNCTION("""COMPUTED_VALUE"""),"purchase")</f>
        <v>purchase</v>
      </c>
      <c r="D997" s="10">
        <f t="shared" si="1"/>
        <v>45383</v>
      </c>
      <c r="E997" s="10">
        <f t="shared" si="2"/>
        <v>45383</v>
      </c>
      <c r="F997" s="10">
        <f t="shared" si="3"/>
        <v>45383</v>
      </c>
      <c r="G997" s="11"/>
    </row>
    <row r="998">
      <c r="A998" s="5">
        <f>IFERROR(__xludf.DUMMYFUNCTION("""COMPUTED_VALUE"""),7355.0)</f>
        <v>7355</v>
      </c>
      <c r="B998" s="9">
        <f>IFERROR(__xludf.DUMMYFUNCTION("""COMPUTED_VALUE"""),45383.18665509259)</f>
        <v>45383.18666</v>
      </c>
      <c r="C998" s="5" t="str">
        <f>IFERROR(__xludf.DUMMYFUNCTION("""COMPUTED_VALUE"""),"purchase")</f>
        <v>purchase</v>
      </c>
      <c r="D998" s="10">
        <f t="shared" si="1"/>
        <v>45383</v>
      </c>
      <c r="E998" s="10">
        <f t="shared" si="2"/>
        <v>45383</v>
      </c>
      <c r="F998" s="10">
        <f t="shared" si="3"/>
        <v>45383</v>
      </c>
      <c r="G998" s="11"/>
    </row>
    <row r="999">
      <c r="A999" s="5">
        <f>IFERROR(__xludf.DUMMYFUNCTION("""COMPUTED_VALUE"""),4984.0)</f>
        <v>4984</v>
      </c>
      <c r="B999" s="9">
        <f>IFERROR(__xludf.DUMMYFUNCTION("""COMPUTED_VALUE"""),45383.240439814814)</f>
        <v>45383.24044</v>
      </c>
      <c r="C999" s="5" t="str">
        <f>IFERROR(__xludf.DUMMYFUNCTION("""COMPUTED_VALUE"""),"purchase")</f>
        <v>purchase</v>
      </c>
      <c r="D999" s="10">
        <f t="shared" si="1"/>
        <v>45383</v>
      </c>
      <c r="E999" s="10">
        <f t="shared" si="2"/>
        <v>45383</v>
      </c>
      <c r="F999" s="10">
        <f t="shared" si="3"/>
        <v>45383</v>
      </c>
      <c r="G999" s="11"/>
    </row>
    <row r="1000">
      <c r="A1000" s="5">
        <f>IFERROR(__xludf.DUMMYFUNCTION("""COMPUTED_VALUE"""),1048.0)</f>
        <v>1048</v>
      </c>
      <c r="B1000" s="9">
        <f>IFERROR(__xludf.DUMMYFUNCTION("""COMPUTED_VALUE"""),45383.34149305556)</f>
        <v>45383.34149</v>
      </c>
      <c r="C1000" s="5" t="str">
        <f>IFERROR(__xludf.DUMMYFUNCTION("""COMPUTED_VALUE"""),"purchase")</f>
        <v>purchase</v>
      </c>
      <c r="D1000" s="10">
        <f t="shared" si="1"/>
        <v>45383</v>
      </c>
      <c r="E1000" s="10">
        <f t="shared" si="2"/>
        <v>45383</v>
      </c>
      <c r="F1000" s="10">
        <f t="shared" si="3"/>
        <v>45383</v>
      </c>
      <c r="G1000" s="11"/>
    </row>
    <row r="1001">
      <c r="A1001" s="5">
        <f>IFERROR(__xludf.DUMMYFUNCTION("""COMPUTED_VALUE"""),7727.0)</f>
        <v>7727</v>
      </c>
      <c r="B1001" s="9">
        <f>IFERROR(__xludf.DUMMYFUNCTION("""COMPUTED_VALUE"""),45383.35071759259)</f>
        <v>45383.35072</v>
      </c>
      <c r="C1001" s="5" t="str">
        <f>IFERROR(__xludf.DUMMYFUNCTION("""COMPUTED_VALUE"""),"purchase")</f>
        <v>purchase</v>
      </c>
      <c r="D1001" s="10">
        <f t="shared" si="1"/>
        <v>45383</v>
      </c>
      <c r="E1001" s="10">
        <f t="shared" si="2"/>
        <v>45383</v>
      </c>
      <c r="F1001" s="10">
        <f t="shared" si="3"/>
        <v>45383</v>
      </c>
      <c r="G1001" s="11"/>
    </row>
    <row r="1002">
      <c r="A1002" s="5">
        <f>IFERROR(__xludf.DUMMYFUNCTION("""COMPUTED_VALUE"""),1633.0)</f>
        <v>1633</v>
      </c>
      <c r="B1002" s="9">
        <f>IFERROR(__xludf.DUMMYFUNCTION("""COMPUTED_VALUE"""),45383.60494212963)</f>
        <v>45383.60494</v>
      </c>
      <c r="C1002" s="5" t="str">
        <f>IFERROR(__xludf.DUMMYFUNCTION("""COMPUTED_VALUE"""),"purchase")</f>
        <v>purchase</v>
      </c>
      <c r="D1002" s="10">
        <f t="shared" si="1"/>
        <v>45383</v>
      </c>
      <c r="E1002" s="10">
        <f t="shared" si="2"/>
        <v>45383</v>
      </c>
      <c r="F1002" s="10">
        <f t="shared" si="3"/>
        <v>45383</v>
      </c>
      <c r="G1002" s="11"/>
    </row>
    <row r="1003">
      <c r="A1003" s="5">
        <f>IFERROR(__xludf.DUMMYFUNCTION("""COMPUTED_VALUE"""),2113.0)</f>
        <v>2113</v>
      </c>
      <c r="B1003" s="9">
        <f>IFERROR(__xludf.DUMMYFUNCTION("""COMPUTED_VALUE"""),45383.760300925926)</f>
        <v>45383.7603</v>
      </c>
      <c r="C1003" s="5" t="str">
        <f>IFERROR(__xludf.DUMMYFUNCTION("""COMPUTED_VALUE"""),"purchase")</f>
        <v>purchase</v>
      </c>
      <c r="D1003" s="10">
        <f t="shared" si="1"/>
        <v>45383</v>
      </c>
      <c r="E1003" s="10">
        <f t="shared" si="2"/>
        <v>45383</v>
      </c>
      <c r="F1003" s="10">
        <f t="shared" si="3"/>
        <v>45383</v>
      </c>
      <c r="G1003" s="11"/>
    </row>
    <row r="1004">
      <c r="A1004" s="5">
        <f>IFERROR(__xludf.DUMMYFUNCTION("""COMPUTED_VALUE"""),5518.0)</f>
        <v>5518</v>
      </c>
      <c r="B1004" s="9">
        <f>IFERROR(__xludf.DUMMYFUNCTION("""COMPUTED_VALUE"""),45383.83542824074)</f>
        <v>45383.83543</v>
      </c>
      <c r="C1004" s="5" t="str">
        <f>IFERROR(__xludf.DUMMYFUNCTION("""COMPUTED_VALUE"""),"purchase")</f>
        <v>purchase</v>
      </c>
      <c r="D1004" s="10">
        <f t="shared" si="1"/>
        <v>45383</v>
      </c>
      <c r="E1004" s="10">
        <f t="shared" si="2"/>
        <v>45383</v>
      </c>
      <c r="F1004" s="10">
        <f t="shared" si="3"/>
        <v>45383</v>
      </c>
      <c r="G1004" s="11"/>
    </row>
    <row r="1005">
      <c r="A1005" s="5">
        <f>IFERROR(__xludf.DUMMYFUNCTION("""COMPUTED_VALUE"""),4926.0)</f>
        <v>4926</v>
      </c>
      <c r="B1005" s="9">
        <f>IFERROR(__xludf.DUMMYFUNCTION("""COMPUTED_VALUE"""),45383.9344212963)</f>
        <v>45383.93442</v>
      </c>
      <c r="C1005" s="5" t="str">
        <f>IFERROR(__xludf.DUMMYFUNCTION("""COMPUTED_VALUE"""),"purchase")</f>
        <v>purchase</v>
      </c>
      <c r="D1005" s="10">
        <f t="shared" si="1"/>
        <v>45383</v>
      </c>
      <c r="E1005" s="10">
        <f t="shared" si="2"/>
        <v>45383</v>
      </c>
      <c r="F1005" s="10">
        <f t="shared" si="3"/>
        <v>45383</v>
      </c>
      <c r="G1005" s="11"/>
    </row>
    <row r="1006">
      <c r="A1006" s="5">
        <f>IFERROR(__xludf.DUMMYFUNCTION("""COMPUTED_VALUE"""),266.0)</f>
        <v>266</v>
      </c>
      <c r="B1006" s="9">
        <f>IFERROR(__xludf.DUMMYFUNCTION("""COMPUTED_VALUE"""),45384.02337962963)</f>
        <v>45384.02338</v>
      </c>
      <c r="C1006" s="5" t="str">
        <f>IFERROR(__xludf.DUMMYFUNCTION("""COMPUTED_VALUE"""),"purchase")</f>
        <v>purchase</v>
      </c>
      <c r="D1006" s="10">
        <f t="shared" si="1"/>
        <v>45384</v>
      </c>
      <c r="E1006" s="10">
        <f t="shared" si="2"/>
        <v>45383</v>
      </c>
      <c r="F1006" s="10">
        <f t="shared" si="3"/>
        <v>45383</v>
      </c>
      <c r="G1006" s="11"/>
    </row>
    <row r="1007">
      <c r="A1007" s="5">
        <f>IFERROR(__xludf.DUMMYFUNCTION("""COMPUTED_VALUE"""),7880.0)</f>
        <v>7880</v>
      </c>
      <c r="B1007" s="9">
        <f>IFERROR(__xludf.DUMMYFUNCTION("""COMPUTED_VALUE"""),45384.04011574074)</f>
        <v>45384.04012</v>
      </c>
      <c r="C1007" s="5" t="str">
        <f>IFERROR(__xludf.DUMMYFUNCTION("""COMPUTED_VALUE"""),"purchase")</f>
        <v>purchase</v>
      </c>
      <c r="D1007" s="10">
        <f t="shared" si="1"/>
        <v>45384</v>
      </c>
      <c r="E1007" s="10">
        <f t="shared" si="2"/>
        <v>45383</v>
      </c>
      <c r="F1007" s="10">
        <f t="shared" si="3"/>
        <v>45383</v>
      </c>
      <c r="G1007" s="11"/>
    </row>
    <row r="1008">
      <c r="A1008" s="5">
        <f>IFERROR(__xludf.DUMMYFUNCTION("""COMPUTED_VALUE"""),439.0)</f>
        <v>439</v>
      </c>
      <c r="B1008" s="9">
        <f>IFERROR(__xludf.DUMMYFUNCTION("""COMPUTED_VALUE"""),45384.04164351852)</f>
        <v>45384.04164</v>
      </c>
      <c r="C1008" s="5" t="str">
        <f>IFERROR(__xludf.DUMMYFUNCTION("""COMPUTED_VALUE"""),"purchase")</f>
        <v>purchase</v>
      </c>
      <c r="D1008" s="10">
        <f t="shared" si="1"/>
        <v>45384</v>
      </c>
      <c r="E1008" s="10">
        <f t="shared" si="2"/>
        <v>45383</v>
      </c>
      <c r="F1008" s="10">
        <f t="shared" si="3"/>
        <v>45383</v>
      </c>
      <c r="G1008" s="11"/>
    </row>
    <row r="1009">
      <c r="A1009" s="5">
        <f>IFERROR(__xludf.DUMMYFUNCTION("""COMPUTED_VALUE"""),3667.0)</f>
        <v>3667</v>
      </c>
      <c r="B1009" s="9">
        <f>IFERROR(__xludf.DUMMYFUNCTION("""COMPUTED_VALUE"""),45384.30494212963)</f>
        <v>45384.30494</v>
      </c>
      <c r="C1009" s="5" t="str">
        <f>IFERROR(__xludf.DUMMYFUNCTION("""COMPUTED_VALUE"""),"purchase")</f>
        <v>purchase</v>
      </c>
      <c r="D1009" s="10">
        <f t="shared" si="1"/>
        <v>45384</v>
      </c>
      <c r="E1009" s="10">
        <f t="shared" si="2"/>
        <v>45383</v>
      </c>
      <c r="F1009" s="10">
        <f t="shared" si="3"/>
        <v>45383</v>
      </c>
      <c r="G1009" s="11"/>
    </row>
    <row r="1010">
      <c r="A1010" s="5">
        <f>IFERROR(__xludf.DUMMYFUNCTION("""COMPUTED_VALUE"""),3034.0)</f>
        <v>3034</v>
      </c>
      <c r="B1010" s="9">
        <f>IFERROR(__xludf.DUMMYFUNCTION("""COMPUTED_VALUE"""),45384.30516203704)</f>
        <v>45384.30516</v>
      </c>
      <c r="C1010" s="5" t="str">
        <f>IFERROR(__xludf.DUMMYFUNCTION("""COMPUTED_VALUE"""),"purchase")</f>
        <v>purchase</v>
      </c>
      <c r="D1010" s="10">
        <f t="shared" si="1"/>
        <v>45384</v>
      </c>
      <c r="E1010" s="10">
        <f t="shared" si="2"/>
        <v>45383</v>
      </c>
      <c r="F1010" s="10">
        <f t="shared" si="3"/>
        <v>45383</v>
      </c>
      <c r="G1010" s="11"/>
    </row>
    <row r="1011">
      <c r="A1011" s="5">
        <f>IFERROR(__xludf.DUMMYFUNCTION("""COMPUTED_VALUE"""),1324.0)</f>
        <v>1324</v>
      </c>
      <c r="B1011" s="9">
        <f>IFERROR(__xludf.DUMMYFUNCTION("""COMPUTED_VALUE"""),45384.406851851854)</f>
        <v>45384.40685</v>
      </c>
      <c r="C1011" s="5" t="str">
        <f>IFERROR(__xludf.DUMMYFUNCTION("""COMPUTED_VALUE"""),"purchase")</f>
        <v>purchase</v>
      </c>
      <c r="D1011" s="10">
        <f t="shared" si="1"/>
        <v>45384</v>
      </c>
      <c r="E1011" s="10">
        <f t="shared" si="2"/>
        <v>45383</v>
      </c>
      <c r="F1011" s="10">
        <f t="shared" si="3"/>
        <v>45383</v>
      </c>
      <c r="G1011" s="11"/>
    </row>
    <row r="1012">
      <c r="A1012" s="5">
        <f>IFERROR(__xludf.DUMMYFUNCTION("""COMPUTED_VALUE"""),6435.0)</f>
        <v>6435</v>
      </c>
      <c r="B1012" s="9">
        <f>IFERROR(__xludf.DUMMYFUNCTION("""COMPUTED_VALUE"""),45384.69844907407)</f>
        <v>45384.69845</v>
      </c>
      <c r="C1012" s="5" t="str">
        <f>IFERROR(__xludf.DUMMYFUNCTION("""COMPUTED_VALUE"""),"purchase")</f>
        <v>purchase</v>
      </c>
      <c r="D1012" s="10">
        <f t="shared" si="1"/>
        <v>45384</v>
      </c>
      <c r="E1012" s="10">
        <f t="shared" si="2"/>
        <v>45383</v>
      </c>
      <c r="F1012" s="10">
        <f t="shared" si="3"/>
        <v>45383</v>
      </c>
      <c r="G1012" s="11"/>
    </row>
    <row r="1013">
      <c r="A1013" s="5">
        <f>IFERROR(__xludf.DUMMYFUNCTION("""COMPUTED_VALUE"""),6826.0)</f>
        <v>6826</v>
      </c>
      <c r="B1013" s="9">
        <f>IFERROR(__xludf.DUMMYFUNCTION("""COMPUTED_VALUE"""),45385.08259259259)</f>
        <v>45385.08259</v>
      </c>
      <c r="C1013" s="5" t="str">
        <f>IFERROR(__xludf.DUMMYFUNCTION("""COMPUTED_VALUE"""),"purchase")</f>
        <v>purchase</v>
      </c>
      <c r="D1013" s="10">
        <f t="shared" si="1"/>
        <v>45385</v>
      </c>
      <c r="E1013" s="10">
        <f t="shared" si="2"/>
        <v>45383</v>
      </c>
      <c r="F1013" s="10">
        <f t="shared" si="3"/>
        <v>45383</v>
      </c>
      <c r="G1013" s="11"/>
    </row>
    <row r="1014">
      <c r="A1014" s="5">
        <f>IFERROR(__xludf.DUMMYFUNCTION("""COMPUTED_VALUE"""),1727.0)</f>
        <v>1727</v>
      </c>
      <c r="B1014" s="9">
        <f>IFERROR(__xludf.DUMMYFUNCTION("""COMPUTED_VALUE"""),45385.11185185185)</f>
        <v>45385.11185</v>
      </c>
      <c r="C1014" s="5" t="str">
        <f>IFERROR(__xludf.DUMMYFUNCTION("""COMPUTED_VALUE"""),"purchase")</f>
        <v>purchase</v>
      </c>
      <c r="D1014" s="10">
        <f t="shared" si="1"/>
        <v>45385</v>
      </c>
      <c r="E1014" s="10">
        <f t="shared" si="2"/>
        <v>45383</v>
      </c>
      <c r="F1014" s="10">
        <f t="shared" si="3"/>
        <v>45383</v>
      </c>
      <c r="G1014" s="11"/>
    </row>
    <row r="1015">
      <c r="A1015" s="5">
        <f>IFERROR(__xludf.DUMMYFUNCTION("""COMPUTED_VALUE"""),1480.0)</f>
        <v>1480</v>
      </c>
      <c r="B1015" s="9">
        <f>IFERROR(__xludf.DUMMYFUNCTION("""COMPUTED_VALUE"""),45385.11863425926)</f>
        <v>45385.11863</v>
      </c>
      <c r="C1015" s="5" t="str">
        <f>IFERROR(__xludf.DUMMYFUNCTION("""COMPUTED_VALUE"""),"purchase")</f>
        <v>purchase</v>
      </c>
      <c r="D1015" s="10">
        <f t="shared" si="1"/>
        <v>45385</v>
      </c>
      <c r="E1015" s="10">
        <f t="shared" si="2"/>
        <v>45383</v>
      </c>
      <c r="F1015" s="10">
        <f t="shared" si="3"/>
        <v>45383</v>
      </c>
      <c r="G1015" s="11"/>
    </row>
    <row r="1016">
      <c r="A1016" s="5">
        <f>IFERROR(__xludf.DUMMYFUNCTION("""COMPUTED_VALUE"""),484.0)</f>
        <v>484</v>
      </c>
      <c r="B1016" s="9">
        <f>IFERROR(__xludf.DUMMYFUNCTION("""COMPUTED_VALUE"""),45385.34868055556)</f>
        <v>45385.34868</v>
      </c>
      <c r="C1016" s="5" t="str">
        <f>IFERROR(__xludf.DUMMYFUNCTION("""COMPUTED_VALUE"""),"purchase")</f>
        <v>purchase</v>
      </c>
      <c r="D1016" s="10">
        <f t="shared" si="1"/>
        <v>45385</v>
      </c>
      <c r="E1016" s="10">
        <f t="shared" si="2"/>
        <v>45383</v>
      </c>
      <c r="F1016" s="10">
        <f t="shared" si="3"/>
        <v>45383</v>
      </c>
      <c r="G1016" s="11"/>
    </row>
    <row r="1017">
      <c r="A1017" s="5">
        <f>IFERROR(__xludf.DUMMYFUNCTION("""COMPUTED_VALUE"""),350.0)</f>
        <v>350</v>
      </c>
      <c r="B1017" s="9">
        <f>IFERROR(__xludf.DUMMYFUNCTION("""COMPUTED_VALUE"""),45385.578252314815)</f>
        <v>45385.57825</v>
      </c>
      <c r="C1017" s="5" t="str">
        <f>IFERROR(__xludf.DUMMYFUNCTION("""COMPUTED_VALUE"""),"purchase")</f>
        <v>purchase</v>
      </c>
      <c r="D1017" s="10">
        <f t="shared" si="1"/>
        <v>45385</v>
      </c>
      <c r="E1017" s="10">
        <f t="shared" si="2"/>
        <v>45383</v>
      </c>
      <c r="F1017" s="10">
        <f t="shared" si="3"/>
        <v>45383</v>
      </c>
      <c r="G1017" s="11"/>
    </row>
    <row r="1018">
      <c r="A1018" s="5">
        <f>IFERROR(__xludf.DUMMYFUNCTION("""COMPUTED_VALUE"""),2930.0)</f>
        <v>2930</v>
      </c>
      <c r="B1018" s="9">
        <f>IFERROR(__xludf.DUMMYFUNCTION("""COMPUTED_VALUE"""),45385.757256944446)</f>
        <v>45385.75726</v>
      </c>
      <c r="C1018" s="5" t="str">
        <f>IFERROR(__xludf.DUMMYFUNCTION("""COMPUTED_VALUE"""),"purchase")</f>
        <v>purchase</v>
      </c>
      <c r="D1018" s="10">
        <f t="shared" si="1"/>
        <v>45385</v>
      </c>
      <c r="E1018" s="10">
        <f t="shared" si="2"/>
        <v>45383</v>
      </c>
      <c r="F1018" s="10">
        <f t="shared" si="3"/>
        <v>45383</v>
      </c>
      <c r="G1018" s="11"/>
    </row>
    <row r="1019">
      <c r="A1019" s="5">
        <f>IFERROR(__xludf.DUMMYFUNCTION("""COMPUTED_VALUE"""),2230.0)</f>
        <v>2230</v>
      </c>
      <c r="B1019" s="9">
        <f>IFERROR(__xludf.DUMMYFUNCTION("""COMPUTED_VALUE"""),45385.76875)</f>
        <v>45385.76875</v>
      </c>
      <c r="C1019" s="5" t="str">
        <f>IFERROR(__xludf.DUMMYFUNCTION("""COMPUTED_VALUE"""),"purchase")</f>
        <v>purchase</v>
      </c>
      <c r="D1019" s="10">
        <f t="shared" si="1"/>
        <v>45385</v>
      </c>
      <c r="E1019" s="10">
        <f t="shared" si="2"/>
        <v>45383</v>
      </c>
      <c r="F1019" s="10">
        <f t="shared" si="3"/>
        <v>45383</v>
      </c>
      <c r="G1019" s="11"/>
    </row>
    <row r="1020">
      <c r="A1020" s="5">
        <f>IFERROR(__xludf.DUMMYFUNCTION("""COMPUTED_VALUE"""),5945.0)</f>
        <v>5945</v>
      </c>
      <c r="B1020" s="9">
        <f>IFERROR(__xludf.DUMMYFUNCTION("""COMPUTED_VALUE"""),45385.780625)</f>
        <v>45385.78063</v>
      </c>
      <c r="C1020" s="5" t="str">
        <f>IFERROR(__xludf.DUMMYFUNCTION("""COMPUTED_VALUE"""),"purchase")</f>
        <v>purchase</v>
      </c>
      <c r="D1020" s="10">
        <f t="shared" si="1"/>
        <v>45385</v>
      </c>
      <c r="E1020" s="10">
        <f t="shared" si="2"/>
        <v>45383</v>
      </c>
      <c r="F1020" s="10">
        <f t="shared" si="3"/>
        <v>45383</v>
      </c>
      <c r="G1020" s="11"/>
    </row>
    <row r="1021">
      <c r="A1021" s="5">
        <f>IFERROR(__xludf.DUMMYFUNCTION("""COMPUTED_VALUE"""),4223.0)</f>
        <v>4223</v>
      </c>
      <c r="B1021" s="9">
        <f>IFERROR(__xludf.DUMMYFUNCTION("""COMPUTED_VALUE"""),45385.88894675926)</f>
        <v>45385.88895</v>
      </c>
      <c r="C1021" s="5" t="str">
        <f>IFERROR(__xludf.DUMMYFUNCTION("""COMPUTED_VALUE"""),"purchase")</f>
        <v>purchase</v>
      </c>
      <c r="D1021" s="10">
        <f t="shared" si="1"/>
        <v>45385</v>
      </c>
      <c r="E1021" s="10">
        <f t="shared" si="2"/>
        <v>45383</v>
      </c>
      <c r="F1021" s="10">
        <f t="shared" si="3"/>
        <v>45383</v>
      </c>
      <c r="G1021" s="11"/>
    </row>
    <row r="1022">
      <c r="A1022" s="5">
        <f>IFERROR(__xludf.DUMMYFUNCTION("""COMPUTED_VALUE"""),2580.0)</f>
        <v>2580</v>
      </c>
      <c r="B1022" s="9">
        <f>IFERROR(__xludf.DUMMYFUNCTION("""COMPUTED_VALUE"""),45385.94988425926)</f>
        <v>45385.94988</v>
      </c>
      <c r="C1022" s="5" t="str">
        <f>IFERROR(__xludf.DUMMYFUNCTION("""COMPUTED_VALUE"""),"purchase")</f>
        <v>purchase</v>
      </c>
      <c r="D1022" s="10">
        <f t="shared" si="1"/>
        <v>45385</v>
      </c>
      <c r="E1022" s="10">
        <f t="shared" si="2"/>
        <v>45383</v>
      </c>
      <c r="F1022" s="10">
        <f t="shared" si="3"/>
        <v>45383</v>
      </c>
      <c r="G1022" s="11"/>
    </row>
    <row r="1023">
      <c r="A1023" s="5">
        <f>IFERROR(__xludf.DUMMYFUNCTION("""COMPUTED_VALUE"""),3708.0)</f>
        <v>3708</v>
      </c>
      <c r="B1023" s="9">
        <f>IFERROR(__xludf.DUMMYFUNCTION("""COMPUTED_VALUE"""),45386.015381944446)</f>
        <v>45386.01538</v>
      </c>
      <c r="C1023" s="5" t="str">
        <f>IFERROR(__xludf.DUMMYFUNCTION("""COMPUTED_VALUE"""),"purchase")</f>
        <v>purchase</v>
      </c>
      <c r="D1023" s="10">
        <f t="shared" si="1"/>
        <v>45386</v>
      </c>
      <c r="E1023" s="10">
        <f t="shared" si="2"/>
        <v>45383</v>
      </c>
      <c r="F1023" s="10">
        <f t="shared" si="3"/>
        <v>45383</v>
      </c>
      <c r="G1023" s="11"/>
    </row>
    <row r="1024">
      <c r="A1024" s="5">
        <f>IFERROR(__xludf.DUMMYFUNCTION("""COMPUTED_VALUE"""),6576.0)</f>
        <v>6576</v>
      </c>
      <c r="B1024" s="9">
        <f>IFERROR(__xludf.DUMMYFUNCTION("""COMPUTED_VALUE"""),45386.09818287037)</f>
        <v>45386.09818</v>
      </c>
      <c r="C1024" s="5" t="str">
        <f>IFERROR(__xludf.DUMMYFUNCTION("""COMPUTED_VALUE"""),"purchase")</f>
        <v>purchase</v>
      </c>
      <c r="D1024" s="10">
        <f t="shared" si="1"/>
        <v>45386</v>
      </c>
      <c r="E1024" s="10">
        <f t="shared" si="2"/>
        <v>45383</v>
      </c>
      <c r="F1024" s="10">
        <f t="shared" si="3"/>
        <v>45383</v>
      </c>
      <c r="G1024" s="11"/>
    </row>
    <row r="1025">
      <c r="A1025" s="5">
        <f>IFERROR(__xludf.DUMMYFUNCTION("""COMPUTED_VALUE"""),3919.0)</f>
        <v>3919</v>
      </c>
      <c r="B1025" s="9">
        <f>IFERROR(__xludf.DUMMYFUNCTION("""COMPUTED_VALUE"""),45386.327569444446)</f>
        <v>45386.32757</v>
      </c>
      <c r="C1025" s="5" t="str">
        <f>IFERROR(__xludf.DUMMYFUNCTION("""COMPUTED_VALUE"""),"purchase")</f>
        <v>purchase</v>
      </c>
      <c r="D1025" s="10">
        <f t="shared" si="1"/>
        <v>45386</v>
      </c>
      <c r="E1025" s="10">
        <f t="shared" si="2"/>
        <v>45383</v>
      </c>
      <c r="F1025" s="10">
        <f t="shared" si="3"/>
        <v>45383</v>
      </c>
      <c r="G1025" s="11"/>
    </row>
    <row r="1026">
      <c r="A1026" s="5">
        <f>IFERROR(__xludf.DUMMYFUNCTION("""COMPUTED_VALUE"""),4558.0)</f>
        <v>4558</v>
      </c>
      <c r="B1026" s="9">
        <f>IFERROR(__xludf.DUMMYFUNCTION("""COMPUTED_VALUE"""),45386.351793981485)</f>
        <v>45386.35179</v>
      </c>
      <c r="C1026" s="5" t="str">
        <f>IFERROR(__xludf.DUMMYFUNCTION("""COMPUTED_VALUE"""),"purchase")</f>
        <v>purchase</v>
      </c>
      <c r="D1026" s="10">
        <f t="shared" si="1"/>
        <v>45386</v>
      </c>
      <c r="E1026" s="10">
        <f t="shared" si="2"/>
        <v>45383</v>
      </c>
      <c r="F1026" s="10">
        <f t="shared" si="3"/>
        <v>45383</v>
      </c>
      <c r="G1026" s="11"/>
    </row>
    <row r="1027">
      <c r="A1027" s="5">
        <f>IFERROR(__xludf.DUMMYFUNCTION("""COMPUTED_VALUE"""),6147.0)</f>
        <v>6147</v>
      </c>
      <c r="B1027" s="9">
        <f>IFERROR(__xludf.DUMMYFUNCTION("""COMPUTED_VALUE"""),45386.45685185185)</f>
        <v>45386.45685</v>
      </c>
      <c r="C1027" s="5" t="str">
        <f>IFERROR(__xludf.DUMMYFUNCTION("""COMPUTED_VALUE"""),"purchase")</f>
        <v>purchase</v>
      </c>
      <c r="D1027" s="10">
        <f t="shared" si="1"/>
        <v>45386</v>
      </c>
      <c r="E1027" s="10">
        <f t="shared" si="2"/>
        <v>45383</v>
      </c>
      <c r="F1027" s="10">
        <f t="shared" si="3"/>
        <v>45383</v>
      </c>
      <c r="G1027" s="11"/>
    </row>
    <row r="1028">
      <c r="A1028" s="5">
        <f>IFERROR(__xludf.DUMMYFUNCTION("""COMPUTED_VALUE"""),66.0)</f>
        <v>66</v>
      </c>
      <c r="B1028" s="9">
        <f>IFERROR(__xludf.DUMMYFUNCTION("""COMPUTED_VALUE"""),45386.56983796296)</f>
        <v>45386.56984</v>
      </c>
      <c r="C1028" s="5" t="str">
        <f>IFERROR(__xludf.DUMMYFUNCTION("""COMPUTED_VALUE"""),"purchase")</f>
        <v>purchase</v>
      </c>
      <c r="D1028" s="10">
        <f t="shared" si="1"/>
        <v>45386</v>
      </c>
      <c r="E1028" s="10">
        <f t="shared" si="2"/>
        <v>45383</v>
      </c>
      <c r="F1028" s="10">
        <f t="shared" si="3"/>
        <v>45383</v>
      </c>
      <c r="G1028" s="11"/>
    </row>
    <row r="1029">
      <c r="A1029" s="5">
        <f>IFERROR(__xludf.DUMMYFUNCTION("""COMPUTED_VALUE"""),1703.0)</f>
        <v>1703</v>
      </c>
      <c r="B1029" s="9">
        <f>IFERROR(__xludf.DUMMYFUNCTION("""COMPUTED_VALUE"""),45386.59142361111)</f>
        <v>45386.59142</v>
      </c>
      <c r="C1029" s="5" t="str">
        <f>IFERROR(__xludf.DUMMYFUNCTION("""COMPUTED_VALUE"""),"purchase")</f>
        <v>purchase</v>
      </c>
      <c r="D1029" s="10">
        <f t="shared" si="1"/>
        <v>45386</v>
      </c>
      <c r="E1029" s="10">
        <f t="shared" si="2"/>
        <v>45383</v>
      </c>
      <c r="F1029" s="10">
        <f t="shared" si="3"/>
        <v>45383</v>
      </c>
      <c r="G1029" s="11"/>
    </row>
    <row r="1030">
      <c r="A1030" s="5">
        <f>IFERROR(__xludf.DUMMYFUNCTION("""COMPUTED_VALUE"""),4887.0)</f>
        <v>4887</v>
      </c>
      <c r="B1030" s="9">
        <f>IFERROR(__xludf.DUMMYFUNCTION("""COMPUTED_VALUE"""),45386.59568287037)</f>
        <v>45386.59568</v>
      </c>
      <c r="C1030" s="5" t="str">
        <f>IFERROR(__xludf.DUMMYFUNCTION("""COMPUTED_VALUE"""),"purchase")</f>
        <v>purchase</v>
      </c>
      <c r="D1030" s="10">
        <f t="shared" si="1"/>
        <v>45386</v>
      </c>
      <c r="E1030" s="10">
        <f t="shared" si="2"/>
        <v>45383</v>
      </c>
      <c r="F1030" s="10">
        <f t="shared" si="3"/>
        <v>45383</v>
      </c>
      <c r="G1030" s="11"/>
    </row>
    <row r="1031">
      <c r="A1031" s="5">
        <f>IFERROR(__xludf.DUMMYFUNCTION("""COMPUTED_VALUE"""),6559.0)</f>
        <v>6559</v>
      </c>
      <c r="B1031" s="9">
        <f>IFERROR(__xludf.DUMMYFUNCTION("""COMPUTED_VALUE"""),45386.639328703706)</f>
        <v>45386.63933</v>
      </c>
      <c r="C1031" s="5" t="str">
        <f>IFERROR(__xludf.DUMMYFUNCTION("""COMPUTED_VALUE"""),"purchase")</f>
        <v>purchase</v>
      </c>
      <c r="D1031" s="10">
        <f t="shared" si="1"/>
        <v>45386</v>
      </c>
      <c r="E1031" s="10">
        <f t="shared" si="2"/>
        <v>45383</v>
      </c>
      <c r="F1031" s="10">
        <f t="shared" si="3"/>
        <v>45383</v>
      </c>
      <c r="G1031" s="11"/>
    </row>
    <row r="1032">
      <c r="A1032" s="5">
        <f>IFERROR(__xludf.DUMMYFUNCTION("""COMPUTED_VALUE"""),2543.0)</f>
        <v>2543</v>
      </c>
      <c r="B1032" s="9">
        <f>IFERROR(__xludf.DUMMYFUNCTION("""COMPUTED_VALUE"""),45386.764189814814)</f>
        <v>45386.76419</v>
      </c>
      <c r="C1032" s="5" t="str">
        <f>IFERROR(__xludf.DUMMYFUNCTION("""COMPUTED_VALUE"""),"purchase")</f>
        <v>purchase</v>
      </c>
      <c r="D1032" s="10">
        <f t="shared" si="1"/>
        <v>45386</v>
      </c>
      <c r="E1032" s="10">
        <f t="shared" si="2"/>
        <v>45383</v>
      </c>
      <c r="F1032" s="10">
        <f t="shared" si="3"/>
        <v>45383</v>
      </c>
      <c r="G1032" s="11"/>
    </row>
    <row r="1033">
      <c r="A1033" s="5">
        <f>IFERROR(__xludf.DUMMYFUNCTION("""COMPUTED_VALUE"""),2403.0)</f>
        <v>2403</v>
      </c>
      <c r="B1033" s="9">
        <f>IFERROR(__xludf.DUMMYFUNCTION("""COMPUTED_VALUE"""),45386.845497685186)</f>
        <v>45386.8455</v>
      </c>
      <c r="C1033" s="5" t="str">
        <f>IFERROR(__xludf.DUMMYFUNCTION("""COMPUTED_VALUE"""),"purchase")</f>
        <v>purchase</v>
      </c>
      <c r="D1033" s="10">
        <f t="shared" si="1"/>
        <v>45386</v>
      </c>
      <c r="E1033" s="10">
        <f t="shared" si="2"/>
        <v>45383</v>
      </c>
      <c r="F1033" s="10">
        <f t="shared" si="3"/>
        <v>45383</v>
      </c>
      <c r="G1033" s="11"/>
    </row>
    <row r="1034">
      <c r="A1034" s="5">
        <f>IFERROR(__xludf.DUMMYFUNCTION("""COMPUTED_VALUE"""),6399.0)</f>
        <v>6399</v>
      </c>
      <c r="B1034" s="9">
        <f>IFERROR(__xludf.DUMMYFUNCTION("""COMPUTED_VALUE"""),45386.85636574074)</f>
        <v>45386.85637</v>
      </c>
      <c r="C1034" s="5" t="str">
        <f>IFERROR(__xludf.DUMMYFUNCTION("""COMPUTED_VALUE"""),"purchase")</f>
        <v>purchase</v>
      </c>
      <c r="D1034" s="10">
        <f t="shared" si="1"/>
        <v>45386</v>
      </c>
      <c r="E1034" s="10">
        <f t="shared" si="2"/>
        <v>45383</v>
      </c>
      <c r="F1034" s="10">
        <f t="shared" si="3"/>
        <v>45383</v>
      </c>
      <c r="G1034" s="11"/>
    </row>
    <row r="1035">
      <c r="A1035" s="5">
        <f>IFERROR(__xludf.DUMMYFUNCTION("""COMPUTED_VALUE"""),5205.0)</f>
        <v>5205</v>
      </c>
      <c r="B1035" s="9">
        <f>IFERROR(__xludf.DUMMYFUNCTION("""COMPUTED_VALUE"""),45386.87532407408)</f>
        <v>45386.87532</v>
      </c>
      <c r="C1035" s="5" t="str">
        <f>IFERROR(__xludf.DUMMYFUNCTION("""COMPUTED_VALUE"""),"purchase")</f>
        <v>purchase</v>
      </c>
      <c r="D1035" s="10">
        <f t="shared" si="1"/>
        <v>45386</v>
      </c>
      <c r="E1035" s="10">
        <f t="shared" si="2"/>
        <v>45383</v>
      </c>
      <c r="F1035" s="10">
        <f t="shared" si="3"/>
        <v>45383</v>
      </c>
      <c r="G1035" s="11"/>
    </row>
    <row r="1036">
      <c r="A1036" s="5">
        <f>IFERROR(__xludf.DUMMYFUNCTION("""COMPUTED_VALUE"""),7424.0)</f>
        <v>7424</v>
      </c>
      <c r="B1036" s="9">
        <f>IFERROR(__xludf.DUMMYFUNCTION("""COMPUTED_VALUE"""),45386.95755787037)</f>
        <v>45386.95756</v>
      </c>
      <c r="C1036" s="5" t="str">
        <f>IFERROR(__xludf.DUMMYFUNCTION("""COMPUTED_VALUE"""),"purchase")</f>
        <v>purchase</v>
      </c>
      <c r="D1036" s="10">
        <f t="shared" si="1"/>
        <v>45386</v>
      </c>
      <c r="E1036" s="10">
        <f t="shared" si="2"/>
        <v>45383</v>
      </c>
      <c r="F1036" s="10">
        <f t="shared" si="3"/>
        <v>45383</v>
      </c>
      <c r="G1036" s="11"/>
    </row>
    <row r="1037">
      <c r="A1037" s="5">
        <f>IFERROR(__xludf.DUMMYFUNCTION("""COMPUTED_VALUE"""),7931.0)</f>
        <v>7931</v>
      </c>
      <c r="B1037" s="9">
        <f>IFERROR(__xludf.DUMMYFUNCTION("""COMPUTED_VALUE"""),45387.11398148148)</f>
        <v>45387.11398</v>
      </c>
      <c r="C1037" s="5" t="str">
        <f>IFERROR(__xludf.DUMMYFUNCTION("""COMPUTED_VALUE"""),"purchase")</f>
        <v>purchase</v>
      </c>
      <c r="D1037" s="10">
        <f t="shared" si="1"/>
        <v>45387</v>
      </c>
      <c r="E1037" s="10">
        <f t="shared" si="2"/>
        <v>45383</v>
      </c>
      <c r="F1037" s="10">
        <f t="shared" si="3"/>
        <v>45383</v>
      </c>
      <c r="G1037" s="11"/>
    </row>
    <row r="1038">
      <c r="A1038" s="5">
        <f>IFERROR(__xludf.DUMMYFUNCTION("""COMPUTED_VALUE"""),6828.0)</f>
        <v>6828</v>
      </c>
      <c r="B1038" s="9">
        <f>IFERROR(__xludf.DUMMYFUNCTION("""COMPUTED_VALUE"""),45387.212592592594)</f>
        <v>45387.21259</v>
      </c>
      <c r="C1038" s="5" t="str">
        <f>IFERROR(__xludf.DUMMYFUNCTION("""COMPUTED_VALUE"""),"purchase")</f>
        <v>purchase</v>
      </c>
      <c r="D1038" s="10">
        <f t="shared" si="1"/>
        <v>45387</v>
      </c>
      <c r="E1038" s="10">
        <f t="shared" si="2"/>
        <v>45383</v>
      </c>
      <c r="F1038" s="10">
        <f t="shared" si="3"/>
        <v>45383</v>
      </c>
      <c r="G1038" s="11"/>
    </row>
    <row r="1039">
      <c r="A1039" s="5">
        <f>IFERROR(__xludf.DUMMYFUNCTION("""COMPUTED_VALUE"""),5278.0)</f>
        <v>5278</v>
      </c>
      <c r="B1039" s="9">
        <f>IFERROR(__xludf.DUMMYFUNCTION("""COMPUTED_VALUE"""),45387.2340625)</f>
        <v>45387.23406</v>
      </c>
      <c r="C1039" s="5" t="str">
        <f>IFERROR(__xludf.DUMMYFUNCTION("""COMPUTED_VALUE"""),"purchase")</f>
        <v>purchase</v>
      </c>
      <c r="D1039" s="10">
        <f t="shared" si="1"/>
        <v>45387</v>
      </c>
      <c r="E1039" s="10">
        <f t="shared" si="2"/>
        <v>45383</v>
      </c>
      <c r="F1039" s="10">
        <f t="shared" si="3"/>
        <v>45383</v>
      </c>
      <c r="G1039" s="11"/>
    </row>
    <row r="1040">
      <c r="A1040" s="5">
        <f>IFERROR(__xludf.DUMMYFUNCTION("""COMPUTED_VALUE"""),2474.0)</f>
        <v>2474</v>
      </c>
      <c r="B1040" s="9">
        <f>IFERROR(__xludf.DUMMYFUNCTION("""COMPUTED_VALUE"""),45387.26917824074)</f>
        <v>45387.26918</v>
      </c>
      <c r="C1040" s="5" t="str">
        <f>IFERROR(__xludf.DUMMYFUNCTION("""COMPUTED_VALUE"""),"purchase")</f>
        <v>purchase</v>
      </c>
      <c r="D1040" s="10">
        <f t="shared" si="1"/>
        <v>45387</v>
      </c>
      <c r="E1040" s="10">
        <f t="shared" si="2"/>
        <v>45383</v>
      </c>
      <c r="F1040" s="10">
        <f t="shared" si="3"/>
        <v>45383</v>
      </c>
      <c r="G1040" s="11"/>
    </row>
    <row r="1041">
      <c r="A1041" s="5">
        <f>IFERROR(__xludf.DUMMYFUNCTION("""COMPUTED_VALUE"""),4059.0)</f>
        <v>4059</v>
      </c>
      <c r="B1041" s="9">
        <f>IFERROR(__xludf.DUMMYFUNCTION("""COMPUTED_VALUE"""),45387.29040509259)</f>
        <v>45387.29041</v>
      </c>
      <c r="C1041" s="5" t="str">
        <f>IFERROR(__xludf.DUMMYFUNCTION("""COMPUTED_VALUE"""),"purchase")</f>
        <v>purchase</v>
      </c>
      <c r="D1041" s="10">
        <f t="shared" si="1"/>
        <v>45387</v>
      </c>
      <c r="E1041" s="10">
        <f t="shared" si="2"/>
        <v>45383</v>
      </c>
      <c r="F1041" s="10">
        <f t="shared" si="3"/>
        <v>45383</v>
      </c>
      <c r="G1041" s="11"/>
    </row>
    <row r="1042">
      <c r="A1042" s="5">
        <f>IFERROR(__xludf.DUMMYFUNCTION("""COMPUTED_VALUE"""),3046.0)</f>
        <v>3046</v>
      </c>
      <c r="B1042" s="9">
        <f>IFERROR(__xludf.DUMMYFUNCTION("""COMPUTED_VALUE"""),45387.386666666665)</f>
        <v>45387.38667</v>
      </c>
      <c r="C1042" s="5" t="str">
        <f>IFERROR(__xludf.DUMMYFUNCTION("""COMPUTED_VALUE"""),"purchase")</f>
        <v>purchase</v>
      </c>
      <c r="D1042" s="10">
        <f t="shared" si="1"/>
        <v>45387</v>
      </c>
      <c r="E1042" s="10">
        <f t="shared" si="2"/>
        <v>45383</v>
      </c>
      <c r="F1042" s="10">
        <f t="shared" si="3"/>
        <v>45383</v>
      </c>
      <c r="G1042" s="11"/>
    </row>
    <row r="1043">
      <c r="A1043" s="5">
        <f>IFERROR(__xludf.DUMMYFUNCTION("""COMPUTED_VALUE"""),3013.0)</f>
        <v>3013</v>
      </c>
      <c r="B1043" s="9">
        <f>IFERROR(__xludf.DUMMYFUNCTION("""COMPUTED_VALUE"""),45387.61702546296)</f>
        <v>45387.61703</v>
      </c>
      <c r="C1043" s="5" t="str">
        <f>IFERROR(__xludf.DUMMYFUNCTION("""COMPUTED_VALUE"""),"purchase")</f>
        <v>purchase</v>
      </c>
      <c r="D1043" s="10">
        <f t="shared" si="1"/>
        <v>45387</v>
      </c>
      <c r="E1043" s="10">
        <f t="shared" si="2"/>
        <v>45383</v>
      </c>
      <c r="F1043" s="10">
        <f t="shared" si="3"/>
        <v>45383</v>
      </c>
      <c r="G1043" s="11"/>
    </row>
    <row r="1044">
      <c r="A1044" s="5">
        <f>IFERROR(__xludf.DUMMYFUNCTION("""COMPUTED_VALUE"""),4519.0)</f>
        <v>4519</v>
      </c>
      <c r="B1044" s="9">
        <f>IFERROR(__xludf.DUMMYFUNCTION("""COMPUTED_VALUE"""),45387.722349537034)</f>
        <v>45387.72235</v>
      </c>
      <c r="C1044" s="5" t="str">
        <f>IFERROR(__xludf.DUMMYFUNCTION("""COMPUTED_VALUE"""),"purchase")</f>
        <v>purchase</v>
      </c>
      <c r="D1044" s="10">
        <f t="shared" si="1"/>
        <v>45387</v>
      </c>
      <c r="E1044" s="10">
        <f t="shared" si="2"/>
        <v>45383</v>
      </c>
      <c r="F1044" s="10">
        <f t="shared" si="3"/>
        <v>45383</v>
      </c>
      <c r="G1044" s="11"/>
    </row>
    <row r="1045">
      <c r="A1045" s="5">
        <f>IFERROR(__xludf.DUMMYFUNCTION("""COMPUTED_VALUE"""),7957.0)</f>
        <v>7957</v>
      </c>
      <c r="B1045" s="9">
        <f>IFERROR(__xludf.DUMMYFUNCTION("""COMPUTED_VALUE"""),45388.03291666666)</f>
        <v>45388.03292</v>
      </c>
      <c r="C1045" s="5" t="str">
        <f>IFERROR(__xludf.DUMMYFUNCTION("""COMPUTED_VALUE"""),"purchase")</f>
        <v>purchase</v>
      </c>
      <c r="D1045" s="10">
        <f t="shared" si="1"/>
        <v>45388</v>
      </c>
      <c r="E1045" s="10">
        <f t="shared" si="2"/>
        <v>45383</v>
      </c>
      <c r="F1045" s="10">
        <f t="shared" si="3"/>
        <v>45383</v>
      </c>
      <c r="G1045" s="11"/>
    </row>
    <row r="1046">
      <c r="A1046" s="5">
        <f>IFERROR(__xludf.DUMMYFUNCTION("""COMPUTED_VALUE"""),2779.0)</f>
        <v>2779</v>
      </c>
      <c r="B1046" s="9">
        <f>IFERROR(__xludf.DUMMYFUNCTION("""COMPUTED_VALUE"""),45388.075104166666)</f>
        <v>45388.0751</v>
      </c>
      <c r="C1046" s="5" t="str">
        <f>IFERROR(__xludf.DUMMYFUNCTION("""COMPUTED_VALUE"""),"purchase")</f>
        <v>purchase</v>
      </c>
      <c r="D1046" s="10">
        <f t="shared" si="1"/>
        <v>45388</v>
      </c>
      <c r="E1046" s="10">
        <f t="shared" si="2"/>
        <v>45383</v>
      </c>
      <c r="F1046" s="10">
        <f t="shared" si="3"/>
        <v>45383</v>
      </c>
      <c r="G1046" s="11"/>
    </row>
    <row r="1047">
      <c r="A1047" s="5">
        <f>IFERROR(__xludf.DUMMYFUNCTION("""COMPUTED_VALUE"""),5224.0)</f>
        <v>5224</v>
      </c>
      <c r="B1047" s="9">
        <f>IFERROR(__xludf.DUMMYFUNCTION("""COMPUTED_VALUE"""),45388.108622685184)</f>
        <v>45388.10862</v>
      </c>
      <c r="C1047" s="5" t="str">
        <f>IFERROR(__xludf.DUMMYFUNCTION("""COMPUTED_VALUE"""),"purchase")</f>
        <v>purchase</v>
      </c>
      <c r="D1047" s="10">
        <f t="shared" si="1"/>
        <v>45388</v>
      </c>
      <c r="E1047" s="10">
        <f t="shared" si="2"/>
        <v>45383</v>
      </c>
      <c r="F1047" s="10">
        <f t="shared" si="3"/>
        <v>45383</v>
      </c>
      <c r="G1047" s="11"/>
    </row>
    <row r="1048">
      <c r="A1048" s="5">
        <f>IFERROR(__xludf.DUMMYFUNCTION("""COMPUTED_VALUE"""),2754.0)</f>
        <v>2754</v>
      </c>
      <c r="B1048" s="9">
        <f>IFERROR(__xludf.DUMMYFUNCTION("""COMPUTED_VALUE"""),45388.30716435185)</f>
        <v>45388.30716</v>
      </c>
      <c r="C1048" s="5" t="str">
        <f>IFERROR(__xludf.DUMMYFUNCTION("""COMPUTED_VALUE"""),"purchase")</f>
        <v>purchase</v>
      </c>
      <c r="D1048" s="10">
        <f t="shared" si="1"/>
        <v>45388</v>
      </c>
      <c r="E1048" s="10">
        <f t="shared" si="2"/>
        <v>45383</v>
      </c>
      <c r="F1048" s="10">
        <f t="shared" si="3"/>
        <v>45383</v>
      </c>
      <c r="G1048" s="11"/>
    </row>
    <row r="1049">
      <c r="A1049" s="5">
        <f>IFERROR(__xludf.DUMMYFUNCTION("""COMPUTED_VALUE"""),3768.0)</f>
        <v>3768</v>
      </c>
      <c r="B1049" s="9">
        <f>IFERROR(__xludf.DUMMYFUNCTION("""COMPUTED_VALUE"""),45388.320868055554)</f>
        <v>45388.32087</v>
      </c>
      <c r="C1049" s="5" t="str">
        <f>IFERROR(__xludf.DUMMYFUNCTION("""COMPUTED_VALUE"""),"purchase")</f>
        <v>purchase</v>
      </c>
      <c r="D1049" s="10">
        <f t="shared" si="1"/>
        <v>45388</v>
      </c>
      <c r="E1049" s="10">
        <f t="shared" si="2"/>
        <v>45383</v>
      </c>
      <c r="F1049" s="10">
        <f t="shared" si="3"/>
        <v>45383</v>
      </c>
      <c r="G1049" s="11"/>
    </row>
    <row r="1050">
      <c r="A1050" s="5">
        <f>IFERROR(__xludf.DUMMYFUNCTION("""COMPUTED_VALUE"""),1808.0)</f>
        <v>1808</v>
      </c>
      <c r="B1050" s="9">
        <f>IFERROR(__xludf.DUMMYFUNCTION("""COMPUTED_VALUE"""),45388.347395833334)</f>
        <v>45388.3474</v>
      </c>
      <c r="C1050" s="5" t="str">
        <f>IFERROR(__xludf.DUMMYFUNCTION("""COMPUTED_VALUE"""),"purchase")</f>
        <v>purchase</v>
      </c>
      <c r="D1050" s="10">
        <f t="shared" si="1"/>
        <v>45388</v>
      </c>
      <c r="E1050" s="10">
        <f t="shared" si="2"/>
        <v>45383</v>
      </c>
      <c r="F1050" s="10">
        <f t="shared" si="3"/>
        <v>45383</v>
      </c>
      <c r="G1050" s="11"/>
    </row>
    <row r="1051">
      <c r="A1051" s="5">
        <f>IFERROR(__xludf.DUMMYFUNCTION("""COMPUTED_VALUE"""),3818.0)</f>
        <v>3818</v>
      </c>
      <c r="B1051" s="9">
        <f>IFERROR(__xludf.DUMMYFUNCTION("""COMPUTED_VALUE"""),45388.348541666666)</f>
        <v>45388.34854</v>
      </c>
      <c r="C1051" s="5" t="str">
        <f>IFERROR(__xludf.DUMMYFUNCTION("""COMPUTED_VALUE"""),"purchase")</f>
        <v>purchase</v>
      </c>
      <c r="D1051" s="10">
        <f t="shared" si="1"/>
        <v>45388</v>
      </c>
      <c r="E1051" s="10">
        <f t="shared" si="2"/>
        <v>45383</v>
      </c>
      <c r="F1051" s="10">
        <f t="shared" si="3"/>
        <v>45383</v>
      </c>
      <c r="G1051" s="11"/>
    </row>
    <row r="1052">
      <c r="A1052" s="5">
        <f>IFERROR(__xludf.DUMMYFUNCTION("""COMPUTED_VALUE"""),6635.0)</f>
        <v>6635</v>
      </c>
      <c r="B1052" s="9">
        <f>IFERROR(__xludf.DUMMYFUNCTION("""COMPUTED_VALUE"""),45388.84149305556)</f>
        <v>45388.84149</v>
      </c>
      <c r="C1052" s="5" t="str">
        <f>IFERROR(__xludf.DUMMYFUNCTION("""COMPUTED_VALUE"""),"purchase")</f>
        <v>purchase</v>
      </c>
      <c r="D1052" s="10">
        <f t="shared" si="1"/>
        <v>45388</v>
      </c>
      <c r="E1052" s="10">
        <f t="shared" si="2"/>
        <v>45383</v>
      </c>
      <c r="F1052" s="10">
        <f t="shared" si="3"/>
        <v>45383</v>
      </c>
      <c r="G1052" s="11"/>
    </row>
    <row r="1053">
      <c r="A1053" s="5">
        <f>IFERROR(__xludf.DUMMYFUNCTION("""COMPUTED_VALUE"""),6287.0)</f>
        <v>6287</v>
      </c>
      <c r="B1053" s="9">
        <f>IFERROR(__xludf.DUMMYFUNCTION("""COMPUTED_VALUE"""),45388.94217592593)</f>
        <v>45388.94218</v>
      </c>
      <c r="C1053" s="5" t="str">
        <f>IFERROR(__xludf.DUMMYFUNCTION("""COMPUTED_VALUE"""),"purchase")</f>
        <v>purchase</v>
      </c>
      <c r="D1053" s="10">
        <f t="shared" si="1"/>
        <v>45388</v>
      </c>
      <c r="E1053" s="10">
        <f t="shared" si="2"/>
        <v>45383</v>
      </c>
      <c r="F1053" s="10">
        <f t="shared" si="3"/>
        <v>45383</v>
      </c>
      <c r="G1053" s="11"/>
    </row>
    <row r="1054">
      <c r="A1054" s="5">
        <f>IFERROR(__xludf.DUMMYFUNCTION("""COMPUTED_VALUE"""),6905.0)</f>
        <v>6905</v>
      </c>
      <c r="B1054" s="9">
        <f>IFERROR(__xludf.DUMMYFUNCTION("""COMPUTED_VALUE"""),45388.95142361111)</f>
        <v>45388.95142</v>
      </c>
      <c r="C1054" s="5" t="str">
        <f>IFERROR(__xludf.DUMMYFUNCTION("""COMPUTED_VALUE"""),"purchase")</f>
        <v>purchase</v>
      </c>
      <c r="D1054" s="10">
        <f t="shared" si="1"/>
        <v>45388</v>
      </c>
      <c r="E1054" s="10">
        <f t="shared" si="2"/>
        <v>45383</v>
      </c>
      <c r="F1054" s="10">
        <f t="shared" si="3"/>
        <v>45383</v>
      </c>
      <c r="G1054" s="11"/>
    </row>
    <row r="1055">
      <c r="A1055" s="5">
        <f>IFERROR(__xludf.DUMMYFUNCTION("""COMPUTED_VALUE"""),5963.0)</f>
        <v>5963</v>
      </c>
      <c r="B1055" s="9">
        <f>IFERROR(__xludf.DUMMYFUNCTION("""COMPUTED_VALUE"""),45389.203194444446)</f>
        <v>45389.20319</v>
      </c>
      <c r="C1055" s="5" t="str">
        <f>IFERROR(__xludf.DUMMYFUNCTION("""COMPUTED_VALUE"""),"purchase")</f>
        <v>purchase</v>
      </c>
      <c r="D1055" s="10">
        <f t="shared" si="1"/>
        <v>45389</v>
      </c>
      <c r="E1055" s="10">
        <f t="shared" si="2"/>
        <v>45383</v>
      </c>
      <c r="F1055" s="10">
        <f t="shared" si="3"/>
        <v>45383</v>
      </c>
      <c r="G1055" s="11"/>
    </row>
    <row r="1056">
      <c r="A1056" s="5">
        <f>IFERROR(__xludf.DUMMYFUNCTION("""COMPUTED_VALUE"""),7464.0)</f>
        <v>7464</v>
      </c>
      <c r="B1056" s="9">
        <f>IFERROR(__xludf.DUMMYFUNCTION("""COMPUTED_VALUE"""),45389.25271990741)</f>
        <v>45389.25272</v>
      </c>
      <c r="C1056" s="5" t="str">
        <f>IFERROR(__xludf.DUMMYFUNCTION("""COMPUTED_VALUE"""),"purchase")</f>
        <v>purchase</v>
      </c>
      <c r="D1056" s="10">
        <f t="shared" si="1"/>
        <v>45389</v>
      </c>
      <c r="E1056" s="10">
        <f t="shared" si="2"/>
        <v>45383</v>
      </c>
      <c r="F1056" s="10">
        <f t="shared" si="3"/>
        <v>45383</v>
      </c>
      <c r="G1056" s="11"/>
    </row>
    <row r="1057">
      <c r="A1057" s="5">
        <f>IFERROR(__xludf.DUMMYFUNCTION("""COMPUTED_VALUE"""),1783.0)</f>
        <v>1783</v>
      </c>
      <c r="B1057" s="9">
        <f>IFERROR(__xludf.DUMMYFUNCTION("""COMPUTED_VALUE"""),45389.29452546296)</f>
        <v>45389.29453</v>
      </c>
      <c r="C1057" s="5" t="str">
        <f>IFERROR(__xludf.DUMMYFUNCTION("""COMPUTED_VALUE"""),"purchase")</f>
        <v>purchase</v>
      </c>
      <c r="D1057" s="10">
        <f t="shared" si="1"/>
        <v>45389</v>
      </c>
      <c r="E1057" s="10">
        <f t="shared" si="2"/>
        <v>45383</v>
      </c>
      <c r="F1057" s="10">
        <f t="shared" si="3"/>
        <v>45383</v>
      </c>
      <c r="G1057" s="11"/>
    </row>
    <row r="1058">
      <c r="A1058" s="5">
        <f>IFERROR(__xludf.DUMMYFUNCTION("""COMPUTED_VALUE"""),4718.0)</f>
        <v>4718</v>
      </c>
      <c r="B1058" s="9">
        <f>IFERROR(__xludf.DUMMYFUNCTION("""COMPUTED_VALUE"""),45389.38311342592)</f>
        <v>45389.38311</v>
      </c>
      <c r="C1058" s="5" t="str">
        <f>IFERROR(__xludf.DUMMYFUNCTION("""COMPUTED_VALUE"""),"purchase")</f>
        <v>purchase</v>
      </c>
      <c r="D1058" s="10">
        <f t="shared" si="1"/>
        <v>45389</v>
      </c>
      <c r="E1058" s="10">
        <f t="shared" si="2"/>
        <v>45383</v>
      </c>
      <c r="F1058" s="10">
        <f t="shared" si="3"/>
        <v>45383</v>
      </c>
      <c r="G1058" s="11"/>
    </row>
    <row r="1059">
      <c r="A1059" s="5">
        <f>IFERROR(__xludf.DUMMYFUNCTION("""COMPUTED_VALUE"""),5461.0)</f>
        <v>5461</v>
      </c>
      <c r="B1059" s="9">
        <f>IFERROR(__xludf.DUMMYFUNCTION("""COMPUTED_VALUE"""),45389.454375)</f>
        <v>45389.45438</v>
      </c>
      <c r="C1059" s="5" t="str">
        <f>IFERROR(__xludf.DUMMYFUNCTION("""COMPUTED_VALUE"""),"purchase")</f>
        <v>purchase</v>
      </c>
      <c r="D1059" s="10">
        <f t="shared" si="1"/>
        <v>45389</v>
      </c>
      <c r="E1059" s="10">
        <f t="shared" si="2"/>
        <v>45383</v>
      </c>
      <c r="F1059" s="10">
        <f t="shared" si="3"/>
        <v>45383</v>
      </c>
      <c r="G1059" s="11"/>
    </row>
    <row r="1060">
      <c r="A1060" s="5">
        <f>IFERROR(__xludf.DUMMYFUNCTION("""COMPUTED_VALUE"""),5592.0)</f>
        <v>5592</v>
      </c>
      <c r="B1060" s="9">
        <f>IFERROR(__xludf.DUMMYFUNCTION("""COMPUTED_VALUE"""),45389.605775462966)</f>
        <v>45389.60578</v>
      </c>
      <c r="C1060" s="5" t="str">
        <f>IFERROR(__xludf.DUMMYFUNCTION("""COMPUTED_VALUE"""),"purchase")</f>
        <v>purchase</v>
      </c>
      <c r="D1060" s="10">
        <f t="shared" si="1"/>
        <v>45389</v>
      </c>
      <c r="E1060" s="10">
        <f t="shared" si="2"/>
        <v>45383</v>
      </c>
      <c r="F1060" s="10">
        <f t="shared" si="3"/>
        <v>45383</v>
      </c>
      <c r="G1060" s="11"/>
    </row>
    <row r="1061">
      <c r="A1061" s="5">
        <f>IFERROR(__xludf.DUMMYFUNCTION("""COMPUTED_VALUE"""),3104.0)</f>
        <v>3104</v>
      </c>
      <c r="B1061" s="9">
        <f>IFERROR(__xludf.DUMMYFUNCTION("""COMPUTED_VALUE"""),45389.75643518518)</f>
        <v>45389.75644</v>
      </c>
      <c r="C1061" s="5" t="str">
        <f>IFERROR(__xludf.DUMMYFUNCTION("""COMPUTED_VALUE"""),"purchase")</f>
        <v>purchase</v>
      </c>
      <c r="D1061" s="10">
        <f t="shared" si="1"/>
        <v>45389</v>
      </c>
      <c r="E1061" s="10">
        <f t="shared" si="2"/>
        <v>45383</v>
      </c>
      <c r="F1061" s="10">
        <f t="shared" si="3"/>
        <v>45383</v>
      </c>
      <c r="G1061" s="11"/>
    </row>
    <row r="1062">
      <c r="A1062" s="5">
        <f>IFERROR(__xludf.DUMMYFUNCTION("""COMPUTED_VALUE"""),200.0)</f>
        <v>200</v>
      </c>
      <c r="B1062" s="9">
        <f>IFERROR(__xludf.DUMMYFUNCTION("""COMPUTED_VALUE"""),45389.91200231481)</f>
        <v>45389.912</v>
      </c>
      <c r="C1062" s="5" t="str">
        <f>IFERROR(__xludf.DUMMYFUNCTION("""COMPUTED_VALUE"""),"purchase")</f>
        <v>purchase</v>
      </c>
      <c r="D1062" s="10">
        <f t="shared" si="1"/>
        <v>45389</v>
      </c>
      <c r="E1062" s="10">
        <f t="shared" si="2"/>
        <v>45383</v>
      </c>
      <c r="F1062" s="10">
        <f t="shared" si="3"/>
        <v>45383</v>
      </c>
      <c r="G1062" s="11"/>
    </row>
    <row r="1063">
      <c r="A1063" s="5">
        <f>IFERROR(__xludf.DUMMYFUNCTION("""COMPUTED_VALUE"""),7980.0)</f>
        <v>7980</v>
      </c>
      <c r="B1063" s="9">
        <f>IFERROR(__xludf.DUMMYFUNCTION("""COMPUTED_VALUE"""),45389.92525462963)</f>
        <v>45389.92525</v>
      </c>
      <c r="C1063" s="5" t="str">
        <f>IFERROR(__xludf.DUMMYFUNCTION("""COMPUTED_VALUE"""),"purchase")</f>
        <v>purchase</v>
      </c>
      <c r="D1063" s="10">
        <f t="shared" si="1"/>
        <v>45389</v>
      </c>
      <c r="E1063" s="10">
        <f t="shared" si="2"/>
        <v>45383</v>
      </c>
      <c r="F1063" s="10">
        <f t="shared" si="3"/>
        <v>45383</v>
      </c>
      <c r="G1063" s="11"/>
    </row>
    <row r="1064">
      <c r="A1064" s="5">
        <f>IFERROR(__xludf.DUMMYFUNCTION("""COMPUTED_VALUE"""),3791.0)</f>
        <v>3791</v>
      </c>
      <c r="B1064" s="9">
        <f>IFERROR(__xludf.DUMMYFUNCTION("""COMPUTED_VALUE"""),45390.401967592596)</f>
        <v>45390.40197</v>
      </c>
      <c r="C1064" s="5" t="str">
        <f>IFERROR(__xludf.DUMMYFUNCTION("""COMPUTED_VALUE"""),"purchase")</f>
        <v>purchase</v>
      </c>
      <c r="D1064" s="10">
        <f t="shared" si="1"/>
        <v>45390</v>
      </c>
      <c r="E1064" s="10">
        <f t="shared" si="2"/>
        <v>45390</v>
      </c>
      <c r="F1064" s="10">
        <f t="shared" si="3"/>
        <v>45383</v>
      </c>
      <c r="G1064" s="11"/>
    </row>
    <row r="1065">
      <c r="A1065" s="5">
        <f>IFERROR(__xludf.DUMMYFUNCTION("""COMPUTED_VALUE"""),6588.0)</f>
        <v>6588</v>
      </c>
      <c r="B1065" s="9">
        <f>IFERROR(__xludf.DUMMYFUNCTION("""COMPUTED_VALUE"""),45390.52614583333)</f>
        <v>45390.52615</v>
      </c>
      <c r="C1065" s="5" t="str">
        <f>IFERROR(__xludf.DUMMYFUNCTION("""COMPUTED_VALUE"""),"purchase")</f>
        <v>purchase</v>
      </c>
      <c r="D1065" s="10">
        <f t="shared" si="1"/>
        <v>45390</v>
      </c>
      <c r="E1065" s="10">
        <f t="shared" si="2"/>
        <v>45390</v>
      </c>
      <c r="F1065" s="10">
        <f t="shared" si="3"/>
        <v>45383</v>
      </c>
      <c r="G1065" s="11"/>
    </row>
    <row r="1066">
      <c r="A1066" s="5">
        <f>IFERROR(__xludf.DUMMYFUNCTION("""COMPUTED_VALUE"""),4394.0)</f>
        <v>4394</v>
      </c>
      <c r="B1066" s="9">
        <f>IFERROR(__xludf.DUMMYFUNCTION("""COMPUTED_VALUE"""),45390.590046296296)</f>
        <v>45390.59005</v>
      </c>
      <c r="C1066" s="5" t="str">
        <f>IFERROR(__xludf.DUMMYFUNCTION("""COMPUTED_VALUE"""),"purchase")</f>
        <v>purchase</v>
      </c>
      <c r="D1066" s="10">
        <f t="shared" si="1"/>
        <v>45390</v>
      </c>
      <c r="E1066" s="10">
        <f t="shared" si="2"/>
        <v>45390</v>
      </c>
      <c r="F1066" s="10">
        <f t="shared" si="3"/>
        <v>45383</v>
      </c>
      <c r="G1066" s="11"/>
    </row>
    <row r="1067">
      <c r="A1067" s="5">
        <f>IFERROR(__xludf.DUMMYFUNCTION("""COMPUTED_VALUE"""),2269.0)</f>
        <v>2269</v>
      </c>
      <c r="B1067" s="9">
        <f>IFERROR(__xludf.DUMMYFUNCTION("""COMPUTED_VALUE"""),45390.69390046296)</f>
        <v>45390.6939</v>
      </c>
      <c r="C1067" s="5" t="str">
        <f>IFERROR(__xludf.DUMMYFUNCTION("""COMPUTED_VALUE"""),"purchase")</f>
        <v>purchase</v>
      </c>
      <c r="D1067" s="10">
        <f t="shared" si="1"/>
        <v>45390</v>
      </c>
      <c r="E1067" s="10">
        <f t="shared" si="2"/>
        <v>45390</v>
      </c>
      <c r="F1067" s="10">
        <f t="shared" si="3"/>
        <v>45383</v>
      </c>
      <c r="G1067" s="11"/>
    </row>
    <row r="1068">
      <c r="A1068" s="5">
        <f>IFERROR(__xludf.DUMMYFUNCTION("""COMPUTED_VALUE"""),3204.0)</f>
        <v>3204</v>
      </c>
      <c r="B1068" s="9">
        <f>IFERROR(__xludf.DUMMYFUNCTION("""COMPUTED_VALUE"""),45390.78082175926)</f>
        <v>45390.78082</v>
      </c>
      <c r="C1068" s="5" t="str">
        <f>IFERROR(__xludf.DUMMYFUNCTION("""COMPUTED_VALUE"""),"purchase")</f>
        <v>purchase</v>
      </c>
      <c r="D1068" s="10">
        <f t="shared" si="1"/>
        <v>45390</v>
      </c>
      <c r="E1068" s="10">
        <f t="shared" si="2"/>
        <v>45390</v>
      </c>
      <c r="F1068" s="10">
        <f t="shared" si="3"/>
        <v>45383</v>
      </c>
      <c r="G1068" s="11"/>
    </row>
    <row r="1069">
      <c r="A1069" s="5">
        <f>IFERROR(__xludf.DUMMYFUNCTION("""COMPUTED_VALUE"""),2956.0)</f>
        <v>2956</v>
      </c>
      <c r="B1069" s="9">
        <f>IFERROR(__xludf.DUMMYFUNCTION("""COMPUTED_VALUE"""),45390.95097222222)</f>
        <v>45390.95097</v>
      </c>
      <c r="C1069" s="5" t="str">
        <f>IFERROR(__xludf.DUMMYFUNCTION("""COMPUTED_VALUE"""),"purchase")</f>
        <v>purchase</v>
      </c>
      <c r="D1069" s="10">
        <f t="shared" si="1"/>
        <v>45390</v>
      </c>
      <c r="E1069" s="10">
        <f t="shared" si="2"/>
        <v>45390</v>
      </c>
      <c r="F1069" s="10">
        <f t="shared" si="3"/>
        <v>45383</v>
      </c>
      <c r="G1069" s="11"/>
    </row>
    <row r="1070">
      <c r="A1070" s="5">
        <f>IFERROR(__xludf.DUMMYFUNCTION("""COMPUTED_VALUE"""),1567.0)</f>
        <v>1567</v>
      </c>
      <c r="B1070" s="9">
        <f>IFERROR(__xludf.DUMMYFUNCTION("""COMPUTED_VALUE"""),45391.03942129629)</f>
        <v>45391.03942</v>
      </c>
      <c r="C1070" s="5" t="str">
        <f>IFERROR(__xludf.DUMMYFUNCTION("""COMPUTED_VALUE"""),"purchase")</f>
        <v>purchase</v>
      </c>
      <c r="D1070" s="10">
        <f t="shared" si="1"/>
        <v>45391</v>
      </c>
      <c r="E1070" s="10">
        <f t="shared" si="2"/>
        <v>45390</v>
      </c>
      <c r="F1070" s="10">
        <f t="shared" si="3"/>
        <v>45383</v>
      </c>
      <c r="G1070" s="11"/>
    </row>
    <row r="1071">
      <c r="A1071" s="5">
        <f>IFERROR(__xludf.DUMMYFUNCTION("""COMPUTED_VALUE"""),626.0)</f>
        <v>626</v>
      </c>
      <c r="B1071" s="9">
        <f>IFERROR(__xludf.DUMMYFUNCTION("""COMPUTED_VALUE"""),45391.238958333335)</f>
        <v>45391.23896</v>
      </c>
      <c r="C1071" s="5" t="str">
        <f>IFERROR(__xludf.DUMMYFUNCTION("""COMPUTED_VALUE"""),"purchase")</f>
        <v>purchase</v>
      </c>
      <c r="D1071" s="10">
        <f t="shared" si="1"/>
        <v>45391</v>
      </c>
      <c r="E1071" s="10">
        <f t="shared" si="2"/>
        <v>45390</v>
      </c>
      <c r="F1071" s="10">
        <f t="shared" si="3"/>
        <v>45383</v>
      </c>
      <c r="G1071" s="11"/>
    </row>
    <row r="1072">
      <c r="A1072" s="5">
        <f>IFERROR(__xludf.DUMMYFUNCTION("""COMPUTED_VALUE"""),764.0)</f>
        <v>764</v>
      </c>
      <c r="B1072" s="9">
        <f>IFERROR(__xludf.DUMMYFUNCTION("""COMPUTED_VALUE"""),45391.4271875)</f>
        <v>45391.42719</v>
      </c>
      <c r="C1072" s="5" t="str">
        <f>IFERROR(__xludf.DUMMYFUNCTION("""COMPUTED_VALUE"""),"purchase")</f>
        <v>purchase</v>
      </c>
      <c r="D1072" s="10">
        <f t="shared" si="1"/>
        <v>45391</v>
      </c>
      <c r="E1072" s="10">
        <f t="shared" si="2"/>
        <v>45390</v>
      </c>
      <c r="F1072" s="10">
        <f t="shared" si="3"/>
        <v>45383</v>
      </c>
      <c r="G1072" s="11"/>
    </row>
    <row r="1073">
      <c r="A1073" s="5">
        <f>IFERROR(__xludf.DUMMYFUNCTION("""COMPUTED_VALUE"""),1953.0)</f>
        <v>1953</v>
      </c>
      <c r="B1073" s="9">
        <f>IFERROR(__xludf.DUMMYFUNCTION("""COMPUTED_VALUE"""),45391.479675925926)</f>
        <v>45391.47968</v>
      </c>
      <c r="C1073" s="5" t="str">
        <f>IFERROR(__xludf.DUMMYFUNCTION("""COMPUTED_VALUE"""),"purchase")</f>
        <v>purchase</v>
      </c>
      <c r="D1073" s="10">
        <f t="shared" si="1"/>
        <v>45391</v>
      </c>
      <c r="E1073" s="10">
        <f t="shared" si="2"/>
        <v>45390</v>
      </c>
      <c r="F1073" s="10">
        <f t="shared" si="3"/>
        <v>45383</v>
      </c>
      <c r="G1073" s="11"/>
    </row>
    <row r="1074">
      <c r="A1074" s="5">
        <f>IFERROR(__xludf.DUMMYFUNCTION("""COMPUTED_VALUE"""),1453.0)</f>
        <v>1453</v>
      </c>
      <c r="B1074" s="9">
        <f>IFERROR(__xludf.DUMMYFUNCTION("""COMPUTED_VALUE"""),45391.56175925926)</f>
        <v>45391.56176</v>
      </c>
      <c r="C1074" s="5" t="str">
        <f>IFERROR(__xludf.DUMMYFUNCTION("""COMPUTED_VALUE"""),"purchase")</f>
        <v>purchase</v>
      </c>
      <c r="D1074" s="10">
        <f t="shared" si="1"/>
        <v>45391</v>
      </c>
      <c r="E1074" s="10">
        <f t="shared" si="2"/>
        <v>45390</v>
      </c>
      <c r="F1074" s="10">
        <f t="shared" si="3"/>
        <v>45383</v>
      </c>
      <c r="G1074" s="11"/>
    </row>
    <row r="1075">
      <c r="A1075" s="5">
        <f>IFERROR(__xludf.DUMMYFUNCTION("""COMPUTED_VALUE"""),6881.0)</f>
        <v>6881</v>
      </c>
      <c r="B1075" s="9">
        <f>IFERROR(__xludf.DUMMYFUNCTION("""COMPUTED_VALUE"""),45391.65300925926)</f>
        <v>45391.65301</v>
      </c>
      <c r="C1075" s="5" t="str">
        <f>IFERROR(__xludf.DUMMYFUNCTION("""COMPUTED_VALUE"""),"purchase")</f>
        <v>purchase</v>
      </c>
      <c r="D1075" s="10">
        <f t="shared" si="1"/>
        <v>45391</v>
      </c>
      <c r="E1075" s="10">
        <f t="shared" si="2"/>
        <v>45390</v>
      </c>
      <c r="F1075" s="10">
        <f t="shared" si="3"/>
        <v>45383</v>
      </c>
      <c r="G1075" s="11"/>
    </row>
    <row r="1076">
      <c r="A1076" s="5">
        <f>IFERROR(__xludf.DUMMYFUNCTION("""COMPUTED_VALUE"""),7599.0)</f>
        <v>7599</v>
      </c>
      <c r="B1076" s="9">
        <f>IFERROR(__xludf.DUMMYFUNCTION("""COMPUTED_VALUE"""),45391.672314814816)</f>
        <v>45391.67231</v>
      </c>
      <c r="C1076" s="5" t="str">
        <f>IFERROR(__xludf.DUMMYFUNCTION("""COMPUTED_VALUE"""),"purchase")</f>
        <v>purchase</v>
      </c>
      <c r="D1076" s="10">
        <f t="shared" si="1"/>
        <v>45391</v>
      </c>
      <c r="E1076" s="10">
        <f t="shared" si="2"/>
        <v>45390</v>
      </c>
      <c r="F1076" s="10">
        <f t="shared" si="3"/>
        <v>45383</v>
      </c>
      <c r="G1076" s="11"/>
    </row>
    <row r="1077">
      <c r="A1077" s="5">
        <f>IFERROR(__xludf.DUMMYFUNCTION("""COMPUTED_VALUE"""),5050.0)</f>
        <v>5050</v>
      </c>
      <c r="B1077" s="9">
        <f>IFERROR(__xludf.DUMMYFUNCTION("""COMPUTED_VALUE"""),45391.800625)</f>
        <v>45391.80063</v>
      </c>
      <c r="C1077" s="5" t="str">
        <f>IFERROR(__xludf.DUMMYFUNCTION("""COMPUTED_VALUE"""),"purchase")</f>
        <v>purchase</v>
      </c>
      <c r="D1077" s="10">
        <f t="shared" si="1"/>
        <v>45391</v>
      </c>
      <c r="E1077" s="10">
        <f t="shared" si="2"/>
        <v>45390</v>
      </c>
      <c r="F1077" s="10">
        <f t="shared" si="3"/>
        <v>45383</v>
      </c>
      <c r="G1077" s="11"/>
    </row>
    <row r="1078">
      <c r="A1078" s="5">
        <f>IFERROR(__xludf.DUMMYFUNCTION("""COMPUTED_VALUE"""),169.0)</f>
        <v>169</v>
      </c>
      <c r="B1078" s="9">
        <f>IFERROR(__xludf.DUMMYFUNCTION("""COMPUTED_VALUE"""),45391.98505787037)</f>
        <v>45391.98506</v>
      </c>
      <c r="C1078" s="5" t="str">
        <f>IFERROR(__xludf.DUMMYFUNCTION("""COMPUTED_VALUE"""),"purchase")</f>
        <v>purchase</v>
      </c>
      <c r="D1078" s="10">
        <f t="shared" si="1"/>
        <v>45391</v>
      </c>
      <c r="E1078" s="10">
        <f t="shared" si="2"/>
        <v>45390</v>
      </c>
      <c r="F1078" s="10">
        <f t="shared" si="3"/>
        <v>45383</v>
      </c>
      <c r="G1078" s="11"/>
    </row>
    <row r="1079">
      <c r="A1079" s="5">
        <f>IFERROR(__xludf.DUMMYFUNCTION("""COMPUTED_VALUE"""),7115.0)</f>
        <v>7115</v>
      </c>
      <c r="B1079" s="9">
        <f>IFERROR(__xludf.DUMMYFUNCTION("""COMPUTED_VALUE"""),45392.02135416667)</f>
        <v>45392.02135</v>
      </c>
      <c r="C1079" s="5" t="str">
        <f>IFERROR(__xludf.DUMMYFUNCTION("""COMPUTED_VALUE"""),"purchase")</f>
        <v>purchase</v>
      </c>
      <c r="D1079" s="10">
        <f t="shared" si="1"/>
        <v>45392</v>
      </c>
      <c r="E1079" s="10">
        <f t="shared" si="2"/>
        <v>45390</v>
      </c>
      <c r="F1079" s="10">
        <f t="shared" si="3"/>
        <v>45383</v>
      </c>
      <c r="G1079" s="11"/>
    </row>
    <row r="1080">
      <c r="A1080" s="5">
        <f>IFERROR(__xludf.DUMMYFUNCTION("""COMPUTED_VALUE"""),1085.0)</f>
        <v>1085</v>
      </c>
      <c r="B1080" s="9">
        <f>IFERROR(__xludf.DUMMYFUNCTION("""COMPUTED_VALUE"""),45392.04693287037)</f>
        <v>45392.04693</v>
      </c>
      <c r="C1080" s="5" t="str">
        <f>IFERROR(__xludf.DUMMYFUNCTION("""COMPUTED_VALUE"""),"purchase")</f>
        <v>purchase</v>
      </c>
      <c r="D1080" s="10">
        <f t="shared" si="1"/>
        <v>45392</v>
      </c>
      <c r="E1080" s="10">
        <f t="shared" si="2"/>
        <v>45390</v>
      </c>
      <c r="F1080" s="10">
        <f t="shared" si="3"/>
        <v>45383</v>
      </c>
      <c r="G1080" s="11"/>
    </row>
    <row r="1081">
      <c r="A1081" s="5">
        <f>IFERROR(__xludf.DUMMYFUNCTION("""COMPUTED_VALUE"""),3106.0)</f>
        <v>3106</v>
      </c>
      <c r="B1081" s="9">
        <f>IFERROR(__xludf.DUMMYFUNCTION("""COMPUTED_VALUE"""),45392.06215277778)</f>
        <v>45392.06215</v>
      </c>
      <c r="C1081" s="5" t="str">
        <f>IFERROR(__xludf.DUMMYFUNCTION("""COMPUTED_VALUE"""),"purchase")</f>
        <v>purchase</v>
      </c>
      <c r="D1081" s="10">
        <f t="shared" si="1"/>
        <v>45392</v>
      </c>
      <c r="E1081" s="10">
        <f t="shared" si="2"/>
        <v>45390</v>
      </c>
      <c r="F1081" s="10">
        <f t="shared" si="3"/>
        <v>45383</v>
      </c>
      <c r="G1081" s="11"/>
    </row>
    <row r="1082">
      <c r="A1082" s="5">
        <f>IFERROR(__xludf.DUMMYFUNCTION("""COMPUTED_VALUE"""),3981.0)</f>
        <v>3981</v>
      </c>
      <c r="B1082" s="9">
        <f>IFERROR(__xludf.DUMMYFUNCTION("""COMPUTED_VALUE"""),45392.064884259256)</f>
        <v>45392.06488</v>
      </c>
      <c r="C1082" s="5" t="str">
        <f>IFERROR(__xludf.DUMMYFUNCTION("""COMPUTED_VALUE"""),"purchase")</f>
        <v>purchase</v>
      </c>
      <c r="D1082" s="10">
        <f t="shared" si="1"/>
        <v>45392</v>
      </c>
      <c r="E1082" s="10">
        <f t="shared" si="2"/>
        <v>45390</v>
      </c>
      <c r="F1082" s="10">
        <f t="shared" si="3"/>
        <v>45383</v>
      </c>
      <c r="G1082" s="11"/>
    </row>
    <row r="1083">
      <c r="A1083" s="5">
        <f>IFERROR(__xludf.DUMMYFUNCTION("""COMPUTED_VALUE"""),3289.0)</f>
        <v>3289</v>
      </c>
      <c r="B1083" s="9">
        <f>IFERROR(__xludf.DUMMYFUNCTION("""COMPUTED_VALUE"""),45392.13513888889)</f>
        <v>45392.13514</v>
      </c>
      <c r="C1083" s="5" t="str">
        <f>IFERROR(__xludf.DUMMYFUNCTION("""COMPUTED_VALUE"""),"purchase")</f>
        <v>purchase</v>
      </c>
      <c r="D1083" s="10">
        <f t="shared" si="1"/>
        <v>45392</v>
      </c>
      <c r="E1083" s="10">
        <f t="shared" si="2"/>
        <v>45390</v>
      </c>
      <c r="F1083" s="10">
        <f t="shared" si="3"/>
        <v>45383</v>
      </c>
      <c r="G1083" s="11"/>
    </row>
    <row r="1084">
      <c r="A1084" s="5">
        <f>IFERROR(__xludf.DUMMYFUNCTION("""COMPUTED_VALUE"""),1865.0)</f>
        <v>1865</v>
      </c>
      <c r="B1084" s="9">
        <f>IFERROR(__xludf.DUMMYFUNCTION("""COMPUTED_VALUE"""),45392.156006944446)</f>
        <v>45392.15601</v>
      </c>
      <c r="C1084" s="5" t="str">
        <f>IFERROR(__xludf.DUMMYFUNCTION("""COMPUTED_VALUE"""),"purchase")</f>
        <v>purchase</v>
      </c>
      <c r="D1084" s="10">
        <f t="shared" si="1"/>
        <v>45392</v>
      </c>
      <c r="E1084" s="10">
        <f t="shared" si="2"/>
        <v>45390</v>
      </c>
      <c r="F1084" s="10">
        <f t="shared" si="3"/>
        <v>45383</v>
      </c>
      <c r="G1084" s="11"/>
    </row>
    <row r="1085">
      <c r="A1085" s="5">
        <f>IFERROR(__xludf.DUMMYFUNCTION("""COMPUTED_VALUE"""),2906.0)</f>
        <v>2906</v>
      </c>
      <c r="B1085" s="9">
        <f>IFERROR(__xludf.DUMMYFUNCTION("""COMPUTED_VALUE"""),45392.16678240741)</f>
        <v>45392.16678</v>
      </c>
      <c r="C1085" s="5" t="str">
        <f>IFERROR(__xludf.DUMMYFUNCTION("""COMPUTED_VALUE"""),"purchase")</f>
        <v>purchase</v>
      </c>
      <c r="D1085" s="10">
        <f t="shared" si="1"/>
        <v>45392</v>
      </c>
      <c r="E1085" s="10">
        <f t="shared" si="2"/>
        <v>45390</v>
      </c>
      <c r="F1085" s="10">
        <f t="shared" si="3"/>
        <v>45383</v>
      </c>
      <c r="G1085" s="11"/>
    </row>
    <row r="1086">
      <c r="A1086" s="5">
        <f>IFERROR(__xludf.DUMMYFUNCTION("""COMPUTED_VALUE"""),2081.0)</f>
        <v>2081</v>
      </c>
      <c r="B1086" s="9">
        <f>IFERROR(__xludf.DUMMYFUNCTION("""COMPUTED_VALUE"""),45392.33765046296)</f>
        <v>45392.33765</v>
      </c>
      <c r="C1086" s="5" t="str">
        <f>IFERROR(__xludf.DUMMYFUNCTION("""COMPUTED_VALUE"""),"purchase")</f>
        <v>purchase</v>
      </c>
      <c r="D1086" s="10">
        <f t="shared" si="1"/>
        <v>45392</v>
      </c>
      <c r="E1086" s="10">
        <f t="shared" si="2"/>
        <v>45390</v>
      </c>
      <c r="F1086" s="10">
        <f t="shared" si="3"/>
        <v>45383</v>
      </c>
      <c r="G1086" s="11"/>
    </row>
    <row r="1087">
      <c r="A1087" s="5">
        <f>IFERROR(__xludf.DUMMYFUNCTION("""COMPUTED_VALUE"""),4658.0)</f>
        <v>4658</v>
      </c>
      <c r="B1087" s="9">
        <f>IFERROR(__xludf.DUMMYFUNCTION("""COMPUTED_VALUE"""),45392.39524305556)</f>
        <v>45392.39524</v>
      </c>
      <c r="C1087" s="5" t="str">
        <f>IFERROR(__xludf.DUMMYFUNCTION("""COMPUTED_VALUE"""),"purchase")</f>
        <v>purchase</v>
      </c>
      <c r="D1087" s="10">
        <f t="shared" si="1"/>
        <v>45392</v>
      </c>
      <c r="E1087" s="10">
        <f t="shared" si="2"/>
        <v>45390</v>
      </c>
      <c r="F1087" s="10">
        <f t="shared" si="3"/>
        <v>45383</v>
      </c>
      <c r="G1087" s="11"/>
    </row>
    <row r="1088">
      <c r="A1088" s="5">
        <f>IFERROR(__xludf.DUMMYFUNCTION("""COMPUTED_VALUE"""),1413.0)</f>
        <v>1413</v>
      </c>
      <c r="B1088" s="9">
        <f>IFERROR(__xludf.DUMMYFUNCTION("""COMPUTED_VALUE"""),45392.44793981482)</f>
        <v>45392.44794</v>
      </c>
      <c r="C1088" s="5" t="str">
        <f>IFERROR(__xludf.DUMMYFUNCTION("""COMPUTED_VALUE"""),"purchase")</f>
        <v>purchase</v>
      </c>
      <c r="D1088" s="10">
        <f t="shared" si="1"/>
        <v>45392</v>
      </c>
      <c r="E1088" s="10">
        <f t="shared" si="2"/>
        <v>45390</v>
      </c>
      <c r="F1088" s="10">
        <f t="shared" si="3"/>
        <v>45383</v>
      </c>
      <c r="G1088" s="11"/>
    </row>
    <row r="1089">
      <c r="A1089" s="5">
        <f>IFERROR(__xludf.DUMMYFUNCTION("""COMPUTED_VALUE"""),5254.0)</f>
        <v>5254</v>
      </c>
      <c r="B1089" s="9">
        <f>IFERROR(__xludf.DUMMYFUNCTION("""COMPUTED_VALUE"""),45392.46916666667)</f>
        <v>45392.46917</v>
      </c>
      <c r="C1089" s="5" t="str">
        <f>IFERROR(__xludf.DUMMYFUNCTION("""COMPUTED_VALUE"""),"purchase")</f>
        <v>purchase</v>
      </c>
      <c r="D1089" s="10">
        <f t="shared" si="1"/>
        <v>45392</v>
      </c>
      <c r="E1089" s="10">
        <f t="shared" si="2"/>
        <v>45390</v>
      </c>
      <c r="F1089" s="10">
        <f t="shared" si="3"/>
        <v>45383</v>
      </c>
      <c r="G1089" s="11"/>
    </row>
    <row r="1090">
      <c r="A1090" s="5">
        <f>IFERROR(__xludf.DUMMYFUNCTION("""COMPUTED_VALUE"""),3800.0)</f>
        <v>3800</v>
      </c>
      <c r="B1090" s="9">
        <f>IFERROR(__xludf.DUMMYFUNCTION("""COMPUTED_VALUE"""),45392.55091435185)</f>
        <v>45392.55091</v>
      </c>
      <c r="C1090" s="5" t="str">
        <f>IFERROR(__xludf.DUMMYFUNCTION("""COMPUTED_VALUE"""),"purchase")</f>
        <v>purchase</v>
      </c>
      <c r="D1090" s="10">
        <f t="shared" si="1"/>
        <v>45392</v>
      </c>
      <c r="E1090" s="10">
        <f t="shared" si="2"/>
        <v>45390</v>
      </c>
      <c r="F1090" s="10">
        <f t="shared" si="3"/>
        <v>45383</v>
      </c>
      <c r="G1090" s="11"/>
    </row>
    <row r="1091">
      <c r="A1091" s="5">
        <f>IFERROR(__xludf.DUMMYFUNCTION("""COMPUTED_VALUE"""),5403.0)</f>
        <v>5403</v>
      </c>
      <c r="B1091" s="9">
        <f>IFERROR(__xludf.DUMMYFUNCTION("""COMPUTED_VALUE"""),45392.58005787037)</f>
        <v>45392.58006</v>
      </c>
      <c r="C1091" s="5" t="str">
        <f>IFERROR(__xludf.DUMMYFUNCTION("""COMPUTED_VALUE"""),"purchase")</f>
        <v>purchase</v>
      </c>
      <c r="D1091" s="10">
        <f t="shared" si="1"/>
        <v>45392</v>
      </c>
      <c r="E1091" s="10">
        <f t="shared" si="2"/>
        <v>45390</v>
      </c>
      <c r="F1091" s="10">
        <f t="shared" si="3"/>
        <v>45383</v>
      </c>
      <c r="G1091" s="11"/>
    </row>
    <row r="1092">
      <c r="A1092" s="5">
        <f>IFERROR(__xludf.DUMMYFUNCTION("""COMPUTED_VALUE"""),2246.0)</f>
        <v>2246</v>
      </c>
      <c r="B1092" s="9">
        <f>IFERROR(__xludf.DUMMYFUNCTION("""COMPUTED_VALUE"""),45392.74420138889)</f>
        <v>45392.7442</v>
      </c>
      <c r="C1092" s="5" t="str">
        <f>IFERROR(__xludf.DUMMYFUNCTION("""COMPUTED_VALUE"""),"purchase")</f>
        <v>purchase</v>
      </c>
      <c r="D1092" s="10">
        <f t="shared" si="1"/>
        <v>45392</v>
      </c>
      <c r="E1092" s="10">
        <f t="shared" si="2"/>
        <v>45390</v>
      </c>
      <c r="F1092" s="10">
        <f t="shared" si="3"/>
        <v>45383</v>
      </c>
      <c r="G1092" s="11"/>
    </row>
    <row r="1093">
      <c r="A1093" s="5">
        <f>IFERROR(__xludf.DUMMYFUNCTION("""COMPUTED_VALUE"""),5065.0)</f>
        <v>5065</v>
      </c>
      <c r="B1093" s="9">
        <f>IFERROR(__xludf.DUMMYFUNCTION("""COMPUTED_VALUE"""),45392.78533564815)</f>
        <v>45392.78534</v>
      </c>
      <c r="C1093" s="5" t="str">
        <f>IFERROR(__xludf.DUMMYFUNCTION("""COMPUTED_VALUE"""),"purchase")</f>
        <v>purchase</v>
      </c>
      <c r="D1093" s="10">
        <f t="shared" si="1"/>
        <v>45392</v>
      </c>
      <c r="E1093" s="10">
        <f t="shared" si="2"/>
        <v>45390</v>
      </c>
      <c r="F1093" s="10">
        <f t="shared" si="3"/>
        <v>45383</v>
      </c>
      <c r="G1093" s="11"/>
    </row>
    <row r="1094">
      <c r="A1094" s="5">
        <f>IFERROR(__xludf.DUMMYFUNCTION("""COMPUTED_VALUE"""),1966.0)</f>
        <v>1966</v>
      </c>
      <c r="B1094" s="9">
        <f>IFERROR(__xludf.DUMMYFUNCTION("""COMPUTED_VALUE"""),45392.95684027778)</f>
        <v>45392.95684</v>
      </c>
      <c r="C1094" s="5" t="str">
        <f>IFERROR(__xludf.DUMMYFUNCTION("""COMPUTED_VALUE"""),"purchase")</f>
        <v>purchase</v>
      </c>
      <c r="D1094" s="10">
        <f t="shared" si="1"/>
        <v>45392</v>
      </c>
      <c r="E1094" s="10">
        <f t="shared" si="2"/>
        <v>45390</v>
      </c>
      <c r="F1094" s="10">
        <f t="shared" si="3"/>
        <v>45383</v>
      </c>
      <c r="G1094" s="11"/>
    </row>
    <row r="1095">
      <c r="A1095" s="5">
        <f>IFERROR(__xludf.DUMMYFUNCTION("""COMPUTED_VALUE"""),533.0)</f>
        <v>533</v>
      </c>
      <c r="B1095" s="9">
        <f>IFERROR(__xludf.DUMMYFUNCTION("""COMPUTED_VALUE"""),45392.98496527778)</f>
        <v>45392.98497</v>
      </c>
      <c r="C1095" s="5" t="str">
        <f>IFERROR(__xludf.DUMMYFUNCTION("""COMPUTED_VALUE"""),"purchase")</f>
        <v>purchase</v>
      </c>
      <c r="D1095" s="10">
        <f t="shared" si="1"/>
        <v>45392</v>
      </c>
      <c r="E1095" s="10">
        <f t="shared" si="2"/>
        <v>45390</v>
      </c>
      <c r="F1095" s="10">
        <f t="shared" si="3"/>
        <v>45383</v>
      </c>
      <c r="G1095" s="11"/>
    </row>
    <row r="1096">
      <c r="A1096" s="5">
        <f>IFERROR(__xludf.DUMMYFUNCTION("""COMPUTED_VALUE"""),5210.0)</f>
        <v>5210</v>
      </c>
      <c r="B1096" s="9">
        <f>IFERROR(__xludf.DUMMYFUNCTION("""COMPUTED_VALUE"""),45393.217986111114)</f>
        <v>45393.21799</v>
      </c>
      <c r="C1096" s="5" t="str">
        <f>IFERROR(__xludf.DUMMYFUNCTION("""COMPUTED_VALUE"""),"purchase")</f>
        <v>purchase</v>
      </c>
      <c r="D1096" s="10">
        <f t="shared" si="1"/>
        <v>45393</v>
      </c>
      <c r="E1096" s="10">
        <f t="shared" si="2"/>
        <v>45390</v>
      </c>
      <c r="F1096" s="10">
        <f t="shared" si="3"/>
        <v>45383</v>
      </c>
      <c r="G1096" s="11"/>
    </row>
    <row r="1097">
      <c r="A1097" s="5">
        <f>IFERROR(__xludf.DUMMYFUNCTION("""COMPUTED_VALUE"""),1673.0)</f>
        <v>1673</v>
      </c>
      <c r="B1097" s="9">
        <f>IFERROR(__xludf.DUMMYFUNCTION("""COMPUTED_VALUE"""),45393.40857638889)</f>
        <v>45393.40858</v>
      </c>
      <c r="C1097" s="5" t="str">
        <f>IFERROR(__xludf.DUMMYFUNCTION("""COMPUTED_VALUE"""),"purchase")</f>
        <v>purchase</v>
      </c>
      <c r="D1097" s="10">
        <f t="shared" si="1"/>
        <v>45393</v>
      </c>
      <c r="E1097" s="10">
        <f t="shared" si="2"/>
        <v>45390</v>
      </c>
      <c r="F1097" s="10">
        <f t="shared" si="3"/>
        <v>45383</v>
      </c>
      <c r="G1097" s="11"/>
    </row>
    <row r="1098">
      <c r="A1098" s="5">
        <f>IFERROR(__xludf.DUMMYFUNCTION("""COMPUTED_VALUE"""),1644.0)</f>
        <v>1644</v>
      </c>
      <c r="B1098" s="9">
        <f>IFERROR(__xludf.DUMMYFUNCTION("""COMPUTED_VALUE"""),45393.41721064815)</f>
        <v>45393.41721</v>
      </c>
      <c r="C1098" s="5" t="str">
        <f>IFERROR(__xludf.DUMMYFUNCTION("""COMPUTED_VALUE"""),"purchase")</f>
        <v>purchase</v>
      </c>
      <c r="D1098" s="10">
        <f t="shared" si="1"/>
        <v>45393</v>
      </c>
      <c r="E1098" s="10">
        <f t="shared" si="2"/>
        <v>45390</v>
      </c>
      <c r="F1098" s="10">
        <f t="shared" si="3"/>
        <v>45383</v>
      </c>
      <c r="G1098" s="11"/>
    </row>
    <row r="1099">
      <c r="A1099" s="5">
        <f>IFERROR(__xludf.DUMMYFUNCTION("""COMPUTED_VALUE"""),264.0)</f>
        <v>264</v>
      </c>
      <c r="B1099" s="9">
        <f>IFERROR(__xludf.DUMMYFUNCTION("""COMPUTED_VALUE"""),45393.51548611111)</f>
        <v>45393.51549</v>
      </c>
      <c r="C1099" s="5" t="str">
        <f>IFERROR(__xludf.DUMMYFUNCTION("""COMPUTED_VALUE"""),"purchase")</f>
        <v>purchase</v>
      </c>
      <c r="D1099" s="10">
        <f t="shared" si="1"/>
        <v>45393</v>
      </c>
      <c r="E1099" s="10">
        <f t="shared" si="2"/>
        <v>45390</v>
      </c>
      <c r="F1099" s="10">
        <f t="shared" si="3"/>
        <v>45383</v>
      </c>
      <c r="G1099" s="11"/>
    </row>
    <row r="1100">
      <c r="A1100" s="5">
        <f>IFERROR(__xludf.DUMMYFUNCTION("""COMPUTED_VALUE"""),2374.0)</f>
        <v>2374</v>
      </c>
      <c r="B1100" s="9">
        <f>IFERROR(__xludf.DUMMYFUNCTION("""COMPUTED_VALUE"""),45393.57960648148)</f>
        <v>45393.57961</v>
      </c>
      <c r="C1100" s="5" t="str">
        <f>IFERROR(__xludf.DUMMYFUNCTION("""COMPUTED_VALUE"""),"purchase")</f>
        <v>purchase</v>
      </c>
      <c r="D1100" s="10">
        <f t="shared" si="1"/>
        <v>45393</v>
      </c>
      <c r="E1100" s="10">
        <f t="shared" si="2"/>
        <v>45390</v>
      </c>
      <c r="F1100" s="10">
        <f t="shared" si="3"/>
        <v>45383</v>
      </c>
      <c r="G1100" s="11"/>
    </row>
    <row r="1101">
      <c r="A1101" s="5">
        <f>IFERROR(__xludf.DUMMYFUNCTION("""COMPUTED_VALUE"""),7618.0)</f>
        <v>7618</v>
      </c>
      <c r="B1101" s="9">
        <f>IFERROR(__xludf.DUMMYFUNCTION("""COMPUTED_VALUE"""),45393.62087962963)</f>
        <v>45393.62088</v>
      </c>
      <c r="C1101" s="5" t="str">
        <f>IFERROR(__xludf.DUMMYFUNCTION("""COMPUTED_VALUE"""),"purchase")</f>
        <v>purchase</v>
      </c>
      <c r="D1101" s="10">
        <f t="shared" si="1"/>
        <v>45393</v>
      </c>
      <c r="E1101" s="10">
        <f t="shared" si="2"/>
        <v>45390</v>
      </c>
      <c r="F1101" s="10">
        <f t="shared" si="3"/>
        <v>45383</v>
      </c>
      <c r="G1101" s="11"/>
    </row>
    <row r="1102">
      <c r="A1102" s="5">
        <f>IFERROR(__xludf.DUMMYFUNCTION("""COMPUTED_VALUE"""),1169.0)</f>
        <v>1169</v>
      </c>
      <c r="B1102" s="9">
        <f>IFERROR(__xludf.DUMMYFUNCTION("""COMPUTED_VALUE"""),45393.96199074074)</f>
        <v>45393.96199</v>
      </c>
      <c r="C1102" s="5" t="str">
        <f>IFERROR(__xludf.DUMMYFUNCTION("""COMPUTED_VALUE"""),"purchase")</f>
        <v>purchase</v>
      </c>
      <c r="D1102" s="10">
        <f t="shared" si="1"/>
        <v>45393</v>
      </c>
      <c r="E1102" s="10">
        <f t="shared" si="2"/>
        <v>45390</v>
      </c>
      <c r="F1102" s="10">
        <f t="shared" si="3"/>
        <v>45383</v>
      </c>
      <c r="G1102" s="11"/>
    </row>
    <row r="1103">
      <c r="A1103" s="5">
        <f>IFERROR(__xludf.DUMMYFUNCTION("""COMPUTED_VALUE"""),6827.0)</f>
        <v>6827</v>
      </c>
      <c r="B1103" s="9">
        <f>IFERROR(__xludf.DUMMYFUNCTION("""COMPUTED_VALUE"""),45393.992581018516)</f>
        <v>45393.99258</v>
      </c>
      <c r="C1103" s="5" t="str">
        <f>IFERROR(__xludf.DUMMYFUNCTION("""COMPUTED_VALUE"""),"purchase")</f>
        <v>purchase</v>
      </c>
      <c r="D1103" s="10">
        <f t="shared" si="1"/>
        <v>45393</v>
      </c>
      <c r="E1103" s="10">
        <f t="shared" si="2"/>
        <v>45390</v>
      </c>
      <c r="F1103" s="10">
        <f t="shared" si="3"/>
        <v>45383</v>
      </c>
      <c r="G1103" s="11"/>
    </row>
    <row r="1104">
      <c r="A1104" s="5">
        <f>IFERROR(__xludf.DUMMYFUNCTION("""COMPUTED_VALUE"""),70.0)</f>
        <v>70</v>
      </c>
      <c r="B1104" s="9">
        <f>IFERROR(__xludf.DUMMYFUNCTION("""COMPUTED_VALUE"""),45394.05180555556)</f>
        <v>45394.05181</v>
      </c>
      <c r="C1104" s="5" t="str">
        <f>IFERROR(__xludf.DUMMYFUNCTION("""COMPUTED_VALUE"""),"purchase")</f>
        <v>purchase</v>
      </c>
      <c r="D1104" s="10">
        <f t="shared" si="1"/>
        <v>45394</v>
      </c>
      <c r="E1104" s="10">
        <f t="shared" si="2"/>
        <v>45390</v>
      </c>
      <c r="F1104" s="10">
        <f t="shared" si="3"/>
        <v>45383</v>
      </c>
      <c r="G1104" s="11"/>
    </row>
    <row r="1105">
      <c r="A1105" s="5">
        <f>IFERROR(__xludf.DUMMYFUNCTION("""COMPUTED_VALUE"""),829.0)</f>
        <v>829</v>
      </c>
      <c r="B1105" s="9">
        <f>IFERROR(__xludf.DUMMYFUNCTION("""COMPUTED_VALUE"""),45394.06450231482)</f>
        <v>45394.0645</v>
      </c>
      <c r="C1105" s="5" t="str">
        <f>IFERROR(__xludf.DUMMYFUNCTION("""COMPUTED_VALUE"""),"purchase")</f>
        <v>purchase</v>
      </c>
      <c r="D1105" s="10">
        <f t="shared" si="1"/>
        <v>45394</v>
      </c>
      <c r="E1105" s="10">
        <f t="shared" si="2"/>
        <v>45390</v>
      </c>
      <c r="F1105" s="10">
        <f t="shared" si="3"/>
        <v>45383</v>
      </c>
      <c r="G1105" s="11"/>
    </row>
    <row r="1106">
      <c r="A1106" s="5">
        <f>IFERROR(__xludf.DUMMYFUNCTION("""COMPUTED_VALUE"""),6483.0)</f>
        <v>6483</v>
      </c>
      <c r="B1106" s="9">
        <f>IFERROR(__xludf.DUMMYFUNCTION("""COMPUTED_VALUE"""),45394.06993055555)</f>
        <v>45394.06993</v>
      </c>
      <c r="C1106" s="5" t="str">
        <f>IFERROR(__xludf.DUMMYFUNCTION("""COMPUTED_VALUE"""),"purchase")</f>
        <v>purchase</v>
      </c>
      <c r="D1106" s="10">
        <f t="shared" si="1"/>
        <v>45394</v>
      </c>
      <c r="E1106" s="10">
        <f t="shared" si="2"/>
        <v>45390</v>
      </c>
      <c r="F1106" s="10">
        <f t="shared" si="3"/>
        <v>45383</v>
      </c>
      <c r="G1106" s="11"/>
    </row>
    <row r="1107">
      <c r="A1107" s="5">
        <f>IFERROR(__xludf.DUMMYFUNCTION("""COMPUTED_VALUE"""),4690.0)</f>
        <v>4690</v>
      </c>
      <c r="B1107" s="9">
        <f>IFERROR(__xludf.DUMMYFUNCTION("""COMPUTED_VALUE"""),45394.22630787037)</f>
        <v>45394.22631</v>
      </c>
      <c r="C1107" s="5" t="str">
        <f>IFERROR(__xludf.DUMMYFUNCTION("""COMPUTED_VALUE"""),"purchase")</f>
        <v>purchase</v>
      </c>
      <c r="D1107" s="10">
        <f t="shared" si="1"/>
        <v>45394</v>
      </c>
      <c r="E1107" s="10">
        <f t="shared" si="2"/>
        <v>45390</v>
      </c>
      <c r="F1107" s="10">
        <f t="shared" si="3"/>
        <v>45383</v>
      </c>
      <c r="G1107" s="11"/>
    </row>
    <row r="1108">
      <c r="A1108" s="5">
        <f>IFERROR(__xludf.DUMMYFUNCTION("""COMPUTED_VALUE"""),2021.0)</f>
        <v>2021</v>
      </c>
      <c r="B1108" s="9">
        <f>IFERROR(__xludf.DUMMYFUNCTION("""COMPUTED_VALUE"""),45394.27228009259)</f>
        <v>45394.27228</v>
      </c>
      <c r="C1108" s="5" t="str">
        <f>IFERROR(__xludf.DUMMYFUNCTION("""COMPUTED_VALUE"""),"purchase")</f>
        <v>purchase</v>
      </c>
      <c r="D1108" s="10">
        <f t="shared" si="1"/>
        <v>45394</v>
      </c>
      <c r="E1108" s="10">
        <f t="shared" si="2"/>
        <v>45390</v>
      </c>
      <c r="F1108" s="10">
        <f t="shared" si="3"/>
        <v>45383</v>
      </c>
      <c r="G1108" s="11"/>
    </row>
    <row r="1109">
      <c r="A1109" s="5">
        <f>IFERROR(__xludf.DUMMYFUNCTION("""COMPUTED_VALUE"""),1114.0)</f>
        <v>1114</v>
      </c>
      <c r="B1109" s="9">
        <f>IFERROR(__xludf.DUMMYFUNCTION("""COMPUTED_VALUE"""),45394.2890162037)</f>
        <v>45394.28902</v>
      </c>
      <c r="C1109" s="5" t="str">
        <f>IFERROR(__xludf.DUMMYFUNCTION("""COMPUTED_VALUE"""),"purchase")</f>
        <v>purchase</v>
      </c>
      <c r="D1109" s="10">
        <f t="shared" si="1"/>
        <v>45394</v>
      </c>
      <c r="E1109" s="10">
        <f t="shared" si="2"/>
        <v>45390</v>
      </c>
      <c r="F1109" s="10">
        <f t="shared" si="3"/>
        <v>45383</v>
      </c>
      <c r="G1109" s="11"/>
    </row>
    <row r="1110">
      <c r="A1110" s="5">
        <f>IFERROR(__xludf.DUMMYFUNCTION("""COMPUTED_VALUE"""),1794.0)</f>
        <v>1794</v>
      </c>
      <c r="B1110" s="9">
        <f>IFERROR(__xludf.DUMMYFUNCTION("""COMPUTED_VALUE"""),45394.29121527778)</f>
        <v>45394.29122</v>
      </c>
      <c r="C1110" s="5" t="str">
        <f>IFERROR(__xludf.DUMMYFUNCTION("""COMPUTED_VALUE"""),"purchase")</f>
        <v>purchase</v>
      </c>
      <c r="D1110" s="10">
        <f t="shared" si="1"/>
        <v>45394</v>
      </c>
      <c r="E1110" s="10">
        <f t="shared" si="2"/>
        <v>45390</v>
      </c>
      <c r="F1110" s="10">
        <f t="shared" si="3"/>
        <v>45383</v>
      </c>
      <c r="G1110" s="11"/>
    </row>
    <row r="1111">
      <c r="A1111" s="5">
        <f>IFERROR(__xludf.DUMMYFUNCTION("""COMPUTED_VALUE"""),6505.0)</f>
        <v>6505</v>
      </c>
      <c r="B1111" s="9">
        <f>IFERROR(__xludf.DUMMYFUNCTION("""COMPUTED_VALUE"""),45394.458506944444)</f>
        <v>45394.45851</v>
      </c>
      <c r="C1111" s="5" t="str">
        <f>IFERROR(__xludf.DUMMYFUNCTION("""COMPUTED_VALUE"""),"purchase")</f>
        <v>purchase</v>
      </c>
      <c r="D1111" s="10">
        <f t="shared" si="1"/>
        <v>45394</v>
      </c>
      <c r="E1111" s="10">
        <f t="shared" si="2"/>
        <v>45390</v>
      </c>
      <c r="F1111" s="10">
        <f t="shared" si="3"/>
        <v>45383</v>
      </c>
      <c r="G1111" s="11"/>
    </row>
    <row r="1112">
      <c r="A1112" s="5">
        <f>IFERROR(__xludf.DUMMYFUNCTION("""COMPUTED_VALUE"""),3051.0)</f>
        <v>3051</v>
      </c>
      <c r="B1112" s="9">
        <f>IFERROR(__xludf.DUMMYFUNCTION("""COMPUTED_VALUE"""),45394.66296296296)</f>
        <v>45394.66296</v>
      </c>
      <c r="C1112" s="5" t="str">
        <f>IFERROR(__xludf.DUMMYFUNCTION("""COMPUTED_VALUE"""),"purchase")</f>
        <v>purchase</v>
      </c>
      <c r="D1112" s="10">
        <f t="shared" si="1"/>
        <v>45394</v>
      </c>
      <c r="E1112" s="10">
        <f t="shared" si="2"/>
        <v>45390</v>
      </c>
      <c r="F1112" s="10">
        <f t="shared" si="3"/>
        <v>45383</v>
      </c>
      <c r="G1112" s="11"/>
    </row>
    <row r="1113">
      <c r="A1113" s="5">
        <f>IFERROR(__xludf.DUMMYFUNCTION("""COMPUTED_VALUE"""),258.0)</f>
        <v>258</v>
      </c>
      <c r="B1113" s="9">
        <f>IFERROR(__xludf.DUMMYFUNCTION("""COMPUTED_VALUE"""),45394.66324074074)</f>
        <v>45394.66324</v>
      </c>
      <c r="C1113" s="5" t="str">
        <f>IFERROR(__xludf.DUMMYFUNCTION("""COMPUTED_VALUE"""),"purchase")</f>
        <v>purchase</v>
      </c>
      <c r="D1113" s="10">
        <f t="shared" si="1"/>
        <v>45394</v>
      </c>
      <c r="E1113" s="10">
        <f t="shared" si="2"/>
        <v>45390</v>
      </c>
      <c r="F1113" s="10">
        <f t="shared" si="3"/>
        <v>45383</v>
      </c>
      <c r="G1113" s="11"/>
    </row>
    <row r="1114">
      <c r="A1114" s="5">
        <f>IFERROR(__xludf.DUMMYFUNCTION("""COMPUTED_VALUE"""),7418.0)</f>
        <v>7418</v>
      </c>
      <c r="B1114" s="9">
        <f>IFERROR(__xludf.DUMMYFUNCTION("""COMPUTED_VALUE"""),45394.88513888889)</f>
        <v>45394.88514</v>
      </c>
      <c r="C1114" s="5" t="str">
        <f>IFERROR(__xludf.DUMMYFUNCTION("""COMPUTED_VALUE"""),"purchase")</f>
        <v>purchase</v>
      </c>
      <c r="D1114" s="10">
        <f t="shared" si="1"/>
        <v>45394</v>
      </c>
      <c r="E1114" s="10">
        <f t="shared" si="2"/>
        <v>45390</v>
      </c>
      <c r="F1114" s="10">
        <f t="shared" si="3"/>
        <v>45383</v>
      </c>
      <c r="G1114" s="11"/>
    </row>
    <row r="1115">
      <c r="A1115" s="5">
        <f>IFERROR(__xludf.DUMMYFUNCTION("""COMPUTED_VALUE"""),3232.0)</f>
        <v>3232</v>
      </c>
      <c r="B1115" s="9">
        <f>IFERROR(__xludf.DUMMYFUNCTION("""COMPUTED_VALUE"""),45394.94012731482)</f>
        <v>45394.94013</v>
      </c>
      <c r="C1115" s="5" t="str">
        <f>IFERROR(__xludf.DUMMYFUNCTION("""COMPUTED_VALUE"""),"purchase")</f>
        <v>purchase</v>
      </c>
      <c r="D1115" s="10">
        <f t="shared" si="1"/>
        <v>45394</v>
      </c>
      <c r="E1115" s="10">
        <f t="shared" si="2"/>
        <v>45390</v>
      </c>
      <c r="F1115" s="10">
        <f t="shared" si="3"/>
        <v>45383</v>
      </c>
      <c r="G1115" s="11"/>
    </row>
    <row r="1116">
      <c r="A1116" s="5">
        <f>IFERROR(__xludf.DUMMYFUNCTION("""COMPUTED_VALUE"""),379.0)</f>
        <v>379</v>
      </c>
      <c r="B1116" s="9">
        <f>IFERROR(__xludf.DUMMYFUNCTION("""COMPUTED_VALUE"""),45395.15986111111)</f>
        <v>45395.15986</v>
      </c>
      <c r="C1116" s="5" t="str">
        <f>IFERROR(__xludf.DUMMYFUNCTION("""COMPUTED_VALUE"""),"purchase")</f>
        <v>purchase</v>
      </c>
      <c r="D1116" s="10">
        <f t="shared" si="1"/>
        <v>45395</v>
      </c>
      <c r="E1116" s="10">
        <f t="shared" si="2"/>
        <v>45390</v>
      </c>
      <c r="F1116" s="10">
        <f t="shared" si="3"/>
        <v>45383</v>
      </c>
      <c r="G1116" s="11"/>
    </row>
    <row r="1117">
      <c r="A1117" s="5">
        <f>IFERROR(__xludf.DUMMYFUNCTION("""COMPUTED_VALUE"""),7903.0)</f>
        <v>7903</v>
      </c>
      <c r="B1117" s="9">
        <f>IFERROR(__xludf.DUMMYFUNCTION("""COMPUTED_VALUE"""),45395.19865740741)</f>
        <v>45395.19866</v>
      </c>
      <c r="C1117" s="5" t="str">
        <f>IFERROR(__xludf.DUMMYFUNCTION("""COMPUTED_VALUE"""),"purchase")</f>
        <v>purchase</v>
      </c>
      <c r="D1117" s="10">
        <f t="shared" si="1"/>
        <v>45395</v>
      </c>
      <c r="E1117" s="10">
        <f t="shared" si="2"/>
        <v>45390</v>
      </c>
      <c r="F1117" s="10">
        <f t="shared" si="3"/>
        <v>45383</v>
      </c>
      <c r="G1117" s="11"/>
    </row>
    <row r="1118">
      <c r="A1118" s="5">
        <f>IFERROR(__xludf.DUMMYFUNCTION("""COMPUTED_VALUE"""),5549.0)</f>
        <v>5549</v>
      </c>
      <c r="B1118" s="9">
        <f>IFERROR(__xludf.DUMMYFUNCTION("""COMPUTED_VALUE"""),45395.296111111114)</f>
        <v>45395.29611</v>
      </c>
      <c r="C1118" s="5" t="str">
        <f>IFERROR(__xludf.DUMMYFUNCTION("""COMPUTED_VALUE"""),"purchase")</f>
        <v>purchase</v>
      </c>
      <c r="D1118" s="10">
        <f t="shared" si="1"/>
        <v>45395</v>
      </c>
      <c r="E1118" s="10">
        <f t="shared" si="2"/>
        <v>45390</v>
      </c>
      <c r="F1118" s="10">
        <f t="shared" si="3"/>
        <v>45383</v>
      </c>
      <c r="G1118" s="11"/>
    </row>
    <row r="1119">
      <c r="A1119" s="5">
        <f>IFERROR(__xludf.DUMMYFUNCTION("""COMPUTED_VALUE"""),2457.0)</f>
        <v>2457</v>
      </c>
      <c r="B1119" s="9">
        <f>IFERROR(__xludf.DUMMYFUNCTION("""COMPUTED_VALUE"""),45395.323842592596)</f>
        <v>45395.32384</v>
      </c>
      <c r="C1119" s="5" t="str">
        <f>IFERROR(__xludf.DUMMYFUNCTION("""COMPUTED_VALUE"""),"purchase")</f>
        <v>purchase</v>
      </c>
      <c r="D1119" s="10">
        <f t="shared" si="1"/>
        <v>45395</v>
      </c>
      <c r="E1119" s="10">
        <f t="shared" si="2"/>
        <v>45390</v>
      </c>
      <c r="F1119" s="10">
        <f t="shared" si="3"/>
        <v>45383</v>
      </c>
      <c r="G1119" s="11"/>
    </row>
    <row r="1120">
      <c r="A1120" s="5">
        <f>IFERROR(__xludf.DUMMYFUNCTION("""COMPUTED_VALUE"""),4657.0)</f>
        <v>4657</v>
      </c>
      <c r="B1120" s="9">
        <f>IFERROR(__xludf.DUMMYFUNCTION("""COMPUTED_VALUE"""),45395.852106481485)</f>
        <v>45395.85211</v>
      </c>
      <c r="C1120" s="5" t="str">
        <f>IFERROR(__xludf.DUMMYFUNCTION("""COMPUTED_VALUE"""),"purchase")</f>
        <v>purchase</v>
      </c>
      <c r="D1120" s="10">
        <f t="shared" si="1"/>
        <v>45395</v>
      </c>
      <c r="E1120" s="10">
        <f t="shared" si="2"/>
        <v>45390</v>
      </c>
      <c r="F1120" s="10">
        <f t="shared" si="3"/>
        <v>45383</v>
      </c>
      <c r="G1120" s="11"/>
    </row>
    <row r="1121">
      <c r="A1121" s="5">
        <f>IFERROR(__xludf.DUMMYFUNCTION("""COMPUTED_VALUE"""),2573.0)</f>
        <v>2573</v>
      </c>
      <c r="B1121" s="9">
        <f>IFERROR(__xludf.DUMMYFUNCTION("""COMPUTED_VALUE"""),45395.99699074074)</f>
        <v>45395.99699</v>
      </c>
      <c r="C1121" s="5" t="str">
        <f>IFERROR(__xludf.DUMMYFUNCTION("""COMPUTED_VALUE"""),"purchase")</f>
        <v>purchase</v>
      </c>
      <c r="D1121" s="10">
        <f t="shared" si="1"/>
        <v>45395</v>
      </c>
      <c r="E1121" s="10">
        <f t="shared" si="2"/>
        <v>45390</v>
      </c>
      <c r="F1121" s="10">
        <f t="shared" si="3"/>
        <v>45383</v>
      </c>
      <c r="G1121" s="11"/>
    </row>
    <row r="1122">
      <c r="A1122" s="5">
        <f>IFERROR(__xludf.DUMMYFUNCTION("""COMPUTED_VALUE"""),3239.0)</f>
        <v>3239</v>
      </c>
      <c r="B1122" s="9">
        <f>IFERROR(__xludf.DUMMYFUNCTION("""COMPUTED_VALUE"""),45396.002175925925)</f>
        <v>45396.00218</v>
      </c>
      <c r="C1122" s="5" t="str">
        <f>IFERROR(__xludf.DUMMYFUNCTION("""COMPUTED_VALUE"""),"purchase")</f>
        <v>purchase</v>
      </c>
      <c r="D1122" s="10">
        <f t="shared" si="1"/>
        <v>45396</v>
      </c>
      <c r="E1122" s="10">
        <f t="shared" si="2"/>
        <v>45390</v>
      </c>
      <c r="F1122" s="10">
        <f t="shared" si="3"/>
        <v>45383</v>
      </c>
      <c r="G1122" s="11"/>
    </row>
    <row r="1123">
      <c r="A1123" s="5">
        <f>IFERROR(__xludf.DUMMYFUNCTION("""COMPUTED_VALUE"""),4627.0)</f>
        <v>4627</v>
      </c>
      <c r="B1123" s="9">
        <f>IFERROR(__xludf.DUMMYFUNCTION("""COMPUTED_VALUE"""),45396.072060185186)</f>
        <v>45396.07206</v>
      </c>
      <c r="C1123" s="5" t="str">
        <f>IFERROR(__xludf.DUMMYFUNCTION("""COMPUTED_VALUE"""),"purchase")</f>
        <v>purchase</v>
      </c>
      <c r="D1123" s="10">
        <f t="shared" si="1"/>
        <v>45396</v>
      </c>
      <c r="E1123" s="10">
        <f t="shared" si="2"/>
        <v>45390</v>
      </c>
      <c r="F1123" s="10">
        <f t="shared" si="3"/>
        <v>45383</v>
      </c>
      <c r="G1123" s="11"/>
    </row>
    <row r="1124">
      <c r="A1124" s="5">
        <f>IFERROR(__xludf.DUMMYFUNCTION("""COMPUTED_VALUE"""),2084.0)</f>
        <v>2084</v>
      </c>
      <c r="B1124" s="9">
        <f>IFERROR(__xludf.DUMMYFUNCTION("""COMPUTED_VALUE"""),45396.15241898148)</f>
        <v>45396.15242</v>
      </c>
      <c r="C1124" s="5" t="str">
        <f>IFERROR(__xludf.DUMMYFUNCTION("""COMPUTED_VALUE"""),"purchase")</f>
        <v>purchase</v>
      </c>
      <c r="D1124" s="10">
        <f t="shared" si="1"/>
        <v>45396</v>
      </c>
      <c r="E1124" s="10">
        <f t="shared" si="2"/>
        <v>45390</v>
      </c>
      <c r="F1124" s="10">
        <f t="shared" si="3"/>
        <v>45383</v>
      </c>
      <c r="G1124" s="11"/>
    </row>
    <row r="1125">
      <c r="A1125" s="5">
        <f>IFERROR(__xludf.DUMMYFUNCTION("""COMPUTED_VALUE"""),5741.0)</f>
        <v>5741</v>
      </c>
      <c r="B1125" s="9">
        <f>IFERROR(__xludf.DUMMYFUNCTION("""COMPUTED_VALUE"""),45396.21965277778)</f>
        <v>45396.21965</v>
      </c>
      <c r="C1125" s="5" t="str">
        <f>IFERROR(__xludf.DUMMYFUNCTION("""COMPUTED_VALUE"""),"purchase")</f>
        <v>purchase</v>
      </c>
      <c r="D1125" s="10">
        <f t="shared" si="1"/>
        <v>45396</v>
      </c>
      <c r="E1125" s="10">
        <f t="shared" si="2"/>
        <v>45390</v>
      </c>
      <c r="F1125" s="10">
        <f t="shared" si="3"/>
        <v>45383</v>
      </c>
      <c r="G1125" s="11"/>
    </row>
    <row r="1126">
      <c r="A1126" s="5">
        <f>IFERROR(__xludf.DUMMYFUNCTION("""COMPUTED_VALUE"""),5783.0)</f>
        <v>5783</v>
      </c>
      <c r="B1126" s="9">
        <f>IFERROR(__xludf.DUMMYFUNCTION("""COMPUTED_VALUE"""),45396.264085648145)</f>
        <v>45396.26409</v>
      </c>
      <c r="C1126" s="5" t="str">
        <f>IFERROR(__xludf.DUMMYFUNCTION("""COMPUTED_VALUE"""),"purchase")</f>
        <v>purchase</v>
      </c>
      <c r="D1126" s="10">
        <f t="shared" si="1"/>
        <v>45396</v>
      </c>
      <c r="E1126" s="10">
        <f t="shared" si="2"/>
        <v>45390</v>
      </c>
      <c r="F1126" s="10">
        <f t="shared" si="3"/>
        <v>45383</v>
      </c>
      <c r="G1126" s="11"/>
    </row>
    <row r="1127">
      <c r="A1127" s="5">
        <f>IFERROR(__xludf.DUMMYFUNCTION("""COMPUTED_VALUE"""),4582.0)</f>
        <v>4582</v>
      </c>
      <c r="B1127" s="9">
        <f>IFERROR(__xludf.DUMMYFUNCTION("""COMPUTED_VALUE"""),45396.31346064815)</f>
        <v>45396.31346</v>
      </c>
      <c r="C1127" s="5" t="str">
        <f>IFERROR(__xludf.DUMMYFUNCTION("""COMPUTED_VALUE"""),"purchase")</f>
        <v>purchase</v>
      </c>
      <c r="D1127" s="10">
        <f t="shared" si="1"/>
        <v>45396</v>
      </c>
      <c r="E1127" s="10">
        <f t="shared" si="2"/>
        <v>45390</v>
      </c>
      <c r="F1127" s="10">
        <f t="shared" si="3"/>
        <v>45383</v>
      </c>
      <c r="G1127" s="11"/>
    </row>
    <row r="1128">
      <c r="A1128" s="5">
        <f>IFERROR(__xludf.DUMMYFUNCTION("""COMPUTED_VALUE"""),6229.0)</f>
        <v>6229</v>
      </c>
      <c r="B1128" s="9">
        <f>IFERROR(__xludf.DUMMYFUNCTION("""COMPUTED_VALUE"""),45396.49125)</f>
        <v>45396.49125</v>
      </c>
      <c r="C1128" s="5" t="str">
        <f>IFERROR(__xludf.DUMMYFUNCTION("""COMPUTED_VALUE"""),"purchase")</f>
        <v>purchase</v>
      </c>
      <c r="D1128" s="10">
        <f t="shared" si="1"/>
        <v>45396</v>
      </c>
      <c r="E1128" s="10">
        <f t="shared" si="2"/>
        <v>45390</v>
      </c>
      <c r="F1128" s="10">
        <f t="shared" si="3"/>
        <v>45383</v>
      </c>
      <c r="G1128" s="11"/>
    </row>
    <row r="1129">
      <c r="A1129" s="5">
        <f>IFERROR(__xludf.DUMMYFUNCTION("""COMPUTED_VALUE"""),132.0)</f>
        <v>132</v>
      </c>
      <c r="B1129" s="9">
        <f>IFERROR(__xludf.DUMMYFUNCTION("""COMPUTED_VALUE"""),45396.739594907405)</f>
        <v>45396.73959</v>
      </c>
      <c r="C1129" s="5" t="str">
        <f>IFERROR(__xludf.DUMMYFUNCTION("""COMPUTED_VALUE"""),"purchase")</f>
        <v>purchase</v>
      </c>
      <c r="D1129" s="10">
        <f t="shared" si="1"/>
        <v>45396</v>
      </c>
      <c r="E1129" s="10">
        <f t="shared" si="2"/>
        <v>45390</v>
      </c>
      <c r="F1129" s="10">
        <f t="shared" si="3"/>
        <v>45383</v>
      </c>
      <c r="G1129" s="11"/>
    </row>
    <row r="1130">
      <c r="A1130" s="5">
        <f>IFERROR(__xludf.DUMMYFUNCTION("""COMPUTED_VALUE"""),7255.0)</f>
        <v>7255</v>
      </c>
      <c r="B1130" s="9">
        <f>IFERROR(__xludf.DUMMYFUNCTION("""COMPUTED_VALUE"""),45396.782175925924)</f>
        <v>45396.78218</v>
      </c>
      <c r="C1130" s="5" t="str">
        <f>IFERROR(__xludf.DUMMYFUNCTION("""COMPUTED_VALUE"""),"purchase")</f>
        <v>purchase</v>
      </c>
      <c r="D1130" s="10">
        <f t="shared" si="1"/>
        <v>45396</v>
      </c>
      <c r="E1130" s="10">
        <f t="shared" si="2"/>
        <v>45390</v>
      </c>
      <c r="F1130" s="10">
        <f t="shared" si="3"/>
        <v>45383</v>
      </c>
      <c r="G1130" s="11"/>
    </row>
    <row r="1131">
      <c r="A1131" s="5">
        <f>IFERROR(__xludf.DUMMYFUNCTION("""COMPUTED_VALUE"""),5398.0)</f>
        <v>5398</v>
      </c>
      <c r="B1131" s="9">
        <f>IFERROR(__xludf.DUMMYFUNCTION("""COMPUTED_VALUE"""),45396.81324074074)</f>
        <v>45396.81324</v>
      </c>
      <c r="C1131" s="5" t="str">
        <f>IFERROR(__xludf.DUMMYFUNCTION("""COMPUTED_VALUE"""),"purchase")</f>
        <v>purchase</v>
      </c>
      <c r="D1131" s="10">
        <f t="shared" si="1"/>
        <v>45396</v>
      </c>
      <c r="E1131" s="10">
        <f t="shared" si="2"/>
        <v>45390</v>
      </c>
      <c r="F1131" s="10">
        <f t="shared" si="3"/>
        <v>45383</v>
      </c>
      <c r="G1131" s="11"/>
    </row>
    <row r="1132">
      <c r="A1132" s="5">
        <f>IFERROR(__xludf.DUMMYFUNCTION("""COMPUTED_VALUE"""),2349.0)</f>
        <v>2349</v>
      </c>
      <c r="B1132" s="9">
        <f>IFERROR(__xludf.DUMMYFUNCTION("""COMPUTED_VALUE"""),45396.861712962964)</f>
        <v>45396.86171</v>
      </c>
      <c r="C1132" s="5" t="str">
        <f>IFERROR(__xludf.DUMMYFUNCTION("""COMPUTED_VALUE"""),"purchase")</f>
        <v>purchase</v>
      </c>
      <c r="D1132" s="10">
        <f t="shared" si="1"/>
        <v>45396</v>
      </c>
      <c r="E1132" s="10">
        <f t="shared" si="2"/>
        <v>45390</v>
      </c>
      <c r="F1132" s="10">
        <f t="shared" si="3"/>
        <v>45383</v>
      </c>
      <c r="G1132" s="11"/>
    </row>
    <row r="1133">
      <c r="A1133" s="5">
        <f>IFERROR(__xludf.DUMMYFUNCTION("""COMPUTED_VALUE"""),625.0)</f>
        <v>625</v>
      </c>
      <c r="B1133" s="9">
        <f>IFERROR(__xludf.DUMMYFUNCTION("""COMPUTED_VALUE"""),45396.870671296296)</f>
        <v>45396.87067</v>
      </c>
      <c r="C1133" s="5" t="str">
        <f>IFERROR(__xludf.DUMMYFUNCTION("""COMPUTED_VALUE"""),"purchase")</f>
        <v>purchase</v>
      </c>
      <c r="D1133" s="10">
        <f t="shared" si="1"/>
        <v>45396</v>
      </c>
      <c r="E1133" s="10">
        <f t="shared" si="2"/>
        <v>45390</v>
      </c>
      <c r="F1133" s="10">
        <f t="shared" si="3"/>
        <v>45383</v>
      </c>
      <c r="G1133" s="11"/>
    </row>
    <row r="1134">
      <c r="A1134" s="5">
        <f>IFERROR(__xludf.DUMMYFUNCTION("""COMPUTED_VALUE"""),4846.0)</f>
        <v>4846</v>
      </c>
      <c r="B1134" s="9">
        <f>IFERROR(__xludf.DUMMYFUNCTION("""COMPUTED_VALUE"""),45396.93402777778)</f>
        <v>45396.93403</v>
      </c>
      <c r="C1134" s="5" t="str">
        <f>IFERROR(__xludf.DUMMYFUNCTION("""COMPUTED_VALUE"""),"purchase")</f>
        <v>purchase</v>
      </c>
      <c r="D1134" s="10">
        <f t="shared" si="1"/>
        <v>45396</v>
      </c>
      <c r="E1134" s="10">
        <f t="shared" si="2"/>
        <v>45390</v>
      </c>
      <c r="F1134" s="10">
        <f t="shared" si="3"/>
        <v>45383</v>
      </c>
      <c r="G1134" s="11"/>
    </row>
    <row r="1135">
      <c r="A1135" s="5">
        <f>IFERROR(__xludf.DUMMYFUNCTION("""COMPUTED_VALUE"""),217.0)</f>
        <v>217</v>
      </c>
      <c r="B1135" s="9">
        <f>IFERROR(__xludf.DUMMYFUNCTION("""COMPUTED_VALUE"""),45396.94409722222)</f>
        <v>45396.9441</v>
      </c>
      <c r="C1135" s="5" t="str">
        <f>IFERROR(__xludf.DUMMYFUNCTION("""COMPUTED_VALUE"""),"purchase")</f>
        <v>purchase</v>
      </c>
      <c r="D1135" s="10">
        <f t="shared" si="1"/>
        <v>45396</v>
      </c>
      <c r="E1135" s="10">
        <f t="shared" si="2"/>
        <v>45390</v>
      </c>
      <c r="F1135" s="10">
        <f t="shared" si="3"/>
        <v>45383</v>
      </c>
      <c r="G1135" s="11"/>
    </row>
    <row r="1136">
      <c r="A1136" s="5">
        <f>IFERROR(__xludf.DUMMYFUNCTION("""COMPUTED_VALUE"""),229.0)</f>
        <v>229</v>
      </c>
      <c r="B1136" s="9">
        <f>IFERROR(__xludf.DUMMYFUNCTION("""COMPUTED_VALUE"""),45397.01488425926)</f>
        <v>45397.01488</v>
      </c>
      <c r="C1136" s="5" t="str">
        <f>IFERROR(__xludf.DUMMYFUNCTION("""COMPUTED_VALUE"""),"purchase")</f>
        <v>purchase</v>
      </c>
      <c r="D1136" s="10">
        <f t="shared" si="1"/>
        <v>45397</v>
      </c>
      <c r="E1136" s="10">
        <f t="shared" si="2"/>
        <v>45397</v>
      </c>
      <c r="F1136" s="10">
        <f t="shared" si="3"/>
        <v>45383</v>
      </c>
      <c r="G1136" s="11"/>
    </row>
    <row r="1137">
      <c r="A1137" s="5">
        <f>IFERROR(__xludf.DUMMYFUNCTION("""COMPUTED_VALUE"""),2749.0)</f>
        <v>2749</v>
      </c>
      <c r="B1137" s="9">
        <f>IFERROR(__xludf.DUMMYFUNCTION("""COMPUTED_VALUE"""),45397.04357638889)</f>
        <v>45397.04358</v>
      </c>
      <c r="C1137" s="5" t="str">
        <f>IFERROR(__xludf.DUMMYFUNCTION("""COMPUTED_VALUE"""),"purchase")</f>
        <v>purchase</v>
      </c>
      <c r="D1137" s="10">
        <f t="shared" si="1"/>
        <v>45397</v>
      </c>
      <c r="E1137" s="10">
        <f t="shared" si="2"/>
        <v>45397</v>
      </c>
      <c r="F1137" s="10">
        <f t="shared" si="3"/>
        <v>45383</v>
      </c>
      <c r="G1137" s="11"/>
    </row>
    <row r="1138">
      <c r="A1138" s="5">
        <f>IFERROR(__xludf.DUMMYFUNCTION("""COMPUTED_VALUE"""),5286.0)</f>
        <v>5286</v>
      </c>
      <c r="B1138" s="9">
        <f>IFERROR(__xludf.DUMMYFUNCTION("""COMPUTED_VALUE"""),45397.05248842593)</f>
        <v>45397.05249</v>
      </c>
      <c r="C1138" s="5" t="str">
        <f>IFERROR(__xludf.DUMMYFUNCTION("""COMPUTED_VALUE"""),"purchase")</f>
        <v>purchase</v>
      </c>
      <c r="D1138" s="10">
        <f t="shared" si="1"/>
        <v>45397</v>
      </c>
      <c r="E1138" s="10">
        <f t="shared" si="2"/>
        <v>45397</v>
      </c>
      <c r="F1138" s="10">
        <f t="shared" si="3"/>
        <v>45383</v>
      </c>
      <c r="G1138" s="11"/>
    </row>
    <row r="1139">
      <c r="A1139" s="5">
        <f>IFERROR(__xludf.DUMMYFUNCTION("""COMPUTED_VALUE"""),7923.0)</f>
        <v>7923</v>
      </c>
      <c r="B1139" s="9">
        <f>IFERROR(__xludf.DUMMYFUNCTION("""COMPUTED_VALUE"""),45397.51552083333)</f>
        <v>45397.51552</v>
      </c>
      <c r="C1139" s="5" t="str">
        <f>IFERROR(__xludf.DUMMYFUNCTION("""COMPUTED_VALUE"""),"purchase")</f>
        <v>purchase</v>
      </c>
      <c r="D1139" s="10">
        <f t="shared" si="1"/>
        <v>45397</v>
      </c>
      <c r="E1139" s="10">
        <f t="shared" si="2"/>
        <v>45397</v>
      </c>
      <c r="F1139" s="10">
        <f t="shared" si="3"/>
        <v>45383</v>
      </c>
      <c r="G1139" s="11"/>
    </row>
    <row r="1140">
      <c r="A1140" s="5">
        <f>IFERROR(__xludf.DUMMYFUNCTION("""COMPUTED_VALUE"""),1200.0)</f>
        <v>1200</v>
      </c>
      <c r="B1140" s="9">
        <f>IFERROR(__xludf.DUMMYFUNCTION("""COMPUTED_VALUE"""),45397.53459490741)</f>
        <v>45397.53459</v>
      </c>
      <c r="C1140" s="5" t="str">
        <f>IFERROR(__xludf.DUMMYFUNCTION("""COMPUTED_VALUE"""),"purchase")</f>
        <v>purchase</v>
      </c>
      <c r="D1140" s="10">
        <f t="shared" si="1"/>
        <v>45397</v>
      </c>
      <c r="E1140" s="10">
        <f t="shared" si="2"/>
        <v>45397</v>
      </c>
      <c r="F1140" s="10">
        <f t="shared" si="3"/>
        <v>45383</v>
      </c>
      <c r="G1140" s="11"/>
    </row>
    <row r="1141">
      <c r="A1141" s="5">
        <f>IFERROR(__xludf.DUMMYFUNCTION("""COMPUTED_VALUE"""),2555.0)</f>
        <v>2555</v>
      </c>
      <c r="B1141" s="9">
        <f>IFERROR(__xludf.DUMMYFUNCTION("""COMPUTED_VALUE"""),45397.78664351852)</f>
        <v>45397.78664</v>
      </c>
      <c r="C1141" s="5" t="str">
        <f>IFERROR(__xludf.DUMMYFUNCTION("""COMPUTED_VALUE"""),"purchase")</f>
        <v>purchase</v>
      </c>
      <c r="D1141" s="10">
        <f t="shared" si="1"/>
        <v>45397</v>
      </c>
      <c r="E1141" s="10">
        <f t="shared" si="2"/>
        <v>45397</v>
      </c>
      <c r="F1141" s="10">
        <f t="shared" si="3"/>
        <v>45383</v>
      </c>
      <c r="G1141" s="11"/>
    </row>
    <row r="1142">
      <c r="A1142" s="5">
        <f>IFERROR(__xludf.DUMMYFUNCTION("""COMPUTED_VALUE"""),4514.0)</f>
        <v>4514</v>
      </c>
      <c r="B1142" s="9">
        <f>IFERROR(__xludf.DUMMYFUNCTION("""COMPUTED_VALUE"""),45397.8328587963)</f>
        <v>45397.83286</v>
      </c>
      <c r="C1142" s="5" t="str">
        <f>IFERROR(__xludf.DUMMYFUNCTION("""COMPUTED_VALUE"""),"purchase")</f>
        <v>purchase</v>
      </c>
      <c r="D1142" s="10">
        <f t="shared" si="1"/>
        <v>45397</v>
      </c>
      <c r="E1142" s="10">
        <f t="shared" si="2"/>
        <v>45397</v>
      </c>
      <c r="F1142" s="10">
        <f t="shared" si="3"/>
        <v>45383</v>
      </c>
      <c r="G1142" s="11"/>
    </row>
    <row r="1143">
      <c r="A1143" s="5">
        <f>IFERROR(__xludf.DUMMYFUNCTION("""COMPUTED_VALUE"""),4943.0)</f>
        <v>4943</v>
      </c>
      <c r="B1143" s="9">
        <f>IFERROR(__xludf.DUMMYFUNCTION("""COMPUTED_VALUE"""),45397.94483796296)</f>
        <v>45397.94484</v>
      </c>
      <c r="C1143" s="5" t="str">
        <f>IFERROR(__xludf.DUMMYFUNCTION("""COMPUTED_VALUE"""),"purchase")</f>
        <v>purchase</v>
      </c>
      <c r="D1143" s="10">
        <f t="shared" si="1"/>
        <v>45397</v>
      </c>
      <c r="E1143" s="10">
        <f t="shared" si="2"/>
        <v>45397</v>
      </c>
      <c r="F1143" s="10">
        <f t="shared" si="3"/>
        <v>45383</v>
      </c>
      <c r="G1143" s="11"/>
    </row>
    <row r="1144">
      <c r="A1144" s="5">
        <f>IFERROR(__xludf.DUMMYFUNCTION("""COMPUTED_VALUE"""),32.0)</f>
        <v>32</v>
      </c>
      <c r="B1144" s="9">
        <f>IFERROR(__xludf.DUMMYFUNCTION("""COMPUTED_VALUE"""),45397.9528125)</f>
        <v>45397.95281</v>
      </c>
      <c r="C1144" s="5" t="str">
        <f>IFERROR(__xludf.DUMMYFUNCTION("""COMPUTED_VALUE"""),"purchase")</f>
        <v>purchase</v>
      </c>
      <c r="D1144" s="10">
        <f t="shared" si="1"/>
        <v>45397</v>
      </c>
      <c r="E1144" s="10">
        <f t="shared" si="2"/>
        <v>45397</v>
      </c>
      <c r="F1144" s="10">
        <f t="shared" si="3"/>
        <v>45383</v>
      </c>
      <c r="G1144" s="11"/>
    </row>
    <row r="1145">
      <c r="A1145" s="5">
        <f>IFERROR(__xludf.DUMMYFUNCTION("""COMPUTED_VALUE"""),5445.0)</f>
        <v>5445</v>
      </c>
      <c r="B1145" s="9">
        <f>IFERROR(__xludf.DUMMYFUNCTION("""COMPUTED_VALUE"""),45398.17265046296)</f>
        <v>45398.17265</v>
      </c>
      <c r="C1145" s="5" t="str">
        <f>IFERROR(__xludf.DUMMYFUNCTION("""COMPUTED_VALUE"""),"purchase")</f>
        <v>purchase</v>
      </c>
      <c r="D1145" s="10">
        <f t="shared" si="1"/>
        <v>45398</v>
      </c>
      <c r="E1145" s="10">
        <f t="shared" si="2"/>
        <v>45397</v>
      </c>
      <c r="F1145" s="10">
        <f t="shared" si="3"/>
        <v>45383</v>
      </c>
      <c r="G1145" s="11"/>
    </row>
    <row r="1146">
      <c r="A1146" s="5">
        <f>IFERROR(__xludf.DUMMYFUNCTION("""COMPUTED_VALUE"""),6516.0)</f>
        <v>6516</v>
      </c>
      <c r="B1146" s="9">
        <f>IFERROR(__xludf.DUMMYFUNCTION("""COMPUTED_VALUE"""),45398.23365740741)</f>
        <v>45398.23366</v>
      </c>
      <c r="C1146" s="5" t="str">
        <f>IFERROR(__xludf.DUMMYFUNCTION("""COMPUTED_VALUE"""),"purchase")</f>
        <v>purchase</v>
      </c>
      <c r="D1146" s="10">
        <f t="shared" si="1"/>
        <v>45398</v>
      </c>
      <c r="E1146" s="10">
        <f t="shared" si="2"/>
        <v>45397</v>
      </c>
      <c r="F1146" s="10">
        <f t="shared" si="3"/>
        <v>45383</v>
      </c>
      <c r="G1146" s="11"/>
    </row>
    <row r="1147">
      <c r="A1147" s="5">
        <f>IFERROR(__xludf.DUMMYFUNCTION("""COMPUTED_VALUE"""),3249.0)</f>
        <v>3249</v>
      </c>
      <c r="B1147" s="9">
        <f>IFERROR(__xludf.DUMMYFUNCTION("""COMPUTED_VALUE"""),45398.40178240741)</f>
        <v>45398.40178</v>
      </c>
      <c r="C1147" s="5" t="str">
        <f>IFERROR(__xludf.DUMMYFUNCTION("""COMPUTED_VALUE"""),"purchase")</f>
        <v>purchase</v>
      </c>
      <c r="D1147" s="10">
        <f t="shared" si="1"/>
        <v>45398</v>
      </c>
      <c r="E1147" s="10">
        <f t="shared" si="2"/>
        <v>45397</v>
      </c>
      <c r="F1147" s="10">
        <f t="shared" si="3"/>
        <v>45383</v>
      </c>
      <c r="G1147" s="11"/>
    </row>
    <row r="1148">
      <c r="A1148" s="5">
        <f>IFERROR(__xludf.DUMMYFUNCTION("""COMPUTED_VALUE"""),3335.0)</f>
        <v>3335</v>
      </c>
      <c r="B1148" s="9">
        <f>IFERROR(__xludf.DUMMYFUNCTION("""COMPUTED_VALUE"""),45398.461481481485)</f>
        <v>45398.46148</v>
      </c>
      <c r="C1148" s="5" t="str">
        <f>IFERROR(__xludf.DUMMYFUNCTION("""COMPUTED_VALUE"""),"purchase")</f>
        <v>purchase</v>
      </c>
      <c r="D1148" s="10">
        <f t="shared" si="1"/>
        <v>45398</v>
      </c>
      <c r="E1148" s="10">
        <f t="shared" si="2"/>
        <v>45397</v>
      </c>
      <c r="F1148" s="10">
        <f t="shared" si="3"/>
        <v>45383</v>
      </c>
      <c r="G1148" s="11"/>
    </row>
    <row r="1149">
      <c r="A1149" s="5">
        <f>IFERROR(__xludf.DUMMYFUNCTION("""COMPUTED_VALUE"""),1150.0)</f>
        <v>1150</v>
      </c>
      <c r="B1149" s="9">
        <f>IFERROR(__xludf.DUMMYFUNCTION("""COMPUTED_VALUE"""),45398.506585648145)</f>
        <v>45398.50659</v>
      </c>
      <c r="C1149" s="5" t="str">
        <f>IFERROR(__xludf.DUMMYFUNCTION("""COMPUTED_VALUE"""),"purchase")</f>
        <v>purchase</v>
      </c>
      <c r="D1149" s="10">
        <f t="shared" si="1"/>
        <v>45398</v>
      </c>
      <c r="E1149" s="10">
        <f t="shared" si="2"/>
        <v>45397</v>
      </c>
      <c r="F1149" s="10">
        <f t="shared" si="3"/>
        <v>45383</v>
      </c>
      <c r="G1149" s="11"/>
    </row>
    <row r="1150">
      <c r="A1150" s="5">
        <f>IFERROR(__xludf.DUMMYFUNCTION("""COMPUTED_VALUE"""),382.0)</f>
        <v>382</v>
      </c>
      <c r="B1150" s="9">
        <f>IFERROR(__xludf.DUMMYFUNCTION("""COMPUTED_VALUE"""),45398.553715277776)</f>
        <v>45398.55372</v>
      </c>
      <c r="C1150" s="5" t="str">
        <f>IFERROR(__xludf.DUMMYFUNCTION("""COMPUTED_VALUE"""),"purchase")</f>
        <v>purchase</v>
      </c>
      <c r="D1150" s="10">
        <f t="shared" si="1"/>
        <v>45398</v>
      </c>
      <c r="E1150" s="10">
        <f t="shared" si="2"/>
        <v>45397</v>
      </c>
      <c r="F1150" s="10">
        <f t="shared" si="3"/>
        <v>45383</v>
      </c>
      <c r="G1150" s="11"/>
    </row>
    <row r="1151">
      <c r="A1151" s="5">
        <f>IFERROR(__xludf.DUMMYFUNCTION("""COMPUTED_VALUE"""),3743.0)</f>
        <v>3743</v>
      </c>
      <c r="B1151" s="9">
        <f>IFERROR(__xludf.DUMMYFUNCTION("""COMPUTED_VALUE"""),45398.681180555555)</f>
        <v>45398.68118</v>
      </c>
      <c r="C1151" s="5" t="str">
        <f>IFERROR(__xludf.DUMMYFUNCTION("""COMPUTED_VALUE"""),"purchase")</f>
        <v>purchase</v>
      </c>
      <c r="D1151" s="10">
        <f t="shared" si="1"/>
        <v>45398</v>
      </c>
      <c r="E1151" s="10">
        <f t="shared" si="2"/>
        <v>45397</v>
      </c>
      <c r="F1151" s="10">
        <f t="shared" si="3"/>
        <v>45383</v>
      </c>
      <c r="G1151" s="11"/>
    </row>
    <row r="1152">
      <c r="A1152" s="5">
        <f>IFERROR(__xludf.DUMMYFUNCTION("""COMPUTED_VALUE"""),3127.0)</f>
        <v>3127</v>
      </c>
      <c r="B1152" s="9">
        <f>IFERROR(__xludf.DUMMYFUNCTION("""COMPUTED_VALUE"""),45399.03291666666)</f>
        <v>45399.03292</v>
      </c>
      <c r="C1152" s="5" t="str">
        <f>IFERROR(__xludf.DUMMYFUNCTION("""COMPUTED_VALUE"""),"purchase")</f>
        <v>purchase</v>
      </c>
      <c r="D1152" s="10">
        <f t="shared" si="1"/>
        <v>45399</v>
      </c>
      <c r="E1152" s="10">
        <f t="shared" si="2"/>
        <v>45397</v>
      </c>
      <c r="F1152" s="10">
        <f t="shared" si="3"/>
        <v>45383</v>
      </c>
      <c r="G1152" s="11"/>
    </row>
    <row r="1153">
      <c r="A1153" s="5">
        <f>IFERROR(__xludf.DUMMYFUNCTION("""COMPUTED_VALUE"""),4962.0)</f>
        <v>4962</v>
      </c>
      <c r="B1153" s="9">
        <f>IFERROR(__xludf.DUMMYFUNCTION("""COMPUTED_VALUE"""),45399.06799768518)</f>
        <v>45399.068</v>
      </c>
      <c r="C1153" s="5" t="str">
        <f>IFERROR(__xludf.DUMMYFUNCTION("""COMPUTED_VALUE"""),"purchase")</f>
        <v>purchase</v>
      </c>
      <c r="D1153" s="10">
        <f t="shared" si="1"/>
        <v>45399</v>
      </c>
      <c r="E1153" s="10">
        <f t="shared" si="2"/>
        <v>45397</v>
      </c>
      <c r="F1153" s="10">
        <f t="shared" si="3"/>
        <v>45383</v>
      </c>
      <c r="G1153" s="11"/>
    </row>
    <row r="1154">
      <c r="A1154" s="5">
        <f>IFERROR(__xludf.DUMMYFUNCTION("""COMPUTED_VALUE"""),3940.0)</f>
        <v>3940</v>
      </c>
      <c r="B1154" s="9">
        <f>IFERROR(__xludf.DUMMYFUNCTION("""COMPUTED_VALUE"""),45399.08427083334)</f>
        <v>45399.08427</v>
      </c>
      <c r="C1154" s="5" t="str">
        <f>IFERROR(__xludf.DUMMYFUNCTION("""COMPUTED_VALUE"""),"purchase")</f>
        <v>purchase</v>
      </c>
      <c r="D1154" s="10">
        <f t="shared" si="1"/>
        <v>45399</v>
      </c>
      <c r="E1154" s="10">
        <f t="shared" si="2"/>
        <v>45397</v>
      </c>
      <c r="F1154" s="10">
        <f t="shared" si="3"/>
        <v>45383</v>
      </c>
      <c r="G1154" s="11"/>
    </row>
    <row r="1155">
      <c r="A1155" s="5">
        <f>IFERROR(__xludf.DUMMYFUNCTION("""COMPUTED_VALUE"""),1035.0)</f>
        <v>1035</v>
      </c>
      <c r="B1155" s="9">
        <f>IFERROR(__xludf.DUMMYFUNCTION("""COMPUTED_VALUE"""),45399.16018518519)</f>
        <v>45399.16019</v>
      </c>
      <c r="C1155" s="5" t="str">
        <f>IFERROR(__xludf.DUMMYFUNCTION("""COMPUTED_VALUE"""),"purchase")</f>
        <v>purchase</v>
      </c>
      <c r="D1155" s="10">
        <f t="shared" si="1"/>
        <v>45399</v>
      </c>
      <c r="E1155" s="10">
        <f t="shared" si="2"/>
        <v>45397</v>
      </c>
      <c r="F1155" s="10">
        <f t="shared" si="3"/>
        <v>45383</v>
      </c>
      <c r="G1155" s="11"/>
    </row>
    <row r="1156">
      <c r="A1156" s="5">
        <f>IFERROR(__xludf.DUMMYFUNCTION("""COMPUTED_VALUE"""),1776.0)</f>
        <v>1776</v>
      </c>
      <c r="B1156" s="9">
        <f>IFERROR(__xludf.DUMMYFUNCTION("""COMPUTED_VALUE"""),45399.23537037037)</f>
        <v>45399.23537</v>
      </c>
      <c r="C1156" s="5" t="str">
        <f>IFERROR(__xludf.DUMMYFUNCTION("""COMPUTED_VALUE"""),"purchase")</f>
        <v>purchase</v>
      </c>
      <c r="D1156" s="10">
        <f t="shared" si="1"/>
        <v>45399</v>
      </c>
      <c r="E1156" s="10">
        <f t="shared" si="2"/>
        <v>45397</v>
      </c>
      <c r="F1156" s="10">
        <f t="shared" si="3"/>
        <v>45383</v>
      </c>
      <c r="G1156" s="11"/>
    </row>
    <row r="1157">
      <c r="A1157" s="5">
        <f>IFERROR(__xludf.DUMMYFUNCTION("""COMPUTED_VALUE"""),4337.0)</f>
        <v>4337</v>
      </c>
      <c r="B1157" s="9">
        <f>IFERROR(__xludf.DUMMYFUNCTION("""COMPUTED_VALUE"""),45399.238287037035)</f>
        <v>45399.23829</v>
      </c>
      <c r="C1157" s="5" t="str">
        <f>IFERROR(__xludf.DUMMYFUNCTION("""COMPUTED_VALUE"""),"purchase")</f>
        <v>purchase</v>
      </c>
      <c r="D1157" s="10">
        <f t="shared" si="1"/>
        <v>45399</v>
      </c>
      <c r="E1157" s="10">
        <f t="shared" si="2"/>
        <v>45397</v>
      </c>
      <c r="F1157" s="10">
        <f t="shared" si="3"/>
        <v>45383</v>
      </c>
      <c r="G1157" s="11"/>
    </row>
    <row r="1158">
      <c r="A1158" s="5">
        <f>IFERROR(__xludf.DUMMYFUNCTION("""COMPUTED_VALUE"""),5282.0)</f>
        <v>5282</v>
      </c>
      <c r="B1158" s="9">
        <f>IFERROR(__xludf.DUMMYFUNCTION("""COMPUTED_VALUE"""),45399.27815972222)</f>
        <v>45399.27816</v>
      </c>
      <c r="C1158" s="5" t="str">
        <f>IFERROR(__xludf.DUMMYFUNCTION("""COMPUTED_VALUE"""),"purchase")</f>
        <v>purchase</v>
      </c>
      <c r="D1158" s="10">
        <f t="shared" si="1"/>
        <v>45399</v>
      </c>
      <c r="E1158" s="10">
        <f t="shared" si="2"/>
        <v>45397</v>
      </c>
      <c r="F1158" s="10">
        <f t="shared" si="3"/>
        <v>45383</v>
      </c>
      <c r="G1158" s="11"/>
    </row>
    <row r="1159">
      <c r="A1159" s="5">
        <f>IFERROR(__xludf.DUMMYFUNCTION("""COMPUTED_VALUE"""),4003.0)</f>
        <v>4003</v>
      </c>
      <c r="B1159" s="9">
        <f>IFERROR(__xludf.DUMMYFUNCTION("""COMPUTED_VALUE"""),45399.32297453703)</f>
        <v>45399.32297</v>
      </c>
      <c r="C1159" s="5" t="str">
        <f>IFERROR(__xludf.DUMMYFUNCTION("""COMPUTED_VALUE"""),"purchase")</f>
        <v>purchase</v>
      </c>
      <c r="D1159" s="10">
        <f t="shared" si="1"/>
        <v>45399</v>
      </c>
      <c r="E1159" s="10">
        <f t="shared" si="2"/>
        <v>45397</v>
      </c>
      <c r="F1159" s="10">
        <f t="shared" si="3"/>
        <v>45383</v>
      </c>
      <c r="G1159" s="11"/>
    </row>
    <row r="1160">
      <c r="A1160" s="5">
        <f>IFERROR(__xludf.DUMMYFUNCTION("""COMPUTED_VALUE"""),5894.0)</f>
        <v>5894</v>
      </c>
      <c r="B1160" s="9">
        <f>IFERROR(__xludf.DUMMYFUNCTION("""COMPUTED_VALUE"""),45399.33399305555)</f>
        <v>45399.33399</v>
      </c>
      <c r="C1160" s="5" t="str">
        <f>IFERROR(__xludf.DUMMYFUNCTION("""COMPUTED_VALUE"""),"purchase")</f>
        <v>purchase</v>
      </c>
      <c r="D1160" s="10">
        <f t="shared" si="1"/>
        <v>45399</v>
      </c>
      <c r="E1160" s="10">
        <f t="shared" si="2"/>
        <v>45397</v>
      </c>
      <c r="F1160" s="10">
        <f t="shared" si="3"/>
        <v>45383</v>
      </c>
      <c r="G1160" s="11"/>
    </row>
    <row r="1161">
      <c r="A1161" s="5">
        <f>IFERROR(__xludf.DUMMYFUNCTION("""COMPUTED_VALUE"""),2686.0)</f>
        <v>2686</v>
      </c>
      <c r="B1161" s="9">
        <f>IFERROR(__xludf.DUMMYFUNCTION("""COMPUTED_VALUE"""),45399.359872685185)</f>
        <v>45399.35987</v>
      </c>
      <c r="C1161" s="5" t="str">
        <f>IFERROR(__xludf.DUMMYFUNCTION("""COMPUTED_VALUE"""),"purchase")</f>
        <v>purchase</v>
      </c>
      <c r="D1161" s="10">
        <f t="shared" si="1"/>
        <v>45399</v>
      </c>
      <c r="E1161" s="10">
        <f t="shared" si="2"/>
        <v>45397</v>
      </c>
      <c r="F1161" s="10">
        <f t="shared" si="3"/>
        <v>45383</v>
      </c>
      <c r="G1161" s="11"/>
    </row>
    <row r="1162">
      <c r="A1162" s="5">
        <f>IFERROR(__xludf.DUMMYFUNCTION("""COMPUTED_VALUE"""),186.0)</f>
        <v>186</v>
      </c>
      <c r="B1162" s="9">
        <f>IFERROR(__xludf.DUMMYFUNCTION("""COMPUTED_VALUE"""),45399.7175)</f>
        <v>45399.7175</v>
      </c>
      <c r="C1162" s="5" t="str">
        <f>IFERROR(__xludf.DUMMYFUNCTION("""COMPUTED_VALUE"""),"purchase")</f>
        <v>purchase</v>
      </c>
      <c r="D1162" s="10">
        <f t="shared" si="1"/>
        <v>45399</v>
      </c>
      <c r="E1162" s="10">
        <f t="shared" si="2"/>
        <v>45397</v>
      </c>
      <c r="F1162" s="10">
        <f t="shared" si="3"/>
        <v>45383</v>
      </c>
      <c r="G1162" s="11"/>
    </row>
    <row r="1163">
      <c r="A1163" s="5">
        <f>IFERROR(__xludf.DUMMYFUNCTION("""COMPUTED_VALUE"""),7407.0)</f>
        <v>7407</v>
      </c>
      <c r="B1163" s="9">
        <f>IFERROR(__xludf.DUMMYFUNCTION("""COMPUTED_VALUE"""),45399.758101851854)</f>
        <v>45399.7581</v>
      </c>
      <c r="C1163" s="5" t="str">
        <f>IFERROR(__xludf.DUMMYFUNCTION("""COMPUTED_VALUE"""),"purchase")</f>
        <v>purchase</v>
      </c>
      <c r="D1163" s="10">
        <f t="shared" si="1"/>
        <v>45399</v>
      </c>
      <c r="E1163" s="10">
        <f t="shared" si="2"/>
        <v>45397</v>
      </c>
      <c r="F1163" s="10">
        <f t="shared" si="3"/>
        <v>45383</v>
      </c>
      <c r="G1163" s="11"/>
    </row>
    <row r="1164">
      <c r="A1164" s="5">
        <f>IFERROR(__xludf.DUMMYFUNCTION("""COMPUTED_VALUE"""),5799.0)</f>
        <v>5799</v>
      </c>
      <c r="B1164" s="9">
        <f>IFERROR(__xludf.DUMMYFUNCTION("""COMPUTED_VALUE"""),45399.77616898148)</f>
        <v>45399.77617</v>
      </c>
      <c r="C1164" s="5" t="str">
        <f>IFERROR(__xludf.DUMMYFUNCTION("""COMPUTED_VALUE"""),"purchase")</f>
        <v>purchase</v>
      </c>
      <c r="D1164" s="10">
        <f t="shared" si="1"/>
        <v>45399</v>
      </c>
      <c r="E1164" s="10">
        <f t="shared" si="2"/>
        <v>45397</v>
      </c>
      <c r="F1164" s="10">
        <f t="shared" si="3"/>
        <v>45383</v>
      </c>
      <c r="G1164" s="11"/>
    </row>
    <row r="1165">
      <c r="A1165" s="5">
        <f>IFERROR(__xludf.DUMMYFUNCTION("""COMPUTED_VALUE"""),7065.0)</f>
        <v>7065</v>
      </c>
      <c r="B1165" s="9">
        <f>IFERROR(__xludf.DUMMYFUNCTION("""COMPUTED_VALUE"""),45399.79824074074)</f>
        <v>45399.79824</v>
      </c>
      <c r="C1165" s="5" t="str">
        <f>IFERROR(__xludf.DUMMYFUNCTION("""COMPUTED_VALUE"""),"purchase")</f>
        <v>purchase</v>
      </c>
      <c r="D1165" s="10">
        <f t="shared" si="1"/>
        <v>45399</v>
      </c>
      <c r="E1165" s="10">
        <f t="shared" si="2"/>
        <v>45397</v>
      </c>
      <c r="F1165" s="10">
        <f t="shared" si="3"/>
        <v>45383</v>
      </c>
      <c r="G1165" s="11"/>
    </row>
    <row r="1166">
      <c r="A1166" s="5">
        <f>IFERROR(__xludf.DUMMYFUNCTION("""COMPUTED_VALUE"""),6419.0)</f>
        <v>6419</v>
      </c>
      <c r="B1166" s="9">
        <f>IFERROR(__xludf.DUMMYFUNCTION("""COMPUTED_VALUE"""),45400.02908564815)</f>
        <v>45400.02909</v>
      </c>
      <c r="C1166" s="5" t="str">
        <f>IFERROR(__xludf.DUMMYFUNCTION("""COMPUTED_VALUE"""),"purchase")</f>
        <v>purchase</v>
      </c>
      <c r="D1166" s="10">
        <f t="shared" si="1"/>
        <v>45400</v>
      </c>
      <c r="E1166" s="10">
        <f t="shared" si="2"/>
        <v>45397</v>
      </c>
      <c r="F1166" s="10">
        <f t="shared" si="3"/>
        <v>45383</v>
      </c>
      <c r="G1166" s="11"/>
    </row>
    <row r="1167">
      <c r="A1167" s="5">
        <f>IFERROR(__xludf.DUMMYFUNCTION("""COMPUTED_VALUE"""),867.0)</f>
        <v>867</v>
      </c>
      <c r="B1167" s="9">
        <f>IFERROR(__xludf.DUMMYFUNCTION("""COMPUTED_VALUE"""),45400.279016203705)</f>
        <v>45400.27902</v>
      </c>
      <c r="C1167" s="5" t="str">
        <f>IFERROR(__xludf.DUMMYFUNCTION("""COMPUTED_VALUE"""),"purchase")</f>
        <v>purchase</v>
      </c>
      <c r="D1167" s="10">
        <f t="shared" si="1"/>
        <v>45400</v>
      </c>
      <c r="E1167" s="10">
        <f t="shared" si="2"/>
        <v>45397</v>
      </c>
      <c r="F1167" s="10">
        <f t="shared" si="3"/>
        <v>45383</v>
      </c>
      <c r="G1167" s="11"/>
    </row>
    <row r="1168">
      <c r="A1168" s="5">
        <f>IFERROR(__xludf.DUMMYFUNCTION("""COMPUTED_VALUE"""),4393.0)</f>
        <v>4393</v>
      </c>
      <c r="B1168" s="9">
        <f>IFERROR(__xludf.DUMMYFUNCTION("""COMPUTED_VALUE"""),45400.31636574074)</f>
        <v>45400.31637</v>
      </c>
      <c r="C1168" s="5" t="str">
        <f>IFERROR(__xludf.DUMMYFUNCTION("""COMPUTED_VALUE"""),"purchase")</f>
        <v>purchase</v>
      </c>
      <c r="D1168" s="10">
        <f t="shared" si="1"/>
        <v>45400</v>
      </c>
      <c r="E1168" s="10">
        <f t="shared" si="2"/>
        <v>45397</v>
      </c>
      <c r="F1168" s="10">
        <f t="shared" si="3"/>
        <v>45383</v>
      </c>
      <c r="G1168" s="11"/>
    </row>
    <row r="1169">
      <c r="A1169" s="5">
        <f>IFERROR(__xludf.DUMMYFUNCTION("""COMPUTED_VALUE"""),4087.0)</f>
        <v>4087</v>
      </c>
      <c r="B1169" s="9">
        <f>IFERROR(__xludf.DUMMYFUNCTION("""COMPUTED_VALUE"""),45400.35674768518)</f>
        <v>45400.35675</v>
      </c>
      <c r="C1169" s="5" t="str">
        <f>IFERROR(__xludf.DUMMYFUNCTION("""COMPUTED_VALUE"""),"purchase")</f>
        <v>purchase</v>
      </c>
      <c r="D1169" s="10">
        <f t="shared" si="1"/>
        <v>45400</v>
      </c>
      <c r="E1169" s="10">
        <f t="shared" si="2"/>
        <v>45397</v>
      </c>
      <c r="F1169" s="10">
        <f t="shared" si="3"/>
        <v>45383</v>
      </c>
      <c r="G1169" s="11"/>
    </row>
    <row r="1170">
      <c r="A1170" s="5">
        <f>IFERROR(__xludf.DUMMYFUNCTION("""COMPUTED_VALUE"""),6464.0)</f>
        <v>6464</v>
      </c>
      <c r="B1170" s="9">
        <f>IFERROR(__xludf.DUMMYFUNCTION("""COMPUTED_VALUE"""),45400.43251157407)</f>
        <v>45400.43251</v>
      </c>
      <c r="C1170" s="5" t="str">
        <f>IFERROR(__xludf.DUMMYFUNCTION("""COMPUTED_VALUE"""),"purchase")</f>
        <v>purchase</v>
      </c>
      <c r="D1170" s="10">
        <f t="shared" si="1"/>
        <v>45400</v>
      </c>
      <c r="E1170" s="10">
        <f t="shared" si="2"/>
        <v>45397</v>
      </c>
      <c r="F1170" s="10">
        <f t="shared" si="3"/>
        <v>45383</v>
      </c>
      <c r="G1170" s="11"/>
    </row>
    <row r="1171">
      <c r="A1171" s="5">
        <f>IFERROR(__xludf.DUMMYFUNCTION("""COMPUTED_VALUE"""),1650.0)</f>
        <v>1650</v>
      </c>
      <c r="B1171" s="9">
        <f>IFERROR(__xludf.DUMMYFUNCTION("""COMPUTED_VALUE"""),45400.5847337963)</f>
        <v>45400.58473</v>
      </c>
      <c r="C1171" s="5" t="str">
        <f>IFERROR(__xludf.DUMMYFUNCTION("""COMPUTED_VALUE"""),"purchase")</f>
        <v>purchase</v>
      </c>
      <c r="D1171" s="10">
        <f t="shared" si="1"/>
        <v>45400</v>
      </c>
      <c r="E1171" s="10">
        <f t="shared" si="2"/>
        <v>45397</v>
      </c>
      <c r="F1171" s="10">
        <f t="shared" si="3"/>
        <v>45383</v>
      </c>
      <c r="G1171" s="11"/>
    </row>
    <row r="1172">
      <c r="A1172" s="5">
        <f>IFERROR(__xludf.DUMMYFUNCTION("""COMPUTED_VALUE"""),6280.0)</f>
        <v>6280</v>
      </c>
      <c r="B1172" s="9">
        <f>IFERROR(__xludf.DUMMYFUNCTION("""COMPUTED_VALUE"""),45400.655856481484)</f>
        <v>45400.65586</v>
      </c>
      <c r="C1172" s="5" t="str">
        <f>IFERROR(__xludf.DUMMYFUNCTION("""COMPUTED_VALUE"""),"purchase")</f>
        <v>purchase</v>
      </c>
      <c r="D1172" s="10">
        <f t="shared" si="1"/>
        <v>45400</v>
      </c>
      <c r="E1172" s="10">
        <f t="shared" si="2"/>
        <v>45397</v>
      </c>
      <c r="F1172" s="10">
        <f t="shared" si="3"/>
        <v>45383</v>
      </c>
      <c r="G1172" s="11"/>
    </row>
    <row r="1173">
      <c r="A1173" s="5">
        <f>IFERROR(__xludf.DUMMYFUNCTION("""COMPUTED_VALUE"""),2593.0)</f>
        <v>2593</v>
      </c>
      <c r="B1173" s="9">
        <f>IFERROR(__xludf.DUMMYFUNCTION("""COMPUTED_VALUE"""),45400.68444444444)</f>
        <v>45400.68444</v>
      </c>
      <c r="C1173" s="5" t="str">
        <f>IFERROR(__xludf.DUMMYFUNCTION("""COMPUTED_VALUE"""),"purchase")</f>
        <v>purchase</v>
      </c>
      <c r="D1173" s="10">
        <f t="shared" si="1"/>
        <v>45400</v>
      </c>
      <c r="E1173" s="10">
        <f t="shared" si="2"/>
        <v>45397</v>
      </c>
      <c r="F1173" s="10">
        <f t="shared" si="3"/>
        <v>45383</v>
      </c>
      <c r="G1173" s="11"/>
    </row>
    <row r="1174">
      <c r="A1174" s="5">
        <f>IFERROR(__xludf.DUMMYFUNCTION("""COMPUTED_VALUE"""),5181.0)</f>
        <v>5181</v>
      </c>
      <c r="B1174" s="9">
        <f>IFERROR(__xludf.DUMMYFUNCTION("""COMPUTED_VALUE"""),45400.701689814814)</f>
        <v>45400.70169</v>
      </c>
      <c r="C1174" s="5" t="str">
        <f>IFERROR(__xludf.DUMMYFUNCTION("""COMPUTED_VALUE"""),"purchase")</f>
        <v>purchase</v>
      </c>
      <c r="D1174" s="10">
        <f t="shared" si="1"/>
        <v>45400</v>
      </c>
      <c r="E1174" s="10">
        <f t="shared" si="2"/>
        <v>45397</v>
      </c>
      <c r="F1174" s="10">
        <f t="shared" si="3"/>
        <v>45383</v>
      </c>
      <c r="G1174" s="11"/>
    </row>
    <row r="1175">
      <c r="A1175" s="5">
        <f>IFERROR(__xludf.DUMMYFUNCTION("""COMPUTED_VALUE"""),6649.0)</f>
        <v>6649</v>
      </c>
      <c r="B1175" s="9">
        <f>IFERROR(__xludf.DUMMYFUNCTION("""COMPUTED_VALUE"""),45400.95425925926)</f>
        <v>45400.95426</v>
      </c>
      <c r="C1175" s="5" t="str">
        <f>IFERROR(__xludf.DUMMYFUNCTION("""COMPUTED_VALUE"""),"purchase")</f>
        <v>purchase</v>
      </c>
      <c r="D1175" s="10">
        <f t="shared" si="1"/>
        <v>45400</v>
      </c>
      <c r="E1175" s="10">
        <f t="shared" si="2"/>
        <v>45397</v>
      </c>
      <c r="F1175" s="10">
        <f t="shared" si="3"/>
        <v>45383</v>
      </c>
      <c r="G1175" s="11"/>
    </row>
    <row r="1176">
      <c r="A1176" s="5">
        <f>IFERROR(__xludf.DUMMYFUNCTION("""COMPUTED_VALUE"""),5778.0)</f>
        <v>5778</v>
      </c>
      <c r="B1176" s="9">
        <f>IFERROR(__xludf.DUMMYFUNCTION("""COMPUTED_VALUE"""),45401.21393518519)</f>
        <v>45401.21394</v>
      </c>
      <c r="C1176" s="5" t="str">
        <f>IFERROR(__xludf.DUMMYFUNCTION("""COMPUTED_VALUE"""),"purchase")</f>
        <v>purchase</v>
      </c>
      <c r="D1176" s="10">
        <f t="shared" si="1"/>
        <v>45401</v>
      </c>
      <c r="E1176" s="10">
        <f t="shared" si="2"/>
        <v>45397</v>
      </c>
      <c r="F1176" s="10">
        <f t="shared" si="3"/>
        <v>45383</v>
      </c>
      <c r="G1176" s="11"/>
    </row>
    <row r="1177">
      <c r="A1177" s="5">
        <f>IFERROR(__xludf.DUMMYFUNCTION("""COMPUTED_VALUE"""),6903.0)</f>
        <v>6903</v>
      </c>
      <c r="B1177" s="9">
        <f>IFERROR(__xludf.DUMMYFUNCTION("""COMPUTED_VALUE"""),45401.28954861111)</f>
        <v>45401.28955</v>
      </c>
      <c r="C1177" s="5" t="str">
        <f>IFERROR(__xludf.DUMMYFUNCTION("""COMPUTED_VALUE"""),"purchase")</f>
        <v>purchase</v>
      </c>
      <c r="D1177" s="10">
        <f t="shared" si="1"/>
        <v>45401</v>
      </c>
      <c r="E1177" s="10">
        <f t="shared" si="2"/>
        <v>45397</v>
      </c>
      <c r="F1177" s="10">
        <f t="shared" si="3"/>
        <v>45383</v>
      </c>
      <c r="G1177" s="11"/>
    </row>
    <row r="1178">
      <c r="A1178" s="5">
        <f>IFERROR(__xludf.DUMMYFUNCTION("""COMPUTED_VALUE"""),1431.0)</f>
        <v>1431</v>
      </c>
      <c r="B1178" s="9">
        <f>IFERROR(__xludf.DUMMYFUNCTION("""COMPUTED_VALUE"""),45401.379849537036)</f>
        <v>45401.37985</v>
      </c>
      <c r="C1178" s="5" t="str">
        <f>IFERROR(__xludf.DUMMYFUNCTION("""COMPUTED_VALUE"""),"purchase")</f>
        <v>purchase</v>
      </c>
      <c r="D1178" s="10">
        <f t="shared" si="1"/>
        <v>45401</v>
      </c>
      <c r="E1178" s="10">
        <f t="shared" si="2"/>
        <v>45397</v>
      </c>
      <c r="F1178" s="10">
        <f t="shared" si="3"/>
        <v>45383</v>
      </c>
      <c r="G1178" s="11"/>
    </row>
    <row r="1179">
      <c r="A1179" s="5">
        <f>IFERROR(__xludf.DUMMYFUNCTION("""COMPUTED_VALUE"""),6365.0)</f>
        <v>6365</v>
      </c>
      <c r="B1179" s="9">
        <f>IFERROR(__xludf.DUMMYFUNCTION("""COMPUTED_VALUE"""),45401.45361111111)</f>
        <v>45401.45361</v>
      </c>
      <c r="C1179" s="5" t="str">
        <f>IFERROR(__xludf.DUMMYFUNCTION("""COMPUTED_VALUE"""),"purchase")</f>
        <v>purchase</v>
      </c>
      <c r="D1179" s="10">
        <f t="shared" si="1"/>
        <v>45401</v>
      </c>
      <c r="E1179" s="10">
        <f t="shared" si="2"/>
        <v>45397</v>
      </c>
      <c r="F1179" s="10">
        <f t="shared" si="3"/>
        <v>45383</v>
      </c>
      <c r="G1179" s="11"/>
    </row>
    <row r="1180">
      <c r="A1180" s="5">
        <f>IFERROR(__xludf.DUMMYFUNCTION("""COMPUTED_VALUE"""),4035.0)</f>
        <v>4035</v>
      </c>
      <c r="B1180" s="9">
        <f>IFERROR(__xludf.DUMMYFUNCTION("""COMPUTED_VALUE"""),45401.52208333334)</f>
        <v>45401.52208</v>
      </c>
      <c r="C1180" s="5" t="str">
        <f>IFERROR(__xludf.DUMMYFUNCTION("""COMPUTED_VALUE"""),"purchase")</f>
        <v>purchase</v>
      </c>
      <c r="D1180" s="10">
        <f t="shared" si="1"/>
        <v>45401</v>
      </c>
      <c r="E1180" s="10">
        <f t="shared" si="2"/>
        <v>45397</v>
      </c>
      <c r="F1180" s="10">
        <f t="shared" si="3"/>
        <v>45383</v>
      </c>
      <c r="G1180" s="11"/>
    </row>
    <row r="1181">
      <c r="A1181" s="5">
        <f>IFERROR(__xludf.DUMMYFUNCTION("""COMPUTED_VALUE"""),4978.0)</f>
        <v>4978</v>
      </c>
      <c r="B1181" s="9">
        <f>IFERROR(__xludf.DUMMYFUNCTION("""COMPUTED_VALUE"""),45401.53936342592)</f>
        <v>45401.53936</v>
      </c>
      <c r="C1181" s="5" t="str">
        <f>IFERROR(__xludf.DUMMYFUNCTION("""COMPUTED_VALUE"""),"purchase")</f>
        <v>purchase</v>
      </c>
      <c r="D1181" s="10">
        <f t="shared" si="1"/>
        <v>45401</v>
      </c>
      <c r="E1181" s="10">
        <f t="shared" si="2"/>
        <v>45397</v>
      </c>
      <c r="F1181" s="10">
        <f t="shared" si="3"/>
        <v>45383</v>
      </c>
      <c r="G1181" s="11"/>
    </row>
    <row r="1182">
      <c r="A1182" s="5">
        <f>IFERROR(__xludf.DUMMYFUNCTION("""COMPUTED_VALUE"""),222.0)</f>
        <v>222</v>
      </c>
      <c r="B1182" s="9">
        <f>IFERROR(__xludf.DUMMYFUNCTION("""COMPUTED_VALUE"""),45401.696597222224)</f>
        <v>45401.6966</v>
      </c>
      <c r="C1182" s="5" t="str">
        <f>IFERROR(__xludf.DUMMYFUNCTION("""COMPUTED_VALUE"""),"purchase")</f>
        <v>purchase</v>
      </c>
      <c r="D1182" s="10">
        <f t="shared" si="1"/>
        <v>45401</v>
      </c>
      <c r="E1182" s="10">
        <f t="shared" si="2"/>
        <v>45397</v>
      </c>
      <c r="F1182" s="10">
        <f t="shared" si="3"/>
        <v>45383</v>
      </c>
      <c r="G1182" s="11"/>
    </row>
    <row r="1183">
      <c r="A1183" s="5">
        <f>IFERROR(__xludf.DUMMYFUNCTION("""COMPUTED_VALUE"""),5839.0)</f>
        <v>5839</v>
      </c>
      <c r="B1183" s="9">
        <f>IFERROR(__xludf.DUMMYFUNCTION("""COMPUTED_VALUE"""),45401.77611111111)</f>
        <v>45401.77611</v>
      </c>
      <c r="C1183" s="5" t="str">
        <f>IFERROR(__xludf.DUMMYFUNCTION("""COMPUTED_VALUE"""),"purchase")</f>
        <v>purchase</v>
      </c>
      <c r="D1183" s="10">
        <f t="shared" si="1"/>
        <v>45401</v>
      </c>
      <c r="E1183" s="10">
        <f t="shared" si="2"/>
        <v>45397</v>
      </c>
      <c r="F1183" s="10">
        <f t="shared" si="3"/>
        <v>45383</v>
      </c>
      <c r="G1183" s="11"/>
    </row>
    <row r="1184">
      <c r="A1184" s="5">
        <f>IFERROR(__xludf.DUMMYFUNCTION("""COMPUTED_VALUE"""),5521.0)</f>
        <v>5521</v>
      </c>
      <c r="B1184" s="9">
        <f>IFERROR(__xludf.DUMMYFUNCTION("""COMPUTED_VALUE"""),45401.850648148145)</f>
        <v>45401.85065</v>
      </c>
      <c r="C1184" s="5" t="str">
        <f>IFERROR(__xludf.DUMMYFUNCTION("""COMPUTED_VALUE"""),"purchase")</f>
        <v>purchase</v>
      </c>
      <c r="D1184" s="10">
        <f t="shared" si="1"/>
        <v>45401</v>
      </c>
      <c r="E1184" s="10">
        <f t="shared" si="2"/>
        <v>45397</v>
      </c>
      <c r="F1184" s="10">
        <f t="shared" si="3"/>
        <v>45383</v>
      </c>
      <c r="G1184" s="11"/>
    </row>
    <row r="1185">
      <c r="A1185" s="5">
        <f>IFERROR(__xludf.DUMMYFUNCTION("""COMPUTED_VALUE"""),7134.0)</f>
        <v>7134</v>
      </c>
      <c r="B1185" s="9">
        <f>IFERROR(__xludf.DUMMYFUNCTION("""COMPUTED_VALUE"""),45401.983831018515)</f>
        <v>45401.98383</v>
      </c>
      <c r="C1185" s="5" t="str">
        <f>IFERROR(__xludf.DUMMYFUNCTION("""COMPUTED_VALUE"""),"purchase")</f>
        <v>purchase</v>
      </c>
      <c r="D1185" s="10">
        <f t="shared" si="1"/>
        <v>45401</v>
      </c>
      <c r="E1185" s="10">
        <f t="shared" si="2"/>
        <v>45397</v>
      </c>
      <c r="F1185" s="10">
        <f t="shared" si="3"/>
        <v>45383</v>
      </c>
      <c r="G1185" s="11"/>
    </row>
    <row r="1186">
      <c r="A1186" s="5">
        <f>IFERROR(__xludf.DUMMYFUNCTION("""COMPUTED_VALUE"""),7166.0)</f>
        <v>7166</v>
      </c>
      <c r="B1186" s="9">
        <f>IFERROR(__xludf.DUMMYFUNCTION("""COMPUTED_VALUE"""),45402.03021990741)</f>
        <v>45402.03022</v>
      </c>
      <c r="C1186" s="5" t="str">
        <f>IFERROR(__xludf.DUMMYFUNCTION("""COMPUTED_VALUE"""),"purchase")</f>
        <v>purchase</v>
      </c>
      <c r="D1186" s="10">
        <f t="shared" si="1"/>
        <v>45402</v>
      </c>
      <c r="E1186" s="10">
        <f t="shared" si="2"/>
        <v>45397</v>
      </c>
      <c r="F1186" s="10">
        <f t="shared" si="3"/>
        <v>45383</v>
      </c>
      <c r="G1186" s="11"/>
    </row>
    <row r="1187">
      <c r="A1187" s="5">
        <f>IFERROR(__xludf.DUMMYFUNCTION("""COMPUTED_VALUE"""),749.0)</f>
        <v>749</v>
      </c>
      <c r="B1187" s="9">
        <f>IFERROR(__xludf.DUMMYFUNCTION("""COMPUTED_VALUE"""),45402.053078703706)</f>
        <v>45402.05308</v>
      </c>
      <c r="C1187" s="5" t="str">
        <f>IFERROR(__xludf.DUMMYFUNCTION("""COMPUTED_VALUE"""),"purchase")</f>
        <v>purchase</v>
      </c>
      <c r="D1187" s="10">
        <f t="shared" si="1"/>
        <v>45402</v>
      </c>
      <c r="E1187" s="10">
        <f t="shared" si="2"/>
        <v>45397</v>
      </c>
      <c r="F1187" s="10">
        <f t="shared" si="3"/>
        <v>45383</v>
      </c>
      <c r="G1187" s="11"/>
    </row>
    <row r="1188">
      <c r="A1188" s="5">
        <f>IFERROR(__xludf.DUMMYFUNCTION("""COMPUTED_VALUE"""),6154.0)</f>
        <v>6154</v>
      </c>
      <c r="B1188" s="9">
        <f>IFERROR(__xludf.DUMMYFUNCTION("""COMPUTED_VALUE"""),45402.110300925924)</f>
        <v>45402.1103</v>
      </c>
      <c r="C1188" s="5" t="str">
        <f>IFERROR(__xludf.DUMMYFUNCTION("""COMPUTED_VALUE"""),"purchase")</f>
        <v>purchase</v>
      </c>
      <c r="D1188" s="10">
        <f t="shared" si="1"/>
        <v>45402</v>
      </c>
      <c r="E1188" s="10">
        <f t="shared" si="2"/>
        <v>45397</v>
      </c>
      <c r="F1188" s="10">
        <f t="shared" si="3"/>
        <v>45383</v>
      </c>
      <c r="G1188" s="11"/>
    </row>
    <row r="1189">
      <c r="A1189" s="5">
        <f>IFERROR(__xludf.DUMMYFUNCTION("""COMPUTED_VALUE"""),2590.0)</f>
        <v>2590</v>
      </c>
      <c r="B1189" s="9">
        <f>IFERROR(__xludf.DUMMYFUNCTION("""COMPUTED_VALUE"""),45402.18172453704)</f>
        <v>45402.18172</v>
      </c>
      <c r="C1189" s="5" t="str">
        <f>IFERROR(__xludf.DUMMYFUNCTION("""COMPUTED_VALUE"""),"purchase")</f>
        <v>purchase</v>
      </c>
      <c r="D1189" s="10">
        <f t="shared" si="1"/>
        <v>45402</v>
      </c>
      <c r="E1189" s="10">
        <f t="shared" si="2"/>
        <v>45397</v>
      </c>
      <c r="F1189" s="10">
        <f t="shared" si="3"/>
        <v>45383</v>
      </c>
      <c r="G1189" s="11"/>
    </row>
    <row r="1190">
      <c r="A1190" s="5">
        <f>IFERROR(__xludf.DUMMYFUNCTION("""COMPUTED_VALUE"""),5373.0)</f>
        <v>5373</v>
      </c>
      <c r="B1190" s="9">
        <f>IFERROR(__xludf.DUMMYFUNCTION("""COMPUTED_VALUE"""),45402.20554398148)</f>
        <v>45402.20554</v>
      </c>
      <c r="C1190" s="5" t="str">
        <f>IFERROR(__xludf.DUMMYFUNCTION("""COMPUTED_VALUE"""),"purchase")</f>
        <v>purchase</v>
      </c>
      <c r="D1190" s="10">
        <f t="shared" si="1"/>
        <v>45402</v>
      </c>
      <c r="E1190" s="10">
        <f t="shared" si="2"/>
        <v>45397</v>
      </c>
      <c r="F1190" s="10">
        <f t="shared" si="3"/>
        <v>45383</v>
      </c>
      <c r="G1190" s="11"/>
    </row>
    <row r="1191">
      <c r="A1191" s="5">
        <f>IFERROR(__xludf.DUMMYFUNCTION("""COMPUTED_VALUE"""),933.0)</f>
        <v>933</v>
      </c>
      <c r="B1191" s="9">
        <f>IFERROR(__xludf.DUMMYFUNCTION("""COMPUTED_VALUE"""),45402.20916666667)</f>
        <v>45402.20917</v>
      </c>
      <c r="C1191" s="5" t="str">
        <f>IFERROR(__xludf.DUMMYFUNCTION("""COMPUTED_VALUE"""),"purchase")</f>
        <v>purchase</v>
      </c>
      <c r="D1191" s="10">
        <f t="shared" si="1"/>
        <v>45402</v>
      </c>
      <c r="E1191" s="10">
        <f t="shared" si="2"/>
        <v>45397</v>
      </c>
      <c r="F1191" s="10">
        <f t="shared" si="3"/>
        <v>45383</v>
      </c>
      <c r="G1191" s="11"/>
    </row>
    <row r="1192">
      <c r="A1192" s="5">
        <f>IFERROR(__xludf.DUMMYFUNCTION("""COMPUTED_VALUE"""),3380.0)</f>
        <v>3380</v>
      </c>
      <c r="B1192" s="9">
        <f>IFERROR(__xludf.DUMMYFUNCTION("""COMPUTED_VALUE"""),45402.246400462966)</f>
        <v>45402.2464</v>
      </c>
      <c r="C1192" s="5" t="str">
        <f>IFERROR(__xludf.DUMMYFUNCTION("""COMPUTED_VALUE"""),"purchase")</f>
        <v>purchase</v>
      </c>
      <c r="D1192" s="10">
        <f t="shared" si="1"/>
        <v>45402</v>
      </c>
      <c r="E1192" s="10">
        <f t="shared" si="2"/>
        <v>45397</v>
      </c>
      <c r="F1192" s="10">
        <f t="shared" si="3"/>
        <v>45383</v>
      </c>
      <c r="G1192" s="11"/>
    </row>
    <row r="1193">
      <c r="A1193" s="5">
        <f>IFERROR(__xludf.DUMMYFUNCTION("""COMPUTED_VALUE"""),4909.0)</f>
        <v>4909</v>
      </c>
      <c r="B1193" s="9">
        <f>IFERROR(__xludf.DUMMYFUNCTION("""COMPUTED_VALUE"""),45402.29655092592)</f>
        <v>45402.29655</v>
      </c>
      <c r="C1193" s="5" t="str">
        <f>IFERROR(__xludf.DUMMYFUNCTION("""COMPUTED_VALUE"""),"purchase")</f>
        <v>purchase</v>
      </c>
      <c r="D1193" s="10">
        <f t="shared" si="1"/>
        <v>45402</v>
      </c>
      <c r="E1193" s="10">
        <f t="shared" si="2"/>
        <v>45397</v>
      </c>
      <c r="F1193" s="10">
        <f t="shared" si="3"/>
        <v>45383</v>
      </c>
      <c r="G1193" s="11"/>
    </row>
    <row r="1194">
      <c r="A1194" s="5">
        <f>IFERROR(__xludf.DUMMYFUNCTION("""COMPUTED_VALUE"""),352.0)</f>
        <v>352</v>
      </c>
      <c r="B1194" s="9">
        <f>IFERROR(__xludf.DUMMYFUNCTION("""COMPUTED_VALUE"""),45402.514375)</f>
        <v>45402.51438</v>
      </c>
      <c r="C1194" s="5" t="str">
        <f>IFERROR(__xludf.DUMMYFUNCTION("""COMPUTED_VALUE"""),"purchase")</f>
        <v>purchase</v>
      </c>
      <c r="D1194" s="10">
        <f t="shared" si="1"/>
        <v>45402</v>
      </c>
      <c r="E1194" s="10">
        <f t="shared" si="2"/>
        <v>45397</v>
      </c>
      <c r="F1194" s="10">
        <f t="shared" si="3"/>
        <v>45383</v>
      </c>
      <c r="G1194" s="11"/>
    </row>
    <row r="1195">
      <c r="A1195" s="5">
        <f>IFERROR(__xludf.DUMMYFUNCTION("""COMPUTED_VALUE"""),381.0)</f>
        <v>381</v>
      </c>
      <c r="B1195" s="9">
        <f>IFERROR(__xludf.DUMMYFUNCTION("""COMPUTED_VALUE"""),45402.630162037036)</f>
        <v>45402.63016</v>
      </c>
      <c r="C1195" s="5" t="str">
        <f>IFERROR(__xludf.DUMMYFUNCTION("""COMPUTED_VALUE"""),"purchase")</f>
        <v>purchase</v>
      </c>
      <c r="D1195" s="10">
        <f t="shared" si="1"/>
        <v>45402</v>
      </c>
      <c r="E1195" s="10">
        <f t="shared" si="2"/>
        <v>45397</v>
      </c>
      <c r="F1195" s="10">
        <f t="shared" si="3"/>
        <v>45383</v>
      </c>
      <c r="G1195" s="11"/>
    </row>
    <row r="1196">
      <c r="A1196" s="5">
        <f>IFERROR(__xludf.DUMMYFUNCTION("""COMPUTED_VALUE"""),5526.0)</f>
        <v>5526</v>
      </c>
      <c r="B1196" s="9">
        <f>IFERROR(__xludf.DUMMYFUNCTION("""COMPUTED_VALUE"""),45402.67030092593)</f>
        <v>45402.6703</v>
      </c>
      <c r="C1196" s="5" t="str">
        <f>IFERROR(__xludf.DUMMYFUNCTION("""COMPUTED_VALUE"""),"purchase")</f>
        <v>purchase</v>
      </c>
      <c r="D1196" s="10">
        <f t="shared" si="1"/>
        <v>45402</v>
      </c>
      <c r="E1196" s="10">
        <f t="shared" si="2"/>
        <v>45397</v>
      </c>
      <c r="F1196" s="10">
        <f t="shared" si="3"/>
        <v>45383</v>
      </c>
      <c r="G1196" s="11"/>
    </row>
    <row r="1197">
      <c r="A1197" s="5">
        <f>IFERROR(__xludf.DUMMYFUNCTION("""COMPUTED_VALUE"""),4291.0)</f>
        <v>4291</v>
      </c>
      <c r="B1197" s="9">
        <f>IFERROR(__xludf.DUMMYFUNCTION("""COMPUTED_VALUE"""),45402.684270833335)</f>
        <v>45402.68427</v>
      </c>
      <c r="C1197" s="5" t="str">
        <f>IFERROR(__xludf.DUMMYFUNCTION("""COMPUTED_VALUE"""),"purchase")</f>
        <v>purchase</v>
      </c>
      <c r="D1197" s="10">
        <f t="shared" si="1"/>
        <v>45402</v>
      </c>
      <c r="E1197" s="10">
        <f t="shared" si="2"/>
        <v>45397</v>
      </c>
      <c r="F1197" s="10">
        <f t="shared" si="3"/>
        <v>45383</v>
      </c>
      <c r="G1197" s="11"/>
    </row>
    <row r="1198">
      <c r="A1198" s="5">
        <f>IFERROR(__xludf.DUMMYFUNCTION("""COMPUTED_VALUE"""),3834.0)</f>
        <v>3834</v>
      </c>
      <c r="B1198" s="9">
        <f>IFERROR(__xludf.DUMMYFUNCTION("""COMPUTED_VALUE"""),45402.853101851855)</f>
        <v>45402.8531</v>
      </c>
      <c r="C1198" s="5" t="str">
        <f>IFERROR(__xludf.DUMMYFUNCTION("""COMPUTED_VALUE"""),"purchase")</f>
        <v>purchase</v>
      </c>
      <c r="D1198" s="10">
        <f t="shared" si="1"/>
        <v>45402</v>
      </c>
      <c r="E1198" s="10">
        <f t="shared" si="2"/>
        <v>45397</v>
      </c>
      <c r="F1198" s="10">
        <f t="shared" si="3"/>
        <v>45383</v>
      </c>
      <c r="G1198" s="11"/>
    </row>
    <row r="1199">
      <c r="A1199" s="5">
        <f>IFERROR(__xludf.DUMMYFUNCTION("""COMPUTED_VALUE"""),7227.0)</f>
        <v>7227</v>
      </c>
      <c r="B1199" s="9">
        <f>IFERROR(__xludf.DUMMYFUNCTION("""COMPUTED_VALUE"""),45403.04163194444)</f>
        <v>45403.04163</v>
      </c>
      <c r="C1199" s="5" t="str">
        <f>IFERROR(__xludf.DUMMYFUNCTION("""COMPUTED_VALUE"""),"purchase")</f>
        <v>purchase</v>
      </c>
      <c r="D1199" s="10">
        <f t="shared" si="1"/>
        <v>45403</v>
      </c>
      <c r="E1199" s="10">
        <f t="shared" si="2"/>
        <v>45397</v>
      </c>
      <c r="F1199" s="10">
        <f t="shared" si="3"/>
        <v>45383</v>
      </c>
      <c r="G1199" s="11"/>
    </row>
    <row r="1200">
      <c r="A1200" s="5">
        <f>IFERROR(__xludf.DUMMYFUNCTION("""COMPUTED_VALUE"""),673.0)</f>
        <v>673</v>
      </c>
      <c r="B1200" s="9">
        <f>IFERROR(__xludf.DUMMYFUNCTION("""COMPUTED_VALUE"""),45403.078668981485)</f>
        <v>45403.07867</v>
      </c>
      <c r="C1200" s="5" t="str">
        <f>IFERROR(__xludf.DUMMYFUNCTION("""COMPUTED_VALUE"""),"purchase")</f>
        <v>purchase</v>
      </c>
      <c r="D1200" s="10">
        <f t="shared" si="1"/>
        <v>45403</v>
      </c>
      <c r="E1200" s="10">
        <f t="shared" si="2"/>
        <v>45397</v>
      </c>
      <c r="F1200" s="10">
        <f t="shared" si="3"/>
        <v>45383</v>
      </c>
      <c r="G1200" s="11"/>
    </row>
    <row r="1201">
      <c r="A1201" s="5">
        <f>IFERROR(__xludf.DUMMYFUNCTION("""COMPUTED_VALUE"""),774.0)</f>
        <v>774</v>
      </c>
      <c r="B1201" s="9">
        <f>IFERROR(__xludf.DUMMYFUNCTION("""COMPUTED_VALUE"""),45403.08731481482)</f>
        <v>45403.08731</v>
      </c>
      <c r="C1201" s="5" t="str">
        <f>IFERROR(__xludf.DUMMYFUNCTION("""COMPUTED_VALUE"""),"purchase")</f>
        <v>purchase</v>
      </c>
      <c r="D1201" s="10">
        <f t="shared" si="1"/>
        <v>45403</v>
      </c>
      <c r="E1201" s="10">
        <f t="shared" si="2"/>
        <v>45397</v>
      </c>
      <c r="F1201" s="10">
        <f t="shared" si="3"/>
        <v>45383</v>
      </c>
      <c r="G1201" s="11"/>
    </row>
    <row r="1202">
      <c r="A1202" s="5">
        <f>IFERROR(__xludf.DUMMYFUNCTION("""COMPUTED_VALUE"""),4936.0)</f>
        <v>4936</v>
      </c>
      <c r="B1202" s="9">
        <f>IFERROR(__xludf.DUMMYFUNCTION("""COMPUTED_VALUE"""),45403.11491898148)</f>
        <v>45403.11492</v>
      </c>
      <c r="C1202" s="5" t="str">
        <f>IFERROR(__xludf.DUMMYFUNCTION("""COMPUTED_VALUE"""),"purchase")</f>
        <v>purchase</v>
      </c>
      <c r="D1202" s="10">
        <f t="shared" si="1"/>
        <v>45403</v>
      </c>
      <c r="E1202" s="10">
        <f t="shared" si="2"/>
        <v>45397</v>
      </c>
      <c r="F1202" s="10">
        <f t="shared" si="3"/>
        <v>45383</v>
      </c>
      <c r="G1202" s="11"/>
    </row>
    <row r="1203">
      <c r="A1203" s="5">
        <f>IFERROR(__xludf.DUMMYFUNCTION("""COMPUTED_VALUE"""),6585.0)</f>
        <v>6585</v>
      </c>
      <c r="B1203" s="9">
        <f>IFERROR(__xludf.DUMMYFUNCTION("""COMPUTED_VALUE"""),45403.171006944445)</f>
        <v>45403.17101</v>
      </c>
      <c r="C1203" s="5" t="str">
        <f>IFERROR(__xludf.DUMMYFUNCTION("""COMPUTED_VALUE"""),"purchase")</f>
        <v>purchase</v>
      </c>
      <c r="D1203" s="10">
        <f t="shared" si="1"/>
        <v>45403</v>
      </c>
      <c r="E1203" s="10">
        <f t="shared" si="2"/>
        <v>45397</v>
      </c>
      <c r="F1203" s="10">
        <f t="shared" si="3"/>
        <v>45383</v>
      </c>
      <c r="G1203" s="11"/>
    </row>
    <row r="1204">
      <c r="A1204" s="5">
        <f>IFERROR(__xludf.DUMMYFUNCTION("""COMPUTED_VALUE"""),6512.0)</f>
        <v>6512</v>
      </c>
      <c r="B1204" s="9">
        <f>IFERROR(__xludf.DUMMYFUNCTION("""COMPUTED_VALUE"""),45403.171122685184)</f>
        <v>45403.17112</v>
      </c>
      <c r="C1204" s="5" t="str">
        <f>IFERROR(__xludf.DUMMYFUNCTION("""COMPUTED_VALUE"""),"purchase")</f>
        <v>purchase</v>
      </c>
      <c r="D1204" s="10">
        <f t="shared" si="1"/>
        <v>45403</v>
      </c>
      <c r="E1204" s="10">
        <f t="shared" si="2"/>
        <v>45397</v>
      </c>
      <c r="F1204" s="10">
        <f t="shared" si="3"/>
        <v>45383</v>
      </c>
      <c r="G1204" s="11"/>
    </row>
    <row r="1205">
      <c r="A1205" s="5">
        <f>IFERROR(__xludf.DUMMYFUNCTION("""COMPUTED_VALUE"""),4320.0)</f>
        <v>4320</v>
      </c>
      <c r="B1205" s="9">
        <f>IFERROR(__xludf.DUMMYFUNCTION("""COMPUTED_VALUE"""),45403.30479166667)</f>
        <v>45403.30479</v>
      </c>
      <c r="C1205" s="5" t="str">
        <f>IFERROR(__xludf.DUMMYFUNCTION("""COMPUTED_VALUE"""),"purchase")</f>
        <v>purchase</v>
      </c>
      <c r="D1205" s="10">
        <f t="shared" si="1"/>
        <v>45403</v>
      </c>
      <c r="E1205" s="10">
        <f t="shared" si="2"/>
        <v>45397</v>
      </c>
      <c r="F1205" s="10">
        <f t="shared" si="3"/>
        <v>45383</v>
      </c>
      <c r="G1205" s="11"/>
    </row>
    <row r="1206">
      <c r="A1206" s="5">
        <f>IFERROR(__xludf.DUMMYFUNCTION("""COMPUTED_VALUE"""),4928.0)</f>
        <v>4928</v>
      </c>
      <c r="B1206" s="9">
        <f>IFERROR(__xludf.DUMMYFUNCTION("""COMPUTED_VALUE"""),45403.324641203704)</f>
        <v>45403.32464</v>
      </c>
      <c r="C1206" s="5" t="str">
        <f>IFERROR(__xludf.DUMMYFUNCTION("""COMPUTED_VALUE"""),"purchase")</f>
        <v>purchase</v>
      </c>
      <c r="D1206" s="10">
        <f t="shared" si="1"/>
        <v>45403</v>
      </c>
      <c r="E1206" s="10">
        <f t="shared" si="2"/>
        <v>45397</v>
      </c>
      <c r="F1206" s="10">
        <f t="shared" si="3"/>
        <v>45383</v>
      </c>
      <c r="G1206" s="11"/>
    </row>
    <row r="1207">
      <c r="A1207" s="5">
        <f>IFERROR(__xludf.DUMMYFUNCTION("""COMPUTED_VALUE"""),1756.0)</f>
        <v>1756</v>
      </c>
      <c r="B1207" s="9">
        <f>IFERROR(__xludf.DUMMYFUNCTION("""COMPUTED_VALUE"""),45403.42841435185)</f>
        <v>45403.42841</v>
      </c>
      <c r="C1207" s="5" t="str">
        <f>IFERROR(__xludf.DUMMYFUNCTION("""COMPUTED_VALUE"""),"purchase")</f>
        <v>purchase</v>
      </c>
      <c r="D1207" s="10">
        <f t="shared" si="1"/>
        <v>45403</v>
      </c>
      <c r="E1207" s="10">
        <f t="shared" si="2"/>
        <v>45397</v>
      </c>
      <c r="F1207" s="10">
        <f t="shared" si="3"/>
        <v>45383</v>
      </c>
      <c r="G1207" s="11"/>
    </row>
    <row r="1208">
      <c r="A1208" s="5">
        <f>IFERROR(__xludf.DUMMYFUNCTION("""COMPUTED_VALUE"""),4536.0)</f>
        <v>4536</v>
      </c>
      <c r="B1208" s="9">
        <f>IFERROR(__xludf.DUMMYFUNCTION("""COMPUTED_VALUE"""),45403.4458912037)</f>
        <v>45403.44589</v>
      </c>
      <c r="C1208" s="5" t="str">
        <f>IFERROR(__xludf.DUMMYFUNCTION("""COMPUTED_VALUE"""),"purchase")</f>
        <v>purchase</v>
      </c>
      <c r="D1208" s="10">
        <f t="shared" si="1"/>
        <v>45403</v>
      </c>
      <c r="E1208" s="10">
        <f t="shared" si="2"/>
        <v>45397</v>
      </c>
      <c r="F1208" s="10">
        <f t="shared" si="3"/>
        <v>45383</v>
      </c>
      <c r="G1208" s="11"/>
    </row>
    <row r="1209">
      <c r="A1209" s="5">
        <f>IFERROR(__xludf.DUMMYFUNCTION("""COMPUTED_VALUE"""),2843.0)</f>
        <v>2843</v>
      </c>
      <c r="B1209" s="9">
        <f>IFERROR(__xludf.DUMMYFUNCTION("""COMPUTED_VALUE"""),45403.63251157408)</f>
        <v>45403.63251</v>
      </c>
      <c r="C1209" s="5" t="str">
        <f>IFERROR(__xludf.DUMMYFUNCTION("""COMPUTED_VALUE"""),"purchase")</f>
        <v>purchase</v>
      </c>
      <c r="D1209" s="10">
        <f t="shared" si="1"/>
        <v>45403</v>
      </c>
      <c r="E1209" s="10">
        <f t="shared" si="2"/>
        <v>45397</v>
      </c>
      <c r="F1209" s="10">
        <f t="shared" si="3"/>
        <v>45383</v>
      </c>
      <c r="G1209" s="11"/>
    </row>
    <row r="1210">
      <c r="A1210" s="5">
        <f>IFERROR(__xludf.DUMMYFUNCTION("""COMPUTED_VALUE"""),18.0)</f>
        <v>18</v>
      </c>
      <c r="B1210" s="9">
        <f>IFERROR(__xludf.DUMMYFUNCTION("""COMPUTED_VALUE"""),45403.63680555556)</f>
        <v>45403.63681</v>
      </c>
      <c r="C1210" s="5" t="str">
        <f>IFERROR(__xludf.DUMMYFUNCTION("""COMPUTED_VALUE"""),"purchase")</f>
        <v>purchase</v>
      </c>
      <c r="D1210" s="10">
        <f t="shared" si="1"/>
        <v>45403</v>
      </c>
      <c r="E1210" s="10">
        <f t="shared" si="2"/>
        <v>45397</v>
      </c>
      <c r="F1210" s="10">
        <f t="shared" si="3"/>
        <v>45383</v>
      </c>
      <c r="G1210" s="11"/>
    </row>
    <row r="1211">
      <c r="A1211" s="5">
        <f>IFERROR(__xludf.DUMMYFUNCTION("""COMPUTED_VALUE"""),5131.0)</f>
        <v>5131</v>
      </c>
      <c r="B1211" s="9">
        <f>IFERROR(__xludf.DUMMYFUNCTION("""COMPUTED_VALUE"""),45403.74829861111)</f>
        <v>45403.7483</v>
      </c>
      <c r="C1211" s="5" t="str">
        <f>IFERROR(__xludf.DUMMYFUNCTION("""COMPUTED_VALUE"""),"purchase")</f>
        <v>purchase</v>
      </c>
      <c r="D1211" s="10">
        <f t="shared" si="1"/>
        <v>45403</v>
      </c>
      <c r="E1211" s="10">
        <f t="shared" si="2"/>
        <v>45397</v>
      </c>
      <c r="F1211" s="10">
        <f t="shared" si="3"/>
        <v>45383</v>
      </c>
      <c r="G1211" s="11"/>
    </row>
    <row r="1212">
      <c r="A1212" s="5">
        <f>IFERROR(__xludf.DUMMYFUNCTION("""COMPUTED_VALUE"""),2756.0)</f>
        <v>2756</v>
      </c>
      <c r="B1212" s="9">
        <f>IFERROR(__xludf.DUMMYFUNCTION("""COMPUTED_VALUE"""),45403.817824074074)</f>
        <v>45403.81782</v>
      </c>
      <c r="C1212" s="5" t="str">
        <f>IFERROR(__xludf.DUMMYFUNCTION("""COMPUTED_VALUE"""),"purchase")</f>
        <v>purchase</v>
      </c>
      <c r="D1212" s="10">
        <f t="shared" si="1"/>
        <v>45403</v>
      </c>
      <c r="E1212" s="10">
        <f t="shared" si="2"/>
        <v>45397</v>
      </c>
      <c r="F1212" s="10">
        <f t="shared" si="3"/>
        <v>45383</v>
      </c>
      <c r="G1212" s="11"/>
    </row>
    <row r="1213">
      <c r="A1213" s="5">
        <f>IFERROR(__xludf.DUMMYFUNCTION("""COMPUTED_VALUE"""),6677.0)</f>
        <v>6677</v>
      </c>
      <c r="B1213" s="9">
        <f>IFERROR(__xludf.DUMMYFUNCTION("""COMPUTED_VALUE"""),45403.87207175926)</f>
        <v>45403.87207</v>
      </c>
      <c r="C1213" s="5" t="str">
        <f>IFERROR(__xludf.DUMMYFUNCTION("""COMPUTED_VALUE"""),"purchase")</f>
        <v>purchase</v>
      </c>
      <c r="D1213" s="10">
        <f t="shared" si="1"/>
        <v>45403</v>
      </c>
      <c r="E1213" s="10">
        <f t="shared" si="2"/>
        <v>45397</v>
      </c>
      <c r="F1213" s="10">
        <f t="shared" si="3"/>
        <v>45383</v>
      </c>
      <c r="G1213" s="11"/>
    </row>
    <row r="1214">
      <c r="A1214" s="5">
        <f>IFERROR(__xludf.DUMMYFUNCTION("""COMPUTED_VALUE"""),4324.0)</f>
        <v>4324</v>
      </c>
      <c r="B1214" s="9">
        <f>IFERROR(__xludf.DUMMYFUNCTION("""COMPUTED_VALUE"""),45403.87744212963)</f>
        <v>45403.87744</v>
      </c>
      <c r="C1214" s="5" t="str">
        <f>IFERROR(__xludf.DUMMYFUNCTION("""COMPUTED_VALUE"""),"purchase")</f>
        <v>purchase</v>
      </c>
      <c r="D1214" s="10">
        <f t="shared" si="1"/>
        <v>45403</v>
      </c>
      <c r="E1214" s="10">
        <f t="shared" si="2"/>
        <v>45397</v>
      </c>
      <c r="F1214" s="10">
        <f t="shared" si="3"/>
        <v>45383</v>
      </c>
      <c r="G1214" s="11"/>
    </row>
    <row r="1215">
      <c r="A1215" s="5">
        <f>IFERROR(__xludf.DUMMYFUNCTION("""COMPUTED_VALUE"""),2265.0)</f>
        <v>2265</v>
      </c>
      <c r="B1215" s="9">
        <f>IFERROR(__xludf.DUMMYFUNCTION("""COMPUTED_VALUE"""),45403.90608796296)</f>
        <v>45403.90609</v>
      </c>
      <c r="C1215" s="5" t="str">
        <f>IFERROR(__xludf.DUMMYFUNCTION("""COMPUTED_VALUE"""),"purchase")</f>
        <v>purchase</v>
      </c>
      <c r="D1215" s="10">
        <f t="shared" si="1"/>
        <v>45403</v>
      </c>
      <c r="E1215" s="10">
        <f t="shared" si="2"/>
        <v>45397</v>
      </c>
      <c r="F1215" s="10">
        <f t="shared" si="3"/>
        <v>45383</v>
      </c>
      <c r="G1215" s="11"/>
    </row>
    <row r="1216">
      <c r="A1216" s="5">
        <f>IFERROR(__xludf.DUMMYFUNCTION("""COMPUTED_VALUE"""),1570.0)</f>
        <v>1570</v>
      </c>
      <c r="B1216" s="9">
        <f>IFERROR(__xludf.DUMMYFUNCTION("""COMPUTED_VALUE"""),45403.97460648148)</f>
        <v>45403.97461</v>
      </c>
      <c r="C1216" s="5" t="str">
        <f>IFERROR(__xludf.DUMMYFUNCTION("""COMPUTED_VALUE"""),"purchase")</f>
        <v>purchase</v>
      </c>
      <c r="D1216" s="10">
        <f t="shared" si="1"/>
        <v>45403</v>
      </c>
      <c r="E1216" s="10">
        <f t="shared" si="2"/>
        <v>45397</v>
      </c>
      <c r="F1216" s="10">
        <f t="shared" si="3"/>
        <v>45383</v>
      </c>
      <c r="G1216" s="11"/>
    </row>
    <row r="1217">
      <c r="A1217" s="5">
        <f>IFERROR(__xludf.DUMMYFUNCTION("""COMPUTED_VALUE"""),5618.0)</f>
        <v>5618</v>
      </c>
      <c r="B1217" s="9">
        <f>IFERROR(__xludf.DUMMYFUNCTION("""COMPUTED_VALUE"""),45404.00274305556)</f>
        <v>45404.00274</v>
      </c>
      <c r="C1217" s="5" t="str">
        <f>IFERROR(__xludf.DUMMYFUNCTION("""COMPUTED_VALUE"""),"purchase")</f>
        <v>purchase</v>
      </c>
      <c r="D1217" s="10">
        <f t="shared" si="1"/>
        <v>45404</v>
      </c>
      <c r="E1217" s="10">
        <f t="shared" si="2"/>
        <v>45404</v>
      </c>
      <c r="F1217" s="10">
        <f t="shared" si="3"/>
        <v>45383</v>
      </c>
      <c r="G1217" s="11"/>
    </row>
    <row r="1218">
      <c r="A1218" s="5">
        <f>IFERROR(__xludf.DUMMYFUNCTION("""COMPUTED_VALUE"""),1019.0)</f>
        <v>1019</v>
      </c>
      <c r="B1218" s="9">
        <f>IFERROR(__xludf.DUMMYFUNCTION("""COMPUTED_VALUE"""),45404.00325231482)</f>
        <v>45404.00325</v>
      </c>
      <c r="C1218" s="5" t="str">
        <f>IFERROR(__xludf.DUMMYFUNCTION("""COMPUTED_VALUE"""),"purchase")</f>
        <v>purchase</v>
      </c>
      <c r="D1218" s="10">
        <f t="shared" si="1"/>
        <v>45404</v>
      </c>
      <c r="E1218" s="10">
        <f t="shared" si="2"/>
        <v>45404</v>
      </c>
      <c r="F1218" s="10">
        <f t="shared" si="3"/>
        <v>45383</v>
      </c>
      <c r="G1218" s="11"/>
    </row>
    <row r="1219">
      <c r="A1219" s="5">
        <f>IFERROR(__xludf.DUMMYFUNCTION("""COMPUTED_VALUE"""),2183.0)</f>
        <v>2183</v>
      </c>
      <c r="B1219" s="9">
        <f>IFERROR(__xludf.DUMMYFUNCTION("""COMPUTED_VALUE"""),45404.06565972222)</f>
        <v>45404.06566</v>
      </c>
      <c r="C1219" s="5" t="str">
        <f>IFERROR(__xludf.DUMMYFUNCTION("""COMPUTED_VALUE"""),"purchase")</f>
        <v>purchase</v>
      </c>
      <c r="D1219" s="10">
        <f t="shared" si="1"/>
        <v>45404</v>
      </c>
      <c r="E1219" s="10">
        <f t="shared" si="2"/>
        <v>45404</v>
      </c>
      <c r="F1219" s="10">
        <f t="shared" si="3"/>
        <v>45383</v>
      </c>
      <c r="G1219" s="11"/>
    </row>
    <row r="1220">
      <c r="A1220" s="5">
        <f>IFERROR(__xludf.DUMMYFUNCTION("""COMPUTED_VALUE"""),6763.0)</f>
        <v>6763</v>
      </c>
      <c r="B1220" s="9">
        <f>IFERROR(__xludf.DUMMYFUNCTION("""COMPUTED_VALUE"""),45404.11770833333)</f>
        <v>45404.11771</v>
      </c>
      <c r="C1220" s="5" t="str">
        <f>IFERROR(__xludf.DUMMYFUNCTION("""COMPUTED_VALUE"""),"purchase")</f>
        <v>purchase</v>
      </c>
      <c r="D1220" s="10">
        <f t="shared" si="1"/>
        <v>45404</v>
      </c>
      <c r="E1220" s="10">
        <f t="shared" si="2"/>
        <v>45404</v>
      </c>
      <c r="F1220" s="10">
        <f t="shared" si="3"/>
        <v>45383</v>
      </c>
      <c r="G1220" s="11"/>
    </row>
    <row r="1221">
      <c r="A1221" s="5">
        <f>IFERROR(__xludf.DUMMYFUNCTION("""COMPUTED_VALUE"""),1323.0)</f>
        <v>1323</v>
      </c>
      <c r="B1221" s="9">
        <f>IFERROR(__xludf.DUMMYFUNCTION("""COMPUTED_VALUE"""),45404.371782407405)</f>
        <v>45404.37178</v>
      </c>
      <c r="C1221" s="5" t="str">
        <f>IFERROR(__xludf.DUMMYFUNCTION("""COMPUTED_VALUE"""),"purchase")</f>
        <v>purchase</v>
      </c>
      <c r="D1221" s="10">
        <f t="shared" si="1"/>
        <v>45404</v>
      </c>
      <c r="E1221" s="10">
        <f t="shared" si="2"/>
        <v>45404</v>
      </c>
      <c r="F1221" s="10">
        <f t="shared" si="3"/>
        <v>45383</v>
      </c>
      <c r="G1221" s="11"/>
    </row>
    <row r="1222">
      <c r="A1222" s="5">
        <f>IFERROR(__xludf.DUMMYFUNCTION("""COMPUTED_VALUE"""),2967.0)</f>
        <v>2967</v>
      </c>
      <c r="B1222" s="9">
        <f>IFERROR(__xludf.DUMMYFUNCTION("""COMPUTED_VALUE"""),45404.462013888886)</f>
        <v>45404.46201</v>
      </c>
      <c r="C1222" s="5" t="str">
        <f>IFERROR(__xludf.DUMMYFUNCTION("""COMPUTED_VALUE"""),"purchase")</f>
        <v>purchase</v>
      </c>
      <c r="D1222" s="10">
        <f t="shared" si="1"/>
        <v>45404</v>
      </c>
      <c r="E1222" s="10">
        <f t="shared" si="2"/>
        <v>45404</v>
      </c>
      <c r="F1222" s="10">
        <f t="shared" si="3"/>
        <v>45383</v>
      </c>
      <c r="G1222" s="11"/>
    </row>
    <row r="1223">
      <c r="A1223" s="5">
        <f>IFERROR(__xludf.DUMMYFUNCTION("""COMPUTED_VALUE"""),1917.0)</f>
        <v>1917</v>
      </c>
      <c r="B1223" s="9">
        <f>IFERROR(__xludf.DUMMYFUNCTION("""COMPUTED_VALUE"""),45404.519467592596)</f>
        <v>45404.51947</v>
      </c>
      <c r="C1223" s="5" t="str">
        <f>IFERROR(__xludf.DUMMYFUNCTION("""COMPUTED_VALUE"""),"purchase")</f>
        <v>purchase</v>
      </c>
      <c r="D1223" s="10">
        <f t="shared" si="1"/>
        <v>45404</v>
      </c>
      <c r="E1223" s="10">
        <f t="shared" si="2"/>
        <v>45404</v>
      </c>
      <c r="F1223" s="10">
        <f t="shared" si="3"/>
        <v>45383</v>
      </c>
      <c r="G1223" s="11"/>
    </row>
    <row r="1224">
      <c r="A1224" s="5">
        <f>IFERROR(__xludf.DUMMYFUNCTION("""COMPUTED_VALUE"""),4872.0)</f>
        <v>4872</v>
      </c>
      <c r="B1224" s="9">
        <f>IFERROR(__xludf.DUMMYFUNCTION("""COMPUTED_VALUE"""),45404.81831018518)</f>
        <v>45404.81831</v>
      </c>
      <c r="C1224" s="5" t="str">
        <f>IFERROR(__xludf.DUMMYFUNCTION("""COMPUTED_VALUE"""),"purchase")</f>
        <v>purchase</v>
      </c>
      <c r="D1224" s="10">
        <f t="shared" si="1"/>
        <v>45404</v>
      </c>
      <c r="E1224" s="10">
        <f t="shared" si="2"/>
        <v>45404</v>
      </c>
      <c r="F1224" s="10">
        <f t="shared" si="3"/>
        <v>45383</v>
      </c>
      <c r="G1224" s="11"/>
    </row>
    <row r="1225">
      <c r="A1225" s="5">
        <f>IFERROR(__xludf.DUMMYFUNCTION("""COMPUTED_VALUE"""),6591.0)</f>
        <v>6591</v>
      </c>
      <c r="B1225" s="9">
        <f>IFERROR(__xludf.DUMMYFUNCTION("""COMPUTED_VALUE"""),45404.881631944445)</f>
        <v>45404.88163</v>
      </c>
      <c r="C1225" s="5" t="str">
        <f>IFERROR(__xludf.DUMMYFUNCTION("""COMPUTED_VALUE"""),"purchase")</f>
        <v>purchase</v>
      </c>
      <c r="D1225" s="10">
        <f t="shared" si="1"/>
        <v>45404</v>
      </c>
      <c r="E1225" s="10">
        <f t="shared" si="2"/>
        <v>45404</v>
      </c>
      <c r="F1225" s="10">
        <f t="shared" si="3"/>
        <v>45383</v>
      </c>
      <c r="G1225" s="11"/>
    </row>
    <row r="1226">
      <c r="A1226" s="5">
        <f>IFERROR(__xludf.DUMMYFUNCTION("""COMPUTED_VALUE"""),5811.0)</f>
        <v>5811</v>
      </c>
      <c r="B1226" s="9">
        <f>IFERROR(__xludf.DUMMYFUNCTION("""COMPUTED_VALUE"""),45405.019155092596)</f>
        <v>45405.01916</v>
      </c>
      <c r="C1226" s="5" t="str">
        <f>IFERROR(__xludf.DUMMYFUNCTION("""COMPUTED_VALUE"""),"purchase")</f>
        <v>purchase</v>
      </c>
      <c r="D1226" s="10">
        <f t="shared" si="1"/>
        <v>45405</v>
      </c>
      <c r="E1226" s="10">
        <f t="shared" si="2"/>
        <v>45404</v>
      </c>
      <c r="F1226" s="10">
        <f t="shared" si="3"/>
        <v>45383</v>
      </c>
      <c r="G1226" s="11"/>
    </row>
    <row r="1227">
      <c r="A1227" s="5">
        <f>IFERROR(__xludf.DUMMYFUNCTION("""COMPUTED_VALUE"""),3762.0)</f>
        <v>3762</v>
      </c>
      <c r="B1227" s="9">
        <f>IFERROR(__xludf.DUMMYFUNCTION("""COMPUTED_VALUE"""),45405.04861111111)</f>
        <v>45405.04861</v>
      </c>
      <c r="C1227" s="5" t="str">
        <f>IFERROR(__xludf.DUMMYFUNCTION("""COMPUTED_VALUE"""),"purchase")</f>
        <v>purchase</v>
      </c>
      <c r="D1227" s="10">
        <f t="shared" si="1"/>
        <v>45405</v>
      </c>
      <c r="E1227" s="10">
        <f t="shared" si="2"/>
        <v>45404</v>
      </c>
      <c r="F1227" s="10">
        <f t="shared" si="3"/>
        <v>45383</v>
      </c>
      <c r="G1227" s="11"/>
    </row>
    <row r="1228">
      <c r="A1228" s="5">
        <f>IFERROR(__xludf.DUMMYFUNCTION("""COMPUTED_VALUE"""),1384.0)</f>
        <v>1384</v>
      </c>
      <c r="B1228" s="9">
        <f>IFERROR(__xludf.DUMMYFUNCTION("""COMPUTED_VALUE"""),45405.21115740741)</f>
        <v>45405.21116</v>
      </c>
      <c r="C1228" s="5" t="str">
        <f>IFERROR(__xludf.DUMMYFUNCTION("""COMPUTED_VALUE"""),"purchase")</f>
        <v>purchase</v>
      </c>
      <c r="D1228" s="10">
        <f t="shared" si="1"/>
        <v>45405</v>
      </c>
      <c r="E1228" s="10">
        <f t="shared" si="2"/>
        <v>45404</v>
      </c>
      <c r="F1228" s="10">
        <f t="shared" si="3"/>
        <v>45383</v>
      </c>
      <c r="G1228" s="11"/>
    </row>
    <row r="1229">
      <c r="A1229" s="5">
        <f>IFERROR(__xludf.DUMMYFUNCTION("""COMPUTED_VALUE"""),458.0)</f>
        <v>458</v>
      </c>
      <c r="B1229" s="9">
        <f>IFERROR(__xludf.DUMMYFUNCTION("""COMPUTED_VALUE"""),45405.22491898148)</f>
        <v>45405.22492</v>
      </c>
      <c r="C1229" s="5" t="str">
        <f>IFERROR(__xludf.DUMMYFUNCTION("""COMPUTED_VALUE"""),"purchase")</f>
        <v>purchase</v>
      </c>
      <c r="D1229" s="10">
        <f t="shared" si="1"/>
        <v>45405</v>
      </c>
      <c r="E1229" s="10">
        <f t="shared" si="2"/>
        <v>45404</v>
      </c>
      <c r="F1229" s="10">
        <f t="shared" si="3"/>
        <v>45383</v>
      </c>
      <c r="G1229" s="11"/>
    </row>
    <row r="1230">
      <c r="A1230" s="5">
        <f>IFERROR(__xludf.DUMMYFUNCTION("""COMPUTED_VALUE"""),7956.0)</f>
        <v>7956</v>
      </c>
      <c r="B1230" s="9">
        <f>IFERROR(__xludf.DUMMYFUNCTION("""COMPUTED_VALUE"""),45405.2725462963)</f>
        <v>45405.27255</v>
      </c>
      <c r="C1230" s="5" t="str">
        <f>IFERROR(__xludf.DUMMYFUNCTION("""COMPUTED_VALUE"""),"purchase")</f>
        <v>purchase</v>
      </c>
      <c r="D1230" s="10">
        <f t="shared" si="1"/>
        <v>45405</v>
      </c>
      <c r="E1230" s="10">
        <f t="shared" si="2"/>
        <v>45404</v>
      </c>
      <c r="F1230" s="10">
        <f t="shared" si="3"/>
        <v>45383</v>
      </c>
      <c r="G1230" s="11"/>
    </row>
    <row r="1231">
      <c r="A1231" s="5">
        <f>IFERROR(__xludf.DUMMYFUNCTION("""COMPUTED_VALUE"""),4234.0)</f>
        <v>4234</v>
      </c>
      <c r="B1231" s="9">
        <f>IFERROR(__xludf.DUMMYFUNCTION("""COMPUTED_VALUE"""),45405.39884259259)</f>
        <v>45405.39884</v>
      </c>
      <c r="C1231" s="5" t="str">
        <f>IFERROR(__xludf.DUMMYFUNCTION("""COMPUTED_VALUE"""),"purchase")</f>
        <v>purchase</v>
      </c>
      <c r="D1231" s="10">
        <f t="shared" si="1"/>
        <v>45405</v>
      </c>
      <c r="E1231" s="10">
        <f t="shared" si="2"/>
        <v>45404</v>
      </c>
      <c r="F1231" s="10">
        <f t="shared" si="3"/>
        <v>45383</v>
      </c>
      <c r="G1231" s="11"/>
    </row>
    <row r="1232">
      <c r="A1232" s="5">
        <f>IFERROR(__xludf.DUMMYFUNCTION("""COMPUTED_VALUE"""),6774.0)</f>
        <v>6774</v>
      </c>
      <c r="B1232" s="9">
        <f>IFERROR(__xludf.DUMMYFUNCTION("""COMPUTED_VALUE"""),45405.441030092596)</f>
        <v>45405.44103</v>
      </c>
      <c r="C1232" s="5" t="str">
        <f>IFERROR(__xludf.DUMMYFUNCTION("""COMPUTED_VALUE"""),"purchase")</f>
        <v>purchase</v>
      </c>
      <c r="D1232" s="10">
        <f t="shared" si="1"/>
        <v>45405</v>
      </c>
      <c r="E1232" s="10">
        <f t="shared" si="2"/>
        <v>45404</v>
      </c>
      <c r="F1232" s="10">
        <f t="shared" si="3"/>
        <v>45383</v>
      </c>
      <c r="G1232" s="11"/>
    </row>
    <row r="1233">
      <c r="A1233" s="5">
        <f>IFERROR(__xludf.DUMMYFUNCTION("""COMPUTED_VALUE"""),6416.0)</f>
        <v>6416</v>
      </c>
      <c r="B1233" s="9">
        <f>IFERROR(__xludf.DUMMYFUNCTION("""COMPUTED_VALUE"""),45405.644479166665)</f>
        <v>45405.64448</v>
      </c>
      <c r="C1233" s="5" t="str">
        <f>IFERROR(__xludf.DUMMYFUNCTION("""COMPUTED_VALUE"""),"purchase")</f>
        <v>purchase</v>
      </c>
      <c r="D1233" s="10">
        <f t="shared" si="1"/>
        <v>45405</v>
      </c>
      <c r="E1233" s="10">
        <f t="shared" si="2"/>
        <v>45404</v>
      </c>
      <c r="F1233" s="10">
        <f t="shared" si="3"/>
        <v>45383</v>
      </c>
      <c r="G1233" s="11"/>
    </row>
    <row r="1234">
      <c r="A1234" s="5">
        <f>IFERROR(__xludf.DUMMYFUNCTION("""COMPUTED_VALUE"""),446.0)</f>
        <v>446</v>
      </c>
      <c r="B1234" s="9">
        <f>IFERROR(__xludf.DUMMYFUNCTION("""COMPUTED_VALUE"""),45405.644837962966)</f>
        <v>45405.64484</v>
      </c>
      <c r="C1234" s="5" t="str">
        <f>IFERROR(__xludf.DUMMYFUNCTION("""COMPUTED_VALUE"""),"purchase")</f>
        <v>purchase</v>
      </c>
      <c r="D1234" s="10">
        <f t="shared" si="1"/>
        <v>45405</v>
      </c>
      <c r="E1234" s="10">
        <f t="shared" si="2"/>
        <v>45404</v>
      </c>
      <c r="F1234" s="10">
        <f t="shared" si="3"/>
        <v>45383</v>
      </c>
      <c r="G1234" s="11"/>
    </row>
    <row r="1235">
      <c r="A1235" s="5">
        <f>IFERROR(__xludf.DUMMYFUNCTION("""COMPUTED_VALUE"""),4018.0)</f>
        <v>4018</v>
      </c>
      <c r="B1235" s="9">
        <f>IFERROR(__xludf.DUMMYFUNCTION("""COMPUTED_VALUE"""),45405.68237268519)</f>
        <v>45405.68237</v>
      </c>
      <c r="C1235" s="5" t="str">
        <f>IFERROR(__xludf.DUMMYFUNCTION("""COMPUTED_VALUE"""),"purchase")</f>
        <v>purchase</v>
      </c>
      <c r="D1235" s="10">
        <f t="shared" si="1"/>
        <v>45405</v>
      </c>
      <c r="E1235" s="10">
        <f t="shared" si="2"/>
        <v>45404</v>
      </c>
      <c r="F1235" s="10">
        <f t="shared" si="3"/>
        <v>45383</v>
      </c>
      <c r="G1235" s="11"/>
    </row>
    <row r="1236">
      <c r="A1236" s="5">
        <f>IFERROR(__xludf.DUMMYFUNCTION("""COMPUTED_VALUE"""),2454.0)</f>
        <v>2454</v>
      </c>
      <c r="B1236" s="9">
        <f>IFERROR(__xludf.DUMMYFUNCTION("""COMPUTED_VALUE"""),45405.68848379629)</f>
        <v>45405.68848</v>
      </c>
      <c r="C1236" s="5" t="str">
        <f>IFERROR(__xludf.DUMMYFUNCTION("""COMPUTED_VALUE"""),"purchase")</f>
        <v>purchase</v>
      </c>
      <c r="D1236" s="10">
        <f t="shared" si="1"/>
        <v>45405</v>
      </c>
      <c r="E1236" s="10">
        <f t="shared" si="2"/>
        <v>45404</v>
      </c>
      <c r="F1236" s="10">
        <f t="shared" si="3"/>
        <v>45383</v>
      </c>
      <c r="G1236" s="11"/>
    </row>
    <row r="1237">
      <c r="A1237" s="5">
        <f>IFERROR(__xludf.DUMMYFUNCTION("""COMPUTED_VALUE"""),3860.0)</f>
        <v>3860</v>
      </c>
      <c r="B1237" s="9">
        <f>IFERROR(__xludf.DUMMYFUNCTION("""COMPUTED_VALUE"""),45405.69228009259)</f>
        <v>45405.69228</v>
      </c>
      <c r="C1237" s="5" t="str">
        <f>IFERROR(__xludf.DUMMYFUNCTION("""COMPUTED_VALUE"""),"purchase")</f>
        <v>purchase</v>
      </c>
      <c r="D1237" s="10">
        <f t="shared" si="1"/>
        <v>45405</v>
      </c>
      <c r="E1237" s="10">
        <f t="shared" si="2"/>
        <v>45404</v>
      </c>
      <c r="F1237" s="10">
        <f t="shared" si="3"/>
        <v>45383</v>
      </c>
      <c r="G1237" s="11"/>
    </row>
    <row r="1238">
      <c r="A1238" s="5">
        <f>IFERROR(__xludf.DUMMYFUNCTION("""COMPUTED_VALUE"""),7069.0)</f>
        <v>7069</v>
      </c>
      <c r="B1238" s="9">
        <f>IFERROR(__xludf.DUMMYFUNCTION("""COMPUTED_VALUE"""),45405.70763888889)</f>
        <v>45405.70764</v>
      </c>
      <c r="C1238" s="5" t="str">
        <f>IFERROR(__xludf.DUMMYFUNCTION("""COMPUTED_VALUE"""),"purchase")</f>
        <v>purchase</v>
      </c>
      <c r="D1238" s="10">
        <f t="shared" si="1"/>
        <v>45405</v>
      </c>
      <c r="E1238" s="10">
        <f t="shared" si="2"/>
        <v>45404</v>
      </c>
      <c r="F1238" s="10">
        <f t="shared" si="3"/>
        <v>45383</v>
      </c>
      <c r="G1238" s="11"/>
    </row>
    <row r="1239">
      <c r="A1239" s="5">
        <f>IFERROR(__xludf.DUMMYFUNCTION("""COMPUTED_VALUE"""),6735.0)</f>
        <v>6735</v>
      </c>
      <c r="B1239" s="9">
        <f>IFERROR(__xludf.DUMMYFUNCTION("""COMPUTED_VALUE"""),45405.721400462964)</f>
        <v>45405.7214</v>
      </c>
      <c r="C1239" s="5" t="str">
        <f>IFERROR(__xludf.DUMMYFUNCTION("""COMPUTED_VALUE"""),"purchase")</f>
        <v>purchase</v>
      </c>
      <c r="D1239" s="10">
        <f t="shared" si="1"/>
        <v>45405</v>
      </c>
      <c r="E1239" s="10">
        <f t="shared" si="2"/>
        <v>45404</v>
      </c>
      <c r="F1239" s="10">
        <f t="shared" si="3"/>
        <v>45383</v>
      </c>
      <c r="G1239" s="11"/>
    </row>
    <row r="1240">
      <c r="A1240" s="5">
        <f>IFERROR(__xludf.DUMMYFUNCTION("""COMPUTED_VALUE"""),1935.0)</f>
        <v>1935</v>
      </c>
      <c r="B1240" s="9">
        <f>IFERROR(__xludf.DUMMYFUNCTION("""COMPUTED_VALUE"""),45405.80320601852)</f>
        <v>45405.80321</v>
      </c>
      <c r="C1240" s="5" t="str">
        <f>IFERROR(__xludf.DUMMYFUNCTION("""COMPUTED_VALUE"""),"purchase")</f>
        <v>purchase</v>
      </c>
      <c r="D1240" s="10">
        <f t="shared" si="1"/>
        <v>45405</v>
      </c>
      <c r="E1240" s="10">
        <f t="shared" si="2"/>
        <v>45404</v>
      </c>
      <c r="F1240" s="10">
        <f t="shared" si="3"/>
        <v>45383</v>
      </c>
      <c r="G1240" s="11"/>
    </row>
    <row r="1241">
      <c r="A1241" s="5">
        <f>IFERROR(__xludf.DUMMYFUNCTION("""COMPUTED_VALUE"""),416.0)</f>
        <v>416</v>
      </c>
      <c r="B1241" s="9">
        <f>IFERROR(__xludf.DUMMYFUNCTION("""COMPUTED_VALUE"""),45405.86592592593)</f>
        <v>45405.86593</v>
      </c>
      <c r="C1241" s="5" t="str">
        <f>IFERROR(__xludf.DUMMYFUNCTION("""COMPUTED_VALUE"""),"purchase")</f>
        <v>purchase</v>
      </c>
      <c r="D1241" s="10">
        <f t="shared" si="1"/>
        <v>45405</v>
      </c>
      <c r="E1241" s="10">
        <f t="shared" si="2"/>
        <v>45404</v>
      </c>
      <c r="F1241" s="10">
        <f t="shared" si="3"/>
        <v>45383</v>
      </c>
      <c r="G1241" s="11"/>
    </row>
    <row r="1242">
      <c r="A1242" s="5">
        <f>IFERROR(__xludf.DUMMYFUNCTION("""COMPUTED_VALUE"""),4929.0)</f>
        <v>4929</v>
      </c>
      <c r="B1242" s="9">
        <f>IFERROR(__xludf.DUMMYFUNCTION("""COMPUTED_VALUE"""),45406.11813657408)</f>
        <v>45406.11814</v>
      </c>
      <c r="C1242" s="5" t="str">
        <f>IFERROR(__xludf.DUMMYFUNCTION("""COMPUTED_VALUE"""),"purchase")</f>
        <v>purchase</v>
      </c>
      <c r="D1242" s="10">
        <f t="shared" si="1"/>
        <v>45406</v>
      </c>
      <c r="E1242" s="10">
        <f t="shared" si="2"/>
        <v>45404</v>
      </c>
      <c r="F1242" s="10">
        <f t="shared" si="3"/>
        <v>45383</v>
      </c>
      <c r="G1242" s="11"/>
    </row>
    <row r="1243">
      <c r="A1243" s="5">
        <f>IFERROR(__xludf.DUMMYFUNCTION("""COMPUTED_VALUE"""),2112.0)</f>
        <v>2112</v>
      </c>
      <c r="B1243" s="9">
        <f>IFERROR(__xludf.DUMMYFUNCTION("""COMPUTED_VALUE"""),45406.12042824074)</f>
        <v>45406.12043</v>
      </c>
      <c r="C1243" s="5" t="str">
        <f>IFERROR(__xludf.DUMMYFUNCTION("""COMPUTED_VALUE"""),"purchase")</f>
        <v>purchase</v>
      </c>
      <c r="D1243" s="10">
        <f t="shared" si="1"/>
        <v>45406</v>
      </c>
      <c r="E1243" s="10">
        <f t="shared" si="2"/>
        <v>45404</v>
      </c>
      <c r="F1243" s="10">
        <f t="shared" si="3"/>
        <v>45383</v>
      </c>
      <c r="G1243" s="11"/>
    </row>
    <row r="1244">
      <c r="A1244" s="5">
        <f>IFERROR(__xludf.DUMMYFUNCTION("""COMPUTED_VALUE"""),7083.0)</f>
        <v>7083</v>
      </c>
      <c r="B1244" s="9">
        <f>IFERROR(__xludf.DUMMYFUNCTION("""COMPUTED_VALUE"""),45406.221030092594)</f>
        <v>45406.22103</v>
      </c>
      <c r="C1244" s="5" t="str">
        <f>IFERROR(__xludf.DUMMYFUNCTION("""COMPUTED_VALUE"""),"purchase")</f>
        <v>purchase</v>
      </c>
      <c r="D1244" s="10">
        <f t="shared" si="1"/>
        <v>45406</v>
      </c>
      <c r="E1244" s="10">
        <f t="shared" si="2"/>
        <v>45404</v>
      </c>
      <c r="F1244" s="10">
        <f t="shared" si="3"/>
        <v>45383</v>
      </c>
      <c r="G1244" s="11"/>
    </row>
    <row r="1245">
      <c r="A1245" s="5">
        <f>IFERROR(__xludf.DUMMYFUNCTION("""COMPUTED_VALUE"""),2971.0)</f>
        <v>2971</v>
      </c>
      <c r="B1245" s="9">
        <f>IFERROR(__xludf.DUMMYFUNCTION("""COMPUTED_VALUE"""),45406.248715277776)</f>
        <v>45406.24872</v>
      </c>
      <c r="C1245" s="5" t="str">
        <f>IFERROR(__xludf.DUMMYFUNCTION("""COMPUTED_VALUE"""),"purchase")</f>
        <v>purchase</v>
      </c>
      <c r="D1245" s="10">
        <f t="shared" si="1"/>
        <v>45406</v>
      </c>
      <c r="E1245" s="10">
        <f t="shared" si="2"/>
        <v>45404</v>
      </c>
      <c r="F1245" s="10">
        <f t="shared" si="3"/>
        <v>45383</v>
      </c>
      <c r="G1245" s="11"/>
    </row>
    <row r="1246">
      <c r="A1246" s="5">
        <f>IFERROR(__xludf.DUMMYFUNCTION("""COMPUTED_VALUE"""),4465.0)</f>
        <v>4465</v>
      </c>
      <c r="B1246" s="9">
        <f>IFERROR(__xludf.DUMMYFUNCTION("""COMPUTED_VALUE"""),45406.281493055554)</f>
        <v>45406.28149</v>
      </c>
      <c r="C1246" s="5" t="str">
        <f>IFERROR(__xludf.DUMMYFUNCTION("""COMPUTED_VALUE"""),"purchase")</f>
        <v>purchase</v>
      </c>
      <c r="D1246" s="10">
        <f t="shared" si="1"/>
        <v>45406</v>
      </c>
      <c r="E1246" s="10">
        <f t="shared" si="2"/>
        <v>45404</v>
      </c>
      <c r="F1246" s="10">
        <f t="shared" si="3"/>
        <v>45383</v>
      </c>
      <c r="G1246" s="11"/>
    </row>
    <row r="1247">
      <c r="A1247" s="5">
        <f>IFERROR(__xludf.DUMMYFUNCTION("""COMPUTED_VALUE"""),5130.0)</f>
        <v>5130</v>
      </c>
      <c r="B1247" s="9">
        <f>IFERROR(__xludf.DUMMYFUNCTION("""COMPUTED_VALUE"""),45406.34811342593)</f>
        <v>45406.34811</v>
      </c>
      <c r="C1247" s="5" t="str">
        <f>IFERROR(__xludf.DUMMYFUNCTION("""COMPUTED_VALUE"""),"purchase")</f>
        <v>purchase</v>
      </c>
      <c r="D1247" s="10">
        <f t="shared" si="1"/>
        <v>45406</v>
      </c>
      <c r="E1247" s="10">
        <f t="shared" si="2"/>
        <v>45404</v>
      </c>
      <c r="F1247" s="10">
        <f t="shared" si="3"/>
        <v>45383</v>
      </c>
      <c r="G1247" s="11"/>
    </row>
    <row r="1248">
      <c r="A1248" s="5">
        <f>IFERROR(__xludf.DUMMYFUNCTION("""COMPUTED_VALUE"""),6961.0)</f>
        <v>6961</v>
      </c>
      <c r="B1248" s="9">
        <f>IFERROR(__xludf.DUMMYFUNCTION("""COMPUTED_VALUE"""),45406.452523148146)</f>
        <v>45406.45252</v>
      </c>
      <c r="C1248" s="5" t="str">
        <f>IFERROR(__xludf.DUMMYFUNCTION("""COMPUTED_VALUE"""),"purchase")</f>
        <v>purchase</v>
      </c>
      <c r="D1248" s="10">
        <f t="shared" si="1"/>
        <v>45406</v>
      </c>
      <c r="E1248" s="10">
        <f t="shared" si="2"/>
        <v>45404</v>
      </c>
      <c r="F1248" s="10">
        <f t="shared" si="3"/>
        <v>45383</v>
      </c>
      <c r="G1248" s="11"/>
    </row>
    <row r="1249">
      <c r="A1249" s="5">
        <f>IFERROR(__xludf.DUMMYFUNCTION("""COMPUTED_VALUE"""),4546.0)</f>
        <v>4546</v>
      </c>
      <c r="B1249" s="9">
        <f>IFERROR(__xludf.DUMMYFUNCTION("""COMPUTED_VALUE"""),45406.47211805556)</f>
        <v>45406.47212</v>
      </c>
      <c r="C1249" s="5" t="str">
        <f>IFERROR(__xludf.DUMMYFUNCTION("""COMPUTED_VALUE"""),"purchase")</f>
        <v>purchase</v>
      </c>
      <c r="D1249" s="10">
        <f t="shared" si="1"/>
        <v>45406</v>
      </c>
      <c r="E1249" s="10">
        <f t="shared" si="2"/>
        <v>45404</v>
      </c>
      <c r="F1249" s="10">
        <f t="shared" si="3"/>
        <v>45383</v>
      </c>
      <c r="G1249" s="11"/>
    </row>
    <row r="1250">
      <c r="A1250" s="5">
        <f>IFERROR(__xludf.DUMMYFUNCTION("""COMPUTED_VALUE"""),3133.0)</f>
        <v>3133</v>
      </c>
      <c r="B1250" s="9">
        <f>IFERROR(__xludf.DUMMYFUNCTION("""COMPUTED_VALUE"""),45406.610289351855)</f>
        <v>45406.61029</v>
      </c>
      <c r="C1250" s="5" t="str">
        <f>IFERROR(__xludf.DUMMYFUNCTION("""COMPUTED_VALUE"""),"purchase")</f>
        <v>purchase</v>
      </c>
      <c r="D1250" s="10">
        <f t="shared" si="1"/>
        <v>45406</v>
      </c>
      <c r="E1250" s="10">
        <f t="shared" si="2"/>
        <v>45404</v>
      </c>
      <c r="F1250" s="10">
        <f t="shared" si="3"/>
        <v>45383</v>
      </c>
      <c r="G1250" s="11"/>
    </row>
    <row r="1251">
      <c r="A1251" s="5">
        <f>IFERROR(__xludf.DUMMYFUNCTION("""COMPUTED_VALUE"""),4825.0)</f>
        <v>4825</v>
      </c>
      <c r="B1251" s="9">
        <f>IFERROR(__xludf.DUMMYFUNCTION("""COMPUTED_VALUE"""),45406.6953587963)</f>
        <v>45406.69536</v>
      </c>
      <c r="C1251" s="5" t="str">
        <f>IFERROR(__xludf.DUMMYFUNCTION("""COMPUTED_VALUE"""),"purchase")</f>
        <v>purchase</v>
      </c>
      <c r="D1251" s="10">
        <f t="shared" si="1"/>
        <v>45406</v>
      </c>
      <c r="E1251" s="10">
        <f t="shared" si="2"/>
        <v>45404</v>
      </c>
      <c r="F1251" s="10">
        <f t="shared" si="3"/>
        <v>45383</v>
      </c>
      <c r="G1251" s="11"/>
    </row>
    <row r="1252">
      <c r="A1252" s="5">
        <f>IFERROR(__xludf.DUMMYFUNCTION("""COMPUTED_VALUE"""),2940.0)</f>
        <v>2940</v>
      </c>
      <c r="B1252" s="9">
        <f>IFERROR(__xludf.DUMMYFUNCTION("""COMPUTED_VALUE"""),45406.83819444444)</f>
        <v>45406.83819</v>
      </c>
      <c r="C1252" s="5" t="str">
        <f>IFERROR(__xludf.DUMMYFUNCTION("""COMPUTED_VALUE"""),"purchase")</f>
        <v>purchase</v>
      </c>
      <c r="D1252" s="10">
        <f t="shared" si="1"/>
        <v>45406</v>
      </c>
      <c r="E1252" s="10">
        <f t="shared" si="2"/>
        <v>45404</v>
      </c>
      <c r="F1252" s="10">
        <f t="shared" si="3"/>
        <v>45383</v>
      </c>
      <c r="G1252" s="11"/>
    </row>
    <row r="1253">
      <c r="A1253" s="5">
        <f>IFERROR(__xludf.DUMMYFUNCTION("""COMPUTED_VALUE"""),6862.0)</f>
        <v>6862</v>
      </c>
      <c r="B1253" s="9">
        <f>IFERROR(__xludf.DUMMYFUNCTION("""COMPUTED_VALUE"""),45406.96644675926)</f>
        <v>45406.96645</v>
      </c>
      <c r="C1253" s="5" t="str">
        <f>IFERROR(__xludf.DUMMYFUNCTION("""COMPUTED_VALUE"""),"purchase")</f>
        <v>purchase</v>
      </c>
      <c r="D1253" s="10">
        <f t="shared" si="1"/>
        <v>45406</v>
      </c>
      <c r="E1253" s="10">
        <f t="shared" si="2"/>
        <v>45404</v>
      </c>
      <c r="F1253" s="10">
        <f t="shared" si="3"/>
        <v>45383</v>
      </c>
      <c r="G1253" s="11"/>
    </row>
    <row r="1254">
      <c r="A1254" s="5">
        <f>IFERROR(__xludf.DUMMYFUNCTION("""COMPUTED_VALUE"""),4369.0)</f>
        <v>4369</v>
      </c>
      <c r="B1254" s="9">
        <f>IFERROR(__xludf.DUMMYFUNCTION("""COMPUTED_VALUE"""),45406.98190972222)</f>
        <v>45406.98191</v>
      </c>
      <c r="C1254" s="5" t="str">
        <f>IFERROR(__xludf.DUMMYFUNCTION("""COMPUTED_VALUE"""),"purchase")</f>
        <v>purchase</v>
      </c>
      <c r="D1254" s="10">
        <f t="shared" si="1"/>
        <v>45406</v>
      </c>
      <c r="E1254" s="10">
        <f t="shared" si="2"/>
        <v>45404</v>
      </c>
      <c r="F1254" s="10">
        <f t="shared" si="3"/>
        <v>45383</v>
      </c>
      <c r="G1254" s="11"/>
    </row>
    <row r="1255">
      <c r="A1255" s="5">
        <f>IFERROR(__xludf.DUMMYFUNCTION("""COMPUTED_VALUE"""),7289.0)</f>
        <v>7289</v>
      </c>
      <c r="B1255" s="9">
        <f>IFERROR(__xludf.DUMMYFUNCTION("""COMPUTED_VALUE"""),45407.159108796295)</f>
        <v>45407.15911</v>
      </c>
      <c r="C1255" s="5" t="str">
        <f>IFERROR(__xludf.DUMMYFUNCTION("""COMPUTED_VALUE"""),"purchase")</f>
        <v>purchase</v>
      </c>
      <c r="D1255" s="10">
        <f t="shared" si="1"/>
        <v>45407</v>
      </c>
      <c r="E1255" s="10">
        <f t="shared" si="2"/>
        <v>45404</v>
      </c>
      <c r="F1255" s="10">
        <f t="shared" si="3"/>
        <v>45383</v>
      </c>
      <c r="G1255" s="11"/>
    </row>
    <row r="1256">
      <c r="A1256" s="5">
        <f>IFERROR(__xludf.DUMMYFUNCTION("""COMPUTED_VALUE"""),3078.0)</f>
        <v>3078</v>
      </c>
      <c r="B1256" s="9">
        <f>IFERROR(__xludf.DUMMYFUNCTION("""COMPUTED_VALUE"""),45407.189791666664)</f>
        <v>45407.18979</v>
      </c>
      <c r="C1256" s="5" t="str">
        <f>IFERROR(__xludf.DUMMYFUNCTION("""COMPUTED_VALUE"""),"purchase")</f>
        <v>purchase</v>
      </c>
      <c r="D1256" s="10">
        <f t="shared" si="1"/>
        <v>45407</v>
      </c>
      <c r="E1256" s="10">
        <f t="shared" si="2"/>
        <v>45404</v>
      </c>
      <c r="F1256" s="10">
        <f t="shared" si="3"/>
        <v>45383</v>
      </c>
      <c r="G1256" s="11"/>
    </row>
    <row r="1257">
      <c r="A1257" s="5">
        <f>IFERROR(__xludf.DUMMYFUNCTION("""COMPUTED_VALUE"""),7154.0)</f>
        <v>7154</v>
      </c>
      <c r="B1257" s="9">
        <f>IFERROR(__xludf.DUMMYFUNCTION("""COMPUTED_VALUE"""),45407.27034722222)</f>
        <v>45407.27035</v>
      </c>
      <c r="C1257" s="5" t="str">
        <f>IFERROR(__xludf.DUMMYFUNCTION("""COMPUTED_VALUE"""),"purchase")</f>
        <v>purchase</v>
      </c>
      <c r="D1257" s="10">
        <f t="shared" si="1"/>
        <v>45407</v>
      </c>
      <c r="E1257" s="10">
        <f t="shared" si="2"/>
        <v>45404</v>
      </c>
      <c r="F1257" s="10">
        <f t="shared" si="3"/>
        <v>45383</v>
      </c>
      <c r="G1257" s="11"/>
    </row>
    <row r="1258">
      <c r="A1258" s="5">
        <f>IFERROR(__xludf.DUMMYFUNCTION("""COMPUTED_VALUE"""),2603.0)</f>
        <v>2603</v>
      </c>
      <c r="B1258" s="9">
        <f>IFERROR(__xludf.DUMMYFUNCTION("""COMPUTED_VALUE"""),45407.426782407405)</f>
        <v>45407.42678</v>
      </c>
      <c r="C1258" s="5" t="str">
        <f>IFERROR(__xludf.DUMMYFUNCTION("""COMPUTED_VALUE"""),"purchase")</f>
        <v>purchase</v>
      </c>
      <c r="D1258" s="10">
        <f t="shared" si="1"/>
        <v>45407</v>
      </c>
      <c r="E1258" s="10">
        <f t="shared" si="2"/>
        <v>45404</v>
      </c>
      <c r="F1258" s="10">
        <f t="shared" si="3"/>
        <v>45383</v>
      </c>
      <c r="G1258" s="11"/>
    </row>
    <row r="1259">
      <c r="A1259" s="5">
        <f>IFERROR(__xludf.DUMMYFUNCTION("""COMPUTED_VALUE"""),1534.0)</f>
        <v>1534</v>
      </c>
      <c r="B1259" s="9">
        <f>IFERROR(__xludf.DUMMYFUNCTION("""COMPUTED_VALUE"""),45407.45002314815)</f>
        <v>45407.45002</v>
      </c>
      <c r="C1259" s="5" t="str">
        <f>IFERROR(__xludf.DUMMYFUNCTION("""COMPUTED_VALUE"""),"purchase")</f>
        <v>purchase</v>
      </c>
      <c r="D1259" s="10">
        <f t="shared" si="1"/>
        <v>45407</v>
      </c>
      <c r="E1259" s="10">
        <f t="shared" si="2"/>
        <v>45404</v>
      </c>
      <c r="F1259" s="10">
        <f t="shared" si="3"/>
        <v>45383</v>
      </c>
      <c r="G1259" s="11"/>
    </row>
    <row r="1260">
      <c r="A1260" s="5">
        <f>IFERROR(__xludf.DUMMYFUNCTION("""COMPUTED_VALUE"""),3095.0)</f>
        <v>3095</v>
      </c>
      <c r="B1260" s="9">
        <f>IFERROR(__xludf.DUMMYFUNCTION("""COMPUTED_VALUE"""),45407.52502314815)</f>
        <v>45407.52502</v>
      </c>
      <c r="C1260" s="5" t="str">
        <f>IFERROR(__xludf.DUMMYFUNCTION("""COMPUTED_VALUE"""),"purchase")</f>
        <v>purchase</v>
      </c>
      <c r="D1260" s="10">
        <f t="shared" si="1"/>
        <v>45407</v>
      </c>
      <c r="E1260" s="10">
        <f t="shared" si="2"/>
        <v>45404</v>
      </c>
      <c r="F1260" s="10">
        <f t="shared" si="3"/>
        <v>45383</v>
      </c>
      <c r="G1260" s="11"/>
    </row>
    <row r="1261">
      <c r="A1261" s="5">
        <f>IFERROR(__xludf.DUMMYFUNCTION("""COMPUTED_VALUE"""),7590.0)</f>
        <v>7590</v>
      </c>
      <c r="B1261" s="9">
        <f>IFERROR(__xludf.DUMMYFUNCTION("""COMPUTED_VALUE"""),45407.52663194444)</f>
        <v>45407.52663</v>
      </c>
      <c r="C1261" s="5" t="str">
        <f>IFERROR(__xludf.DUMMYFUNCTION("""COMPUTED_VALUE"""),"purchase")</f>
        <v>purchase</v>
      </c>
      <c r="D1261" s="10">
        <f t="shared" si="1"/>
        <v>45407</v>
      </c>
      <c r="E1261" s="10">
        <f t="shared" si="2"/>
        <v>45404</v>
      </c>
      <c r="F1261" s="10">
        <f t="shared" si="3"/>
        <v>45383</v>
      </c>
      <c r="G1261" s="11"/>
    </row>
    <row r="1262">
      <c r="A1262" s="5">
        <f>IFERROR(__xludf.DUMMYFUNCTION("""COMPUTED_VALUE"""),1401.0)</f>
        <v>1401</v>
      </c>
      <c r="B1262" s="9">
        <f>IFERROR(__xludf.DUMMYFUNCTION("""COMPUTED_VALUE"""),45407.650243055556)</f>
        <v>45407.65024</v>
      </c>
      <c r="C1262" s="5" t="str">
        <f>IFERROR(__xludf.DUMMYFUNCTION("""COMPUTED_VALUE"""),"purchase")</f>
        <v>purchase</v>
      </c>
      <c r="D1262" s="10">
        <f t="shared" si="1"/>
        <v>45407</v>
      </c>
      <c r="E1262" s="10">
        <f t="shared" si="2"/>
        <v>45404</v>
      </c>
      <c r="F1262" s="10">
        <f t="shared" si="3"/>
        <v>45383</v>
      </c>
      <c r="G1262" s="11"/>
    </row>
    <row r="1263">
      <c r="A1263" s="5">
        <f>IFERROR(__xludf.DUMMYFUNCTION("""COMPUTED_VALUE"""),5040.0)</f>
        <v>5040</v>
      </c>
      <c r="B1263" s="9">
        <f>IFERROR(__xludf.DUMMYFUNCTION("""COMPUTED_VALUE"""),45407.816342592596)</f>
        <v>45407.81634</v>
      </c>
      <c r="C1263" s="5" t="str">
        <f>IFERROR(__xludf.DUMMYFUNCTION("""COMPUTED_VALUE"""),"purchase")</f>
        <v>purchase</v>
      </c>
      <c r="D1263" s="10">
        <f t="shared" si="1"/>
        <v>45407</v>
      </c>
      <c r="E1263" s="10">
        <f t="shared" si="2"/>
        <v>45404</v>
      </c>
      <c r="F1263" s="10">
        <f t="shared" si="3"/>
        <v>45383</v>
      </c>
      <c r="G1263" s="11"/>
    </row>
    <row r="1264">
      <c r="A1264" s="5">
        <f>IFERROR(__xludf.DUMMYFUNCTION("""COMPUTED_VALUE"""),6551.0)</f>
        <v>6551</v>
      </c>
      <c r="B1264" s="9">
        <f>IFERROR(__xludf.DUMMYFUNCTION("""COMPUTED_VALUE"""),45407.82413194444)</f>
        <v>45407.82413</v>
      </c>
      <c r="C1264" s="5" t="str">
        <f>IFERROR(__xludf.DUMMYFUNCTION("""COMPUTED_VALUE"""),"purchase")</f>
        <v>purchase</v>
      </c>
      <c r="D1264" s="10">
        <f t="shared" si="1"/>
        <v>45407</v>
      </c>
      <c r="E1264" s="10">
        <f t="shared" si="2"/>
        <v>45404</v>
      </c>
      <c r="F1264" s="10">
        <f t="shared" si="3"/>
        <v>45383</v>
      </c>
      <c r="G1264" s="11"/>
    </row>
    <row r="1265">
      <c r="A1265" s="5">
        <f>IFERROR(__xludf.DUMMYFUNCTION("""COMPUTED_VALUE"""),309.0)</f>
        <v>309</v>
      </c>
      <c r="B1265" s="9">
        <f>IFERROR(__xludf.DUMMYFUNCTION("""COMPUTED_VALUE"""),45407.89525462963)</f>
        <v>45407.89525</v>
      </c>
      <c r="C1265" s="5" t="str">
        <f>IFERROR(__xludf.DUMMYFUNCTION("""COMPUTED_VALUE"""),"purchase")</f>
        <v>purchase</v>
      </c>
      <c r="D1265" s="10">
        <f t="shared" si="1"/>
        <v>45407</v>
      </c>
      <c r="E1265" s="10">
        <f t="shared" si="2"/>
        <v>45404</v>
      </c>
      <c r="F1265" s="10">
        <f t="shared" si="3"/>
        <v>45383</v>
      </c>
      <c r="G1265" s="11"/>
    </row>
    <row r="1266">
      <c r="A1266" s="5">
        <f>IFERROR(__xludf.DUMMYFUNCTION("""COMPUTED_VALUE"""),1651.0)</f>
        <v>1651</v>
      </c>
      <c r="B1266" s="9">
        <f>IFERROR(__xludf.DUMMYFUNCTION("""COMPUTED_VALUE"""),45407.939351851855)</f>
        <v>45407.93935</v>
      </c>
      <c r="C1266" s="5" t="str">
        <f>IFERROR(__xludf.DUMMYFUNCTION("""COMPUTED_VALUE"""),"purchase")</f>
        <v>purchase</v>
      </c>
      <c r="D1266" s="10">
        <f t="shared" si="1"/>
        <v>45407</v>
      </c>
      <c r="E1266" s="10">
        <f t="shared" si="2"/>
        <v>45404</v>
      </c>
      <c r="F1266" s="10">
        <f t="shared" si="3"/>
        <v>45383</v>
      </c>
      <c r="G1266" s="11"/>
    </row>
    <row r="1267">
      <c r="A1267" s="5">
        <f>IFERROR(__xludf.DUMMYFUNCTION("""COMPUTED_VALUE"""),531.0)</f>
        <v>531</v>
      </c>
      <c r="B1267" s="9">
        <f>IFERROR(__xludf.DUMMYFUNCTION("""COMPUTED_VALUE"""),45408.28291666666)</f>
        <v>45408.28292</v>
      </c>
      <c r="C1267" s="5" t="str">
        <f>IFERROR(__xludf.DUMMYFUNCTION("""COMPUTED_VALUE"""),"purchase")</f>
        <v>purchase</v>
      </c>
      <c r="D1267" s="10">
        <f t="shared" si="1"/>
        <v>45408</v>
      </c>
      <c r="E1267" s="10">
        <f t="shared" si="2"/>
        <v>45404</v>
      </c>
      <c r="F1267" s="10">
        <f t="shared" si="3"/>
        <v>45383</v>
      </c>
      <c r="G1267" s="11"/>
    </row>
    <row r="1268">
      <c r="A1268" s="5">
        <f>IFERROR(__xludf.DUMMYFUNCTION("""COMPUTED_VALUE"""),5669.0)</f>
        <v>5669</v>
      </c>
      <c r="B1268" s="9">
        <f>IFERROR(__xludf.DUMMYFUNCTION("""COMPUTED_VALUE"""),45408.30709490741)</f>
        <v>45408.30709</v>
      </c>
      <c r="C1268" s="5" t="str">
        <f>IFERROR(__xludf.DUMMYFUNCTION("""COMPUTED_VALUE"""),"purchase")</f>
        <v>purchase</v>
      </c>
      <c r="D1268" s="10">
        <f t="shared" si="1"/>
        <v>45408</v>
      </c>
      <c r="E1268" s="10">
        <f t="shared" si="2"/>
        <v>45404</v>
      </c>
      <c r="F1268" s="10">
        <f t="shared" si="3"/>
        <v>45383</v>
      </c>
      <c r="G1268" s="11"/>
    </row>
    <row r="1269">
      <c r="A1269" s="5">
        <f>IFERROR(__xludf.DUMMYFUNCTION("""COMPUTED_VALUE"""),3785.0)</f>
        <v>3785</v>
      </c>
      <c r="B1269" s="9">
        <f>IFERROR(__xludf.DUMMYFUNCTION("""COMPUTED_VALUE"""),45408.34792824074)</f>
        <v>45408.34793</v>
      </c>
      <c r="C1269" s="5" t="str">
        <f>IFERROR(__xludf.DUMMYFUNCTION("""COMPUTED_VALUE"""),"purchase")</f>
        <v>purchase</v>
      </c>
      <c r="D1269" s="10">
        <f t="shared" si="1"/>
        <v>45408</v>
      </c>
      <c r="E1269" s="10">
        <f t="shared" si="2"/>
        <v>45404</v>
      </c>
      <c r="F1269" s="10">
        <f t="shared" si="3"/>
        <v>45383</v>
      </c>
      <c r="G1269" s="11"/>
    </row>
    <row r="1270">
      <c r="A1270" s="5">
        <f>IFERROR(__xludf.DUMMYFUNCTION("""COMPUTED_VALUE"""),1863.0)</f>
        <v>1863</v>
      </c>
      <c r="B1270" s="9">
        <f>IFERROR(__xludf.DUMMYFUNCTION("""COMPUTED_VALUE"""),45408.45746527778)</f>
        <v>45408.45747</v>
      </c>
      <c r="C1270" s="5" t="str">
        <f>IFERROR(__xludf.DUMMYFUNCTION("""COMPUTED_VALUE"""),"purchase")</f>
        <v>purchase</v>
      </c>
      <c r="D1270" s="10">
        <f t="shared" si="1"/>
        <v>45408</v>
      </c>
      <c r="E1270" s="10">
        <f t="shared" si="2"/>
        <v>45404</v>
      </c>
      <c r="F1270" s="10">
        <f t="shared" si="3"/>
        <v>45383</v>
      </c>
      <c r="G1270" s="11"/>
    </row>
    <row r="1271">
      <c r="A1271" s="5">
        <f>IFERROR(__xludf.DUMMYFUNCTION("""COMPUTED_VALUE"""),6097.0)</f>
        <v>6097</v>
      </c>
      <c r="B1271" s="9">
        <f>IFERROR(__xludf.DUMMYFUNCTION("""COMPUTED_VALUE"""),45408.61898148148)</f>
        <v>45408.61898</v>
      </c>
      <c r="C1271" s="5" t="str">
        <f>IFERROR(__xludf.DUMMYFUNCTION("""COMPUTED_VALUE"""),"purchase")</f>
        <v>purchase</v>
      </c>
      <c r="D1271" s="10">
        <f t="shared" si="1"/>
        <v>45408</v>
      </c>
      <c r="E1271" s="10">
        <f t="shared" si="2"/>
        <v>45404</v>
      </c>
      <c r="F1271" s="10">
        <f t="shared" si="3"/>
        <v>45383</v>
      </c>
      <c r="G1271" s="11"/>
    </row>
    <row r="1272">
      <c r="A1272" s="5">
        <f>IFERROR(__xludf.DUMMYFUNCTION("""COMPUTED_VALUE"""),7847.0)</f>
        <v>7847</v>
      </c>
      <c r="B1272" s="9">
        <f>IFERROR(__xludf.DUMMYFUNCTION("""COMPUTED_VALUE"""),45408.83991898148)</f>
        <v>45408.83992</v>
      </c>
      <c r="C1272" s="5" t="str">
        <f>IFERROR(__xludf.DUMMYFUNCTION("""COMPUTED_VALUE"""),"purchase")</f>
        <v>purchase</v>
      </c>
      <c r="D1272" s="10">
        <f t="shared" si="1"/>
        <v>45408</v>
      </c>
      <c r="E1272" s="10">
        <f t="shared" si="2"/>
        <v>45404</v>
      </c>
      <c r="F1272" s="10">
        <f t="shared" si="3"/>
        <v>45383</v>
      </c>
      <c r="G1272" s="11"/>
    </row>
    <row r="1273">
      <c r="A1273" s="5">
        <f>IFERROR(__xludf.DUMMYFUNCTION("""COMPUTED_VALUE"""),7429.0)</f>
        <v>7429</v>
      </c>
      <c r="B1273" s="9">
        <f>IFERROR(__xludf.DUMMYFUNCTION("""COMPUTED_VALUE"""),45408.85181712963)</f>
        <v>45408.85182</v>
      </c>
      <c r="C1273" s="5" t="str">
        <f>IFERROR(__xludf.DUMMYFUNCTION("""COMPUTED_VALUE"""),"purchase")</f>
        <v>purchase</v>
      </c>
      <c r="D1273" s="10">
        <f t="shared" si="1"/>
        <v>45408</v>
      </c>
      <c r="E1273" s="10">
        <f t="shared" si="2"/>
        <v>45404</v>
      </c>
      <c r="F1273" s="10">
        <f t="shared" si="3"/>
        <v>45383</v>
      </c>
      <c r="G1273" s="11"/>
    </row>
    <row r="1274">
      <c r="A1274" s="5">
        <f>IFERROR(__xludf.DUMMYFUNCTION("""COMPUTED_VALUE"""),4079.0)</f>
        <v>4079</v>
      </c>
      <c r="B1274" s="9">
        <f>IFERROR(__xludf.DUMMYFUNCTION("""COMPUTED_VALUE"""),45408.87719907407)</f>
        <v>45408.8772</v>
      </c>
      <c r="C1274" s="5" t="str">
        <f>IFERROR(__xludf.DUMMYFUNCTION("""COMPUTED_VALUE"""),"purchase")</f>
        <v>purchase</v>
      </c>
      <c r="D1274" s="10">
        <f t="shared" si="1"/>
        <v>45408</v>
      </c>
      <c r="E1274" s="10">
        <f t="shared" si="2"/>
        <v>45404</v>
      </c>
      <c r="F1274" s="10">
        <f t="shared" si="3"/>
        <v>45383</v>
      </c>
      <c r="G1274" s="11"/>
    </row>
    <row r="1275">
      <c r="A1275" s="5">
        <f>IFERROR(__xludf.DUMMYFUNCTION("""COMPUTED_VALUE"""),6973.0)</f>
        <v>6973</v>
      </c>
      <c r="B1275" s="9">
        <f>IFERROR(__xludf.DUMMYFUNCTION("""COMPUTED_VALUE"""),45409.2062037037)</f>
        <v>45409.2062</v>
      </c>
      <c r="C1275" s="5" t="str">
        <f>IFERROR(__xludf.DUMMYFUNCTION("""COMPUTED_VALUE"""),"purchase")</f>
        <v>purchase</v>
      </c>
      <c r="D1275" s="10">
        <f t="shared" si="1"/>
        <v>45409</v>
      </c>
      <c r="E1275" s="10">
        <f t="shared" si="2"/>
        <v>45404</v>
      </c>
      <c r="F1275" s="10">
        <f t="shared" si="3"/>
        <v>45383</v>
      </c>
      <c r="G1275" s="11"/>
    </row>
    <row r="1276">
      <c r="A1276" s="5">
        <f>IFERROR(__xludf.DUMMYFUNCTION("""COMPUTED_VALUE"""),501.0)</f>
        <v>501</v>
      </c>
      <c r="B1276" s="9">
        <f>IFERROR(__xludf.DUMMYFUNCTION("""COMPUTED_VALUE"""),45409.252534722225)</f>
        <v>45409.25253</v>
      </c>
      <c r="C1276" s="5" t="str">
        <f>IFERROR(__xludf.DUMMYFUNCTION("""COMPUTED_VALUE"""),"purchase")</f>
        <v>purchase</v>
      </c>
      <c r="D1276" s="10">
        <f t="shared" si="1"/>
        <v>45409</v>
      </c>
      <c r="E1276" s="10">
        <f t="shared" si="2"/>
        <v>45404</v>
      </c>
      <c r="F1276" s="10">
        <f t="shared" si="3"/>
        <v>45383</v>
      </c>
      <c r="G1276" s="11"/>
    </row>
    <row r="1277">
      <c r="A1277" s="5">
        <f>IFERROR(__xludf.DUMMYFUNCTION("""COMPUTED_VALUE"""),2058.0)</f>
        <v>2058</v>
      </c>
      <c r="B1277" s="9">
        <f>IFERROR(__xludf.DUMMYFUNCTION("""COMPUTED_VALUE"""),45409.40252314815)</f>
        <v>45409.40252</v>
      </c>
      <c r="C1277" s="5" t="str">
        <f>IFERROR(__xludf.DUMMYFUNCTION("""COMPUTED_VALUE"""),"purchase")</f>
        <v>purchase</v>
      </c>
      <c r="D1277" s="10">
        <f t="shared" si="1"/>
        <v>45409</v>
      </c>
      <c r="E1277" s="10">
        <f t="shared" si="2"/>
        <v>45404</v>
      </c>
      <c r="F1277" s="10">
        <f t="shared" si="3"/>
        <v>45383</v>
      </c>
      <c r="G1277" s="11"/>
    </row>
    <row r="1278">
      <c r="A1278" s="5">
        <f>IFERROR(__xludf.DUMMYFUNCTION("""COMPUTED_VALUE"""),7919.0)</f>
        <v>7919</v>
      </c>
      <c r="B1278" s="9">
        <f>IFERROR(__xludf.DUMMYFUNCTION("""COMPUTED_VALUE"""),45409.70143518518)</f>
        <v>45409.70144</v>
      </c>
      <c r="C1278" s="5" t="str">
        <f>IFERROR(__xludf.DUMMYFUNCTION("""COMPUTED_VALUE"""),"purchase")</f>
        <v>purchase</v>
      </c>
      <c r="D1278" s="10">
        <f t="shared" si="1"/>
        <v>45409</v>
      </c>
      <c r="E1278" s="10">
        <f t="shared" si="2"/>
        <v>45404</v>
      </c>
      <c r="F1278" s="10">
        <f t="shared" si="3"/>
        <v>45383</v>
      </c>
      <c r="G1278" s="11"/>
    </row>
    <row r="1279">
      <c r="A1279" s="5">
        <f>IFERROR(__xludf.DUMMYFUNCTION("""COMPUTED_VALUE"""),7174.0)</f>
        <v>7174</v>
      </c>
      <c r="B1279" s="9">
        <f>IFERROR(__xludf.DUMMYFUNCTION("""COMPUTED_VALUE"""),45409.72686342592)</f>
        <v>45409.72686</v>
      </c>
      <c r="C1279" s="5" t="str">
        <f>IFERROR(__xludf.DUMMYFUNCTION("""COMPUTED_VALUE"""),"purchase")</f>
        <v>purchase</v>
      </c>
      <c r="D1279" s="10">
        <f t="shared" si="1"/>
        <v>45409</v>
      </c>
      <c r="E1279" s="10">
        <f t="shared" si="2"/>
        <v>45404</v>
      </c>
      <c r="F1279" s="10">
        <f t="shared" si="3"/>
        <v>45383</v>
      </c>
      <c r="G1279" s="11"/>
    </row>
    <row r="1280">
      <c r="A1280" s="5">
        <f>IFERROR(__xludf.DUMMYFUNCTION("""COMPUTED_VALUE"""),2448.0)</f>
        <v>2448</v>
      </c>
      <c r="B1280" s="9">
        <f>IFERROR(__xludf.DUMMYFUNCTION("""COMPUTED_VALUE"""),45409.79675925926)</f>
        <v>45409.79676</v>
      </c>
      <c r="C1280" s="5" t="str">
        <f>IFERROR(__xludf.DUMMYFUNCTION("""COMPUTED_VALUE"""),"purchase")</f>
        <v>purchase</v>
      </c>
      <c r="D1280" s="10">
        <f t="shared" si="1"/>
        <v>45409</v>
      </c>
      <c r="E1280" s="10">
        <f t="shared" si="2"/>
        <v>45404</v>
      </c>
      <c r="F1280" s="10">
        <f t="shared" si="3"/>
        <v>45383</v>
      </c>
      <c r="G1280" s="11"/>
    </row>
    <row r="1281">
      <c r="A1281" s="5">
        <f>IFERROR(__xludf.DUMMYFUNCTION("""COMPUTED_VALUE"""),7648.0)</f>
        <v>7648</v>
      </c>
      <c r="B1281" s="9">
        <f>IFERROR(__xludf.DUMMYFUNCTION("""COMPUTED_VALUE"""),45409.91695601852)</f>
        <v>45409.91696</v>
      </c>
      <c r="C1281" s="5" t="str">
        <f>IFERROR(__xludf.DUMMYFUNCTION("""COMPUTED_VALUE"""),"purchase")</f>
        <v>purchase</v>
      </c>
      <c r="D1281" s="10">
        <f t="shared" si="1"/>
        <v>45409</v>
      </c>
      <c r="E1281" s="10">
        <f t="shared" si="2"/>
        <v>45404</v>
      </c>
      <c r="F1281" s="10">
        <f t="shared" si="3"/>
        <v>45383</v>
      </c>
      <c r="G1281" s="11"/>
    </row>
    <row r="1282">
      <c r="A1282" s="5">
        <f>IFERROR(__xludf.DUMMYFUNCTION("""COMPUTED_VALUE"""),218.0)</f>
        <v>218</v>
      </c>
      <c r="B1282" s="9">
        <f>IFERROR(__xludf.DUMMYFUNCTION("""COMPUTED_VALUE"""),45410.067824074074)</f>
        <v>45410.06782</v>
      </c>
      <c r="C1282" s="5" t="str">
        <f>IFERROR(__xludf.DUMMYFUNCTION("""COMPUTED_VALUE"""),"purchase")</f>
        <v>purchase</v>
      </c>
      <c r="D1282" s="10">
        <f t="shared" si="1"/>
        <v>45410</v>
      </c>
      <c r="E1282" s="10">
        <f t="shared" si="2"/>
        <v>45404</v>
      </c>
      <c r="F1282" s="10">
        <f t="shared" si="3"/>
        <v>45383</v>
      </c>
      <c r="G1282" s="11"/>
    </row>
    <row r="1283">
      <c r="A1283" s="5">
        <f>IFERROR(__xludf.DUMMYFUNCTION("""COMPUTED_VALUE"""),487.0)</f>
        <v>487</v>
      </c>
      <c r="B1283" s="9">
        <f>IFERROR(__xludf.DUMMYFUNCTION("""COMPUTED_VALUE"""),45410.069548611114)</f>
        <v>45410.06955</v>
      </c>
      <c r="C1283" s="5" t="str">
        <f>IFERROR(__xludf.DUMMYFUNCTION("""COMPUTED_VALUE"""),"purchase")</f>
        <v>purchase</v>
      </c>
      <c r="D1283" s="10">
        <f t="shared" si="1"/>
        <v>45410</v>
      </c>
      <c r="E1283" s="10">
        <f t="shared" si="2"/>
        <v>45404</v>
      </c>
      <c r="F1283" s="10">
        <f t="shared" si="3"/>
        <v>45383</v>
      </c>
      <c r="G1283" s="11"/>
    </row>
    <row r="1284">
      <c r="A1284" s="5">
        <f>IFERROR(__xludf.DUMMYFUNCTION("""COMPUTED_VALUE"""),2996.0)</f>
        <v>2996</v>
      </c>
      <c r="B1284" s="9">
        <f>IFERROR(__xludf.DUMMYFUNCTION("""COMPUTED_VALUE"""),45410.07166666666)</f>
        <v>45410.07167</v>
      </c>
      <c r="C1284" s="5" t="str">
        <f>IFERROR(__xludf.DUMMYFUNCTION("""COMPUTED_VALUE"""),"purchase")</f>
        <v>purchase</v>
      </c>
      <c r="D1284" s="10">
        <f t="shared" si="1"/>
        <v>45410</v>
      </c>
      <c r="E1284" s="10">
        <f t="shared" si="2"/>
        <v>45404</v>
      </c>
      <c r="F1284" s="10">
        <f t="shared" si="3"/>
        <v>45383</v>
      </c>
      <c r="G1284" s="11"/>
    </row>
    <row r="1285">
      <c r="A1285" s="5">
        <f>IFERROR(__xludf.DUMMYFUNCTION("""COMPUTED_VALUE"""),5926.0)</f>
        <v>5926</v>
      </c>
      <c r="B1285" s="9">
        <f>IFERROR(__xludf.DUMMYFUNCTION("""COMPUTED_VALUE"""),45410.149201388886)</f>
        <v>45410.1492</v>
      </c>
      <c r="C1285" s="5" t="str">
        <f>IFERROR(__xludf.DUMMYFUNCTION("""COMPUTED_VALUE"""),"purchase")</f>
        <v>purchase</v>
      </c>
      <c r="D1285" s="10">
        <f t="shared" si="1"/>
        <v>45410</v>
      </c>
      <c r="E1285" s="10">
        <f t="shared" si="2"/>
        <v>45404</v>
      </c>
      <c r="F1285" s="10">
        <f t="shared" si="3"/>
        <v>45383</v>
      </c>
      <c r="G1285" s="11"/>
    </row>
    <row r="1286">
      <c r="A1286" s="5">
        <f>IFERROR(__xludf.DUMMYFUNCTION("""COMPUTED_VALUE"""),3521.0)</f>
        <v>3521</v>
      </c>
      <c r="B1286" s="9">
        <f>IFERROR(__xludf.DUMMYFUNCTION("""COMPUTED_VALUE"""),45410.36509259259)</f>
        <v>45410.36509</v>
      </c>
      <c r="C1286" s="5" t="str">
        <f>IFERROR(__xludf.DUMMYFUNCTION("""COMPUTED_VALUE"""),"purchase")</f>
        <v>purchase</v>
      </c>
      <c r="D1286" s="10">
        <f t="shared" si="1"/>
        <v>45410</v>
      </c>
      <c r="E1286" s="10">
        <f t="shared" si="2"/>
        <v>45404</v>
      </c>
      <c r="F1286" s="10">
        <f t="shared" si="3"/>
        <v>45383</v>
      </c>
      <c r="G1286" s="11"/>
    </row>
    <row r="1287">
      <c r="A1287" s="5">
        <f>IFERROR(__xludf.DUMMYFUNCTION("""COMPUTED_VALUE"""),762.0)</f>
        <v>762</v>
      </c>
      <c r="B1287" s="9">
        <f>IFERROR(__xludf.DUMMYFUNCTION("""COMPUTED_VALUE"""),45410.377847222226)</f>
        <v>45410.37785</v>
      </c>
      <c r="C1287" s="5" t="str">
        <f>IFERROR(__xludf.DUMMYFUNCTION("""COMPUTED_VALUE"""),"purchase")</f>
        <v>purchase</v>
      </c>
      <c r="D1287" s="10">
        <f t="shared" si="1"/>
        <v>45410</v>
      </c>
      <c r="E1287" s="10">
        <f t="shared" si="2"/>
        <v>45404</v>
      </c>
      <c r="F1287" s="10">
        <f t="shared" si="3"/>
        <v>45383</v>
      </c>
      <c r="G1287" s="11"/>
    </row>
    <row r="1288">
      <c r="A1288" s="5">
        <f>IFERROR(__xludf.DUMMYFUNCTION("""COMPUTED_VALUE"""),1322.0)</f>
        <v>1322</v>
      </c>
      <c r="B1288" s="9">
        <f>IFERROR(__xludf.DUMMYFUNCTION("""COMPUTED_VALUE"""),45410.46144675926)</f>
        <v>45410.46145</v>
      </c>
      <c r="C1288" s="5" t="str">
        <f>IFERROR(__xludf.DUMMYFUNCTION("""COMPUTED_VALUE"""),"purchase")</f>
        <v>purchase</v>
      </c>
      <c r="D1288" s="10">
        <f t="shared" si="1"/>
        <v>45410</v>
      </c>
      <c r="E1288" s="10">
        <f t="shared" si="2"/>
        <v>45404</v>
      </c>
      <c r="F1288" s="10">
        <f t="shared" si="3"/>
        <v>45383</v>
      </c>
      <c r="G1288" s="11"/>
    </row>
    <row r="1289">
      <c r="A1289" s="5">
        <f>IFERROR(__xludf.DUMMYFUNCTION("""COMPUTED_VALUE"""),5663.0)</f>
        <v>5663</v>
      </c>
      <c r="B1289" s="9">
        <f>IFERROR(__xludf.DUMMYFUNCTION("""COMPUTED_VALUE"""),45410.49957175926)</f>
        <v>45410.49957</v>
      </c>
      <c r="C1289" s="5" t="str">
        <f>IFERROR(__xludf.DUMMYFUNCTION("""COMPUTED_VALUE"""),"purchase")</f>
        <v>purchase</v>
      </c>
      <c r="D1289" s="10">
        <f t="shared" si="1"/>
        <v>45410</v>
      </c>
      <c r="E1289" s="10">
        <f t="shared" si="2"/>
        <v>45404</v>
      </c>
      <c r="F1289" s="10">
        <f t="shared" si="3"/>
        <v>45383</v>
      </c>
      <c r="G1289" s="11"/>
    </row>
    <row r="1290">
      <c r="A1290" s="5">
        <f>IFERROR(__xludf.DUMMYFUNCTION("""COMPUTED_VALUE"""),377.0)</f>
        <v>377</v>
      </c>
      <c r="B1290" s="9">
        <f>IFERROR(__xludf.DUMMYFUNCTION("""COMPUTED_VALUE"""),45410.69773148148)</f>
        <v>45410.69773</v>
      </c>
      <c r="C1290" s="5" t="str">
        <f>IFERROR(__xludf.DUMMYFUNCTION("""COMPUTED_VALUE"""),"purchase")</f>
        <v>purchase</v>
      </c>
      <c r="D1290" s="10">
        <f t="shared" si="1"/>
        <v>45410</v>
      </c>
      <c r="E1290" s="10">
        <f t="shared" si="2"/>
        <v>45404</v>
      </c>
      <c r="F1290" s="10">
        <f t="shared" si="3"/>
        <v>45383</v>
      </c>
      <c r="G1290" s="11"/>
    </row>
    <row r="1291">
      <c r="A1291" s="5">
        <f>IFERROR(__xludf.DUMMYFUNCTION("""COMPUTED_VALUE"""),5045.0)</f>
        <v>5045</v>
      </c>
      <c r="B1291" s="9">
        <f>IFERROR(__xludf.DUMMYFUNCTION("""COMPUTED_VALUE"""),45411.05730324074)</f>
        <v>45411.0573</v>
      </c>
      <c r="C1291" s="5" t="str">
        <f>IFERROR(__xludf.DUMMYFUNCTION("""COMPUTED_VALUE"""),"purchase")</f>
        <v>purchase</v>
      </c>
      <c r="D1291" s="10">
        <f t="shared" si="1"/>
        <v>45411</v>
      </c>
      <c r="E1291" s="10">
        <f t="shared" si="2"/>
        <v>45411</v>
      </c>
      <c r="F1291" s="10">
        <f t="shared" si="3"/>
        <v>45383</v>
      </c>
      <c r="G1291" s="11"/>
    </row>
    <row r="1292">
      <c r="A1292" s="5">
        <f>IFERROR(__xludf.DUMMYFUNCTION("""COMPUTED_VALUE"""),1023.0)</f>
        <v>1023</v>
      </c>
      <c r="B1292" s="9">
        <f>IFERROR(__xludf.DUMMYFUNCTION("""COMPUTED_VALUE"""),45411.209085648145)</f>
        <v>45411.20909</v>
      </c>
      <c r="C1292" s="5" t="str">
        <f>IFERROR(__xludf.DUMMYFUNCTION("""COMPUTED_VALUE"""),"purchase")</f>
        <v>purchase</v>
      </c>
      <c r="D1292" s="10">
        <f t="shared" si="1"/>
        <v>45411</v>
      </c>
      <c r="E1292" s="10">
        <f t="shared" si="2"/>
        <v>45411</v>
      </c>
      <c r="F1292" s="10">
        <f t="shared" si="3"/>
        <v>45383</v>
      </c>
      <c r="G1292" s="11"/>
    </row>
    <row r="1293">
      <c r="A1293" s="5">
        <f>IFERROR(__xludf.DUMMYFUNCTION("""COMPUTED_VALUE"""),2227.0)</f>
        <v>2227</v>
      </c>
      <c r="B1293" s="9">
        <f>IFERROR(__xludf.DUMMYFUNCTION("""COMPUTED_VALUE"""),45411.21780092592)</f>
        <v>45411.2178</v>
      </c>
      <c r="C1293" s="5" t="str">
        <f>IFERROR(__xludf.DUMMYFUNCTION("""COMPUTED_VALUE"""),"purchase")</f>
        <v>purchase</v>
      </c>
      <c r="D1293" s="10">
        <f t="shared" si="1"/>
        <v>45411</v>
      </c>
      <c r="E1293" s="10">
        <f t="shared" si="2"/>
        <v>45411</v>
      </c>
      <c r="F1293" s="10">
        <f t="shared" si="3"/>
        <v>45383</v>
      </c>
      <c r="G1293" s="11"/>
    </row>
    <row r="1294">
      <c r="A1294" s="5">
        <f>IFERROR(__xludf.DUMMYFUNCTION("""COMPUTED_VALUE"""),2276.0)</f>
        <v>2276</v>
      </c>
      <c r="B1294" s="9">
        <f>IFERROR(__xludf.DUMMYFUNCTION("""COMPUTED_VALUE"""),45411.438055555554)</f>
        <v>45411.43806</v>
      </c>
      <c r="C1294" s="5" t="str">
        <f>IFERROR(__xludf.DUMMYFUNCTION("""COMPUTED_VALUE"""),"purchase")</f>
        <v>purchase</v>
      </c>
      <c r="D1294" s="10">
        <f t="shared" si="1"/>
        <v>45411</v>
      </c>
      <c r="E1294" s="10">
        <f t="shared" si="2"/>
        <v>45411</v>
      </c>
      <c r="F1294" s="10">
        <f t="shared" si="3"/>
        <v>45383</v>
      </c>
      <c r="G1294" s="11"/>
    </row>
    <row r="1295">
      <c r="A1295" s="5">
        <f>IFERROR(__xludf.DUMMYFUNCTION("""COMPUTED_VALUE"""),2685.0)</f>
        <v>2685</v>
      </c>
      <c r="B1295" s="9">
        <f>IFERROR(__xludf.DUMMYFUNCTION("""COMPUTED_VALUE"""),45411.491215277776)</f>
        <v>45411.49122</v>
      </c>
      <c r="C1295" s="5" t="str">
        <f>IFERROR(__xludf.DUMMYFUNCTION("""COMPUTED_VALUE"""),"purchase")</f>
        <v>purchase</v>
      </c>
      <c r="D1295" s="10">
        <f t="shared" si="1"/>
        <v>45411</v>
      </c>
      <c r="E1295" s="10">
        <f t="shared" si="2"/>
        <v>45411</v>
      </c>
      <c r="F1295" s="10">
        <f t="shared" si="3"/>
        <v>45383</v>
      </c>
      <c r="G1295" s="11"/>
    </row>
    <row r="1296">
      <c r="A1296" s="5">
        <f>IFERROR(__xludf.DUMMYFUNCTION("""COMPUTED_VALUE"""),5909.0)</f>
        <v>5909</v>
      </c>
      <c r="B1296" s="9">
        <f>IFERROR(__xludf.DUMMYFUNCTION("""COMPUTED_VALUE"""),45411.638657407406)</f>
        <v>45411.63866</v>
      </c>
      <c r="C1296" s="5" t="str">
        <f>IFERROR(__xludf.DUMMYFUNCTION("""COMPUTED_VALUE"""),"purchase")</f>
        <v>purchase</v>
      </c>
      <c r="D1296" s="10">
        <f t="shared" si="1"/>
        <v>45411</v>
      </c>
      <c r="E1296" s="10">
        <f t="shared" si="2"/>
        <v>45411</v>
      </c>
      <c r="F1296" s="10">
        <f t="shared" si="3"/>
        <v>45383</v>
      </c>
      <c r="G1296" s="11"/>
    </row>
    <row r="1297">
      <c r="A1297" s="5">
        <f>IFERROR(__xludf.DUMMYFUNCTION("""COMPUTED_VALUE"""),4843.0)</f>
        <v>4843</v>
      </c>
      <c r="B1297" s="9">
        <f>IFERROR(__xludf.DUMMYFUNCTION("""COMPUTED_VALUE"""),45412.06952546296)</f>
        <v>45412.06953</v>
      </c>
      <c r="C1297" s="5" t="str">
        <f>IFERROR(__xludf.DUMMYFUNCTION("""COMPUTED_VALUE"""),"purchase")</f>
        <v>purchase</v>
      </c>
      <c r="D1297" s="10">
        <f t="shared" si="1"/>
        <v>45412</v>
      </c>
      <c r="E1297" s="10">
        <f t="shared" si="2"/>
        <v>45411</v>
      </c>
      <c r="F1297" s="10">
        <f t="shared" si="3"/>
        <v>45383</v>
      </c>
      <c r="G1297" s="11"/>
    </row>
    <row r="1298">
      <c r="A1298" s="5">
        <f>IFERROR(__xludf.DUMMYFUNCTION("""COMPUTED_VALUE"""),6450.0)</f>
        <v>6450</v>
      </c>
      <c r="B1298" s="9">
        <f>IFERROR(__xludf.DUMMYFUNCTION("""COMPUTED_VALUE"""),45412.09337962963)</f>
        <v>45412.09338</v>
      </c>
      <c r="C1298" s="5" t="str">
        <f>IFERROR(__xludf.DUMMYFUNCTION("""COMPUTED_VALUE"""),"purchase")</f>
        <v>purchase</v>
      </c>
      <c r="D1298" s="10">
        <f t="shared" si="1"/>
        <v>45412</v>
      </c>
      <c r="E1298" s="10">
        <f t="shared" si="2"/>
        <v>45411</v>
      </c>
      <c r="F1298" s="10">
        <f t="shared" si="3"/>
        <v>45383</v>
      </c>
      <c r="G1298" s="11"/>
    </row>
    <row r="1299">
      <c r="A1299" s="5">
        <f>IFERROR(__xludf.DUMMYFUNCTION("""COMPUTED_VALUE"""),4170.0)</f>
        <v>4170</v>
      </c>
      <c r="B1299" s="9">
        <f>IFERROR(__xludf.DUMMYFUNCTION("""COMPUTED_VALUE"""),45412.094293981485)</f>
        <v>45412.09429</v>
      </c>
      <c r="C1299" s="5" t="str">
        <f>IFERROR(__xludf.DUMMYFUNCTION("""COMPUTED_VALUE"""),"purchase")</f>
        <v>purchase</v>
      </c>
      <c r="D1299" s="10">
        <f t="shared" si="1"/>
        <v>45412</v>
      </c>
      <c r="E1299" s="10">
        <f t="shared" si="2"/>
        <v>45411</v>
      </c>
      <c r="F1299" s="10">
        <f t="shared" si="3"/>
        <v>45383</v>
      </c>
      <c r="G1299" s="11"/>
    </row>
    <row r="1300">
      <c r="A1300" s="5">
        <f>IFERROR(__xludf.DUMMYFUNCTION("""COMPUTED_VALUE"""),5199.0)</f>
        <v>5199</v>
      </c>
      <c r="B1300" s="9">
        <f>IFERROR(__xludf.DUMMYFUNCTION("""COMPUTED_VALUE"""),45412.0958912037)</f>
        <v>45412.09589</v>
      </c>
      <c r="C1300" s="5" t="str">
        <f>IFERROR(__xludf.DUMMYFUNCTION("""COMPUTED_VALUE"""),"purchase")</f>
        <v>purchase</v>
      </c>
      <c r="D1300" s="10">
        <f t="shared" si="1"/>
        <v>45412</v>
      </c>
      <c r="E1300" s="10">
        <f t="shared" si="2"/>
        <v>45411</v>
      </c>
      <c r="F1300" s="10">
        <f t="shared" si="3"/>
        <v>45383</v>
      </c>
      <c r="G1300" s="11"/>
    </row>
    <row r="1301">
      <c r="A1301" s="5">
        <f>IFERROR(__xludf.DUMMYFUNCTION("""COMPUTED_VALUE"""),7534.0)</f>
        <v>7534</v>
      </c>
      <c r="B1301" s="9">
        <f>IFERROR(__xludf.DUMMYFUNCTION("""COMPUTED_VALUE"""),45412.2840162037)</f>
        <v>45412.28402</v>
      </c>
      <c r="C1301" s="5" t="str">
        <f>IFERROR(__xludf.DUMMYFUNCTION("""COMPUTED_VALUE"""),"purchase")</f>
        <v>purchase</v>
      </c>
      <c r="D1301" s="10">
        <f t="shared" si="1"/>
        <v>45412</v>
      </c>
      <c r="E1301" s="10">
        <f t="shared" si="2"/>
        <v>45411</v>
      </c>
      <c r="F1301" s="10">
        <f t="shared" si="3"/>
        <v>45383</v>
      </c>
      <c r="G1301" s="11"/>
    </row>
    <row r="1302">
      <c r="A1302" s="5">
        <f>IFERROR(__xludf.DUMMYFUNCTION("""COMPUTED_VALUE"""),4621.0)</f>
        <v>4621</v>
      </c>
      <c r="B1302" s="9">
        <f>IFERROR(__xludf.DUMMYFUNCTION("""COMPUTED_VALUE"""),45412.33112268519)</f>
        <v>45412.33112</v>
      </c>
      <c r="C1302" s="5" t="str">
        <f>IFERROR(__xludf.DUMMYFUNCTION("""COMPUTED_VALUE"""),"purchase")</f>
        <v>purchase</v>
      </c>
      <c r="D1302" s="10">
        <f t="shared" si="1"/>
        <v>45412</v>
      </c>
      <c r="E1302" s="10">
        <f t="shared" si="2"/>
        <v>45411</v>
      </c>
      <c r="F1302" s="10">
        <f t="shared" si="3"/>
        <v>45383</v>
      </c>
      <c r="G1302" s="11"/>
    </row>
    <row r="1303">
      <c r="A1303" s="5">
        <f>IFERROR(__xludf.DUMMYFUNCTION("""COMPUTED_VALUE"""),4665.0)</f>
        <v>4665</v>
      </c>
      <c r="B1303" s="9">
        <f>IFERROR(__xludf.DUMMYFUNCTION("""COMPUTED_VALUE"""),45412.346608796295)</f>
        <v>45412.34661</v>
      </c>
      <c r="C1303" s="5" t="str">
        <f>IFERROR(__xludf.DUMMYFUNCTION("""COMPUTED_VALUE"""),"purchase")</f>
        <v>purchase</v>
      </c>
      <c r="D1303" s="10">
        <f t="shared" si="1"/>
        <v>45412</v>
      </c>
      <c r="E1303" s="10">
        <f t="shared" si="2"/>
        <v>45411</v>
      </c>
      <c r="F1303" s="10">
        <f t="shared" si="3"/>
        <v>45383</v>
      </c>
      <c r="G1303" s="11"/>
    </row>
    <row r="1304">
      <c r="A1304" s="5">
        <f>IFERROR(__xludf.DUMMYFUNCTION("""COMPUTED_VALUE"""),7513.0)</f>
        <v>7513</v>
      </c>
      <c r="B1304" s="9">
        <f>IFERROR(__xludf.DUMMYFUNCTION("""COMPUTED_VALUE"""),45412.541597222225)</f>
        <v>45412.5416</v>
      </c>
      <c r="C1304" s="5" t="str">
        <f>IFERROR(__xludf.DUMMYFUNCTION("""COMPUTED_VALUE"""),"purchase")</f>
        <v>purchase</v>
      </c>
      <c r="D1304" s="10">
        <f t="shared" si="1"/>
        <v>45412</v>
      </c>
      <c r="E1304" s="10">
        <f t="shared" si="2"/>
        <v>45411</v>
      </c>
      <c r="F1304" s="10">
        <f t="shared" si="3"/>
        <v>45383</v>
      </c>
      <c r="G1304" s="11"/>
    </row>
    <row r="1305">
      <c r="A1305" s="5">
        <f>IFERROR(__xludf.DUMMYFUNCTION("""COMPUTED_VALUE"""),506.0)</f>
        <v>506</v>
      </c>
      <c r="B1305" s="9">
        <f>IFERROR(__xludf.DUMMYFUNCTION("""COMPUTED_VALUE"""),45412.64962962963)</f>
        <v>45412.64963</v>
      </c>
      <c r="C1305" s="5" t="str">
        <f>IFERROR(__xludf.DUMMYFUNCTION("""COMPUTED_VALUE"""),"purchase")</f>
        <v>purchase</v>
      </c>
      <c r="D1305" s="10">
        <f t="shared" si="1"/>
        <v>45412</v>
      </c>
      <c r="E1305" s="10">
        <f t="shared" si="2"/>
        <v>45411</v>
      </c>
      <c r="F1305" s="10">
        <f t="shared" si="3"/>
        <v>45383</v>
      </c>
      <c r="G1305" s="11"/>
    </row>
    <row r="1306">
      <c r="A1306" s="5">
        <f>IFERROR(__xludf.DUMMYFUNCTION("""COMPUTED_VALUE"""),2826.0)</f>
        <v>2826</v>
      </c>
      <c r="B1306" s="9">
        <f>IFERROR(__xludf.DUMMYFUNCTION("""COMPUTED_VALUE"""),45412.715949074074)</f>
        <v>45412.71595</v>
      </c>
      <c r="C1306" s="5" t="str">
        <f>IFERROR(__xludf.DUMMYFUNCTION("""COMPUTED_VALUE"""),"purchase")</f>
        <v>purchase</v>
      </c>
      <c r="D1306" s="10">
        <f t="shared" si="1"/>
        <v>45412</v>
      </c>
      <c r="E1306" s="10">
        <f t="shared" si="2"/>
        <v>45411</v>
      </c>
      <c r="F1306" s="10">
        <f t="shared" si="3"/>
        <v>45383</v>
      </c>
      <c r="G1306" s="11"/>
    </row>
    <row r="1307">
      <c r="A1307" s="5">
        <f>IFERROR(__xludf.DUMMYFUNCTION("""COMPUTED_VALUE"""),7451.0)</f>
        <v>7451</v>
      </c>
      <c r="B1307" s="9">
        <f>IFERROR(__xludf.DUMMYFUNCTION("""COMPUTED_VALUE"""),45412.72393518518)</f>
        <v>45412.72394</v>
      </c>
      <c r="C1307" s="5" t="str">
        <f>IFERROR(__xludf.DUMMYFUNCTION("""COMPUTED_VALUE"""),"purchase")</f>
        <v>purchase</v>
      </c>
      <c r="D1307" s="10">
        <f t="shared" si="1"/>
        <v>45412</v>
      </c>
      <c r="E1307" s="10">
        <f t="shared" si="2"/>
        <v>45411</v>
      </c>
      <c r="F1307" s="10">
        <f t="shared" si="3"/>
        <v>45383</v>
      </c>
      <c r="G1307" s="11"/>
    </row>
    <row r="1308">
      <c r="A1308" s="5">
        <f>IFERROR(__xludf.DUMMYFUNCTION("""COMPUTED_VALUE"""),7221.0)</f>
        <v>7221</v>
      </c>
      <c r="B1308" s="9">
        <f>IFERROR(__xludf.DUMMYFUNCTION("""COMPUTED_VALUE"""),45412.75078703704)</f>
        <v>45412.75079</v>
      </c>
      <c r="C1308" s="5" t="str">
        <f>IFERROR(__xludf.DUMMYFUNCTION("""COMPUTED_VALUE"""),"purchase")</f>
        <v>purchase</v>
      </c>
      <c r="D1308" s="10">
        <f t="shared" si="1"/>
        <v>45412</v>
      </c>
      <c r="E1308" s="10">
        <f t="shared" si="2"/>
        <v>45411</v>
      </c>
      <c r="F1308" s="10">
        <f t="shared" si="3"/>
        <v>45383</v>
      </c>
      <c r="G1308" s="11"/>
    </row>
    <row r="1309">
      <c r="A1309" s="5">
        <f>IFERROR(__xludf.DUMMYFUNCTION("""COMPUTED_VALUE"""),6174.0)</f>
        <v>6174</v>
      </c>
      <c r="B1309" s="9">
        <f>IFERROR(__xludf.DUMMYFUNCTION("""COMPUTED_VALUE"""),45412.86651620371)</f>
        <v>45412.86652</v>
      </c>
      <c r="C1309" s="5" t="str">
        <f>IFERROR(__xludf.DUMMYFUNCTION("""COMPUTED_VALUE"""),"purchase")</f>
        <v>purchase</v>
      </c>
      <c r="D1309" s="10">
        <f t="shared" si="1"/>
        <v>45412</v>
      </c>
      <c r="E1309" s="10">
        <f t="shared" si="2"/>
        <v>45411</v>
      </c>
      <c r="F1309" s="10">
        <f t="shared" si="3"/>
        <v>45383</v>
      </c>
      <c r="G1309" s="11"/>
    </row>
    <row r="1310">
      <c r="A1310" s="5">
        <f>IFERROR(__xludf.DUMMYFUNCTION("""COMPUTED_VALUE"""),4185.0)</f>
        <v>4185</v>
      </c>
      <c r="B1310" s="9">
        <f>IFERROR(__xludf.DUMMYFUNCTION("""COMPUTED_VALUE"""),45412.90590277778)</f>
        <v>45412.9059</v>
      </c>
      <c r="C1310" s="5" t="str">
        <f>IFERROR(__xludf.DUMMYFUNCTION("""COMPUTED_VALUE"""),"purchase")</f>
        <v>purchase</v>
      </c>
      <c r="D1310" s="10">
        <f t="shared" si="1"/>
        <v>45412</v>
      </c>
      <c r="E1310" s="10">
        <f t="shared" si="2"/>
        <v>45411</v>
      </c>
      <c r="F1310" s="10">
        <f t="shared" si="3"/>
        <v>45383</v>
      </c>
      <c r="G1310" s="11"/>
    </row>
    <row r="1311">
      <c r="A1311" s="5">
        <f>IFERROR(__xludf.DUMMYFUNCTION("""COMPUTED_VALUE"""),958.0)</f>
        <v>958</v>
      </c>
      <c r="B1311" s="9">
        <f>IFERROR(__xludf.DUMMYFUNCTION("""COMPUTED_VALUE"""),45413.08491898148)</f>
        <v>45413.08492</v>
      </c>
      <c r="C1311" s="5" t="str">
        <f>IFERROR(__xludf.DUMMYFUNCTION("""COMPUTED_VALUE"""),"purchase")</f>
        <v>purchase</v>
      </c>
      <c r="D1311" s="10">
        <f t="shared" si="1"/>
        <v>45413</v>
      </c>
      <c r="E1311" s="10">
        <f t="shared" si="2"/>
        <v>45411</v>
      </c>
      <c r="F1311" s="10">
        <f t="shared" si="3"/>
        <v>45413</v>
      </c>
      <c r="G1311" s="11"/>
    </row>
    <row r="1312">
      <c r="A1312" s="5">
        <f>IFERROR(__xludf.DUMMYFUNCTION("""COMPUTED_VALUE"""),5500.0)</f>
        <v>5500</v>
      </c>
      <c r="B1312" s="9">
        <f>IFERROR(__xludf.DUMMYFUNCTION("""COMPUTED_VALUE"""),45413.264814814815)</f>
        <v>45413.26481</v>
      </c>
      <c r="C1312" s="5" t="str">
        <f>IFERROR(__xludf.DUMMYFUNCTION("""COMPUTED_VALUE"""),"purchase")</f>
        <v>purchase</v>
      </c>
      <c r="D1312" s="10">
        <f t="shared" si="1"/>
        <v>45413</v>
      </c>
      <c r="E1312" s="10">
        <f t="shared" si="2"/>
        <v>45411</v>
      </c>
      <c r="F1312" s="10">
        <f t="shared" si="3"/>
        <v>45413</v>
      </c>
      <c r="G1312" s="11"/>
    </row>
    <row r="1313">
      <c r="A1313" s="5">
        <f>IFERROR(__xludf.DUMMYFUNCTION("""COMPUTED_VALUE"""),5650.0)</f>
        <v>5650</v>
      </c>
      <c r="B1313" s="9">
        <f>IFERROR(__xludf.DUMMYFUNCTION("""COMPUTED_VALUE"""),45413.29109953704)</f>
        <v>45413.2911</v>
      </c>
      <c r="C1313" s="5" t="str">
        <f>IFERROR(__xludf.DUMMYFUNCTION("""COMPUTED_VALUE"""),"purchase")</f>
        <v>purchase</v>
      </c>
      <c r="D1313" s="10">
        <f t="shared" si="1"/>
        <v>45413</v>
      </c>
      <c r="E1313" s="10">
        <f t="shared" si="2"/>
        <v>45411</v>
      </c>
      <c r="F1313" s="10">
        <f t="shared" si="3"/>
        <v>45413</v>
      </c>
      <c r="G1313" s="11"/>
    </row>
    <row r="1314">
      <c r="A1314" s="5">
        <f>IFERROR(__xludf.DUMMYFUNCTION("""COMPUTED_VALUE"""),4540.0)</f>
        <v>4540</v>
      </c>
      <c r="B1314" s="9">
        <f>IFERROR(__xludf.DUMMYFUNCTION("""COMPUTED_VALUE"""),45413.391493055555)</f>
        <v>45413.39149</v>
      </c>
      <c r="C1314" s="5" t="str">
        <f>IFERROR(__xludf.DUMMYFUNCTION("""COMPUTED_VALUE"""),"purchase")</f>
        <v>purchase</v>
      </c>
      <c r="D1314" s="10">
        <f t="shared" si="1"/>
        <v>45413</v>
      </c>
      <c r="E1314" s="10">
        <f t="shared" si="2"/>
        <v>45411</v>
      </c>
      <c r="F1314" s="10">
        <f t="shared" si="3"/>
        <v>45413</v>
      </c>
      <c r="G1314" s="11"/>
    </row>
    <row r="1315">
      <c r="A1315" s="5">
        <f>IFERROR(__xludf.DUMMYFUNCTION("""COMPUTED_VALUE"""),2226.0)</f>
        <v>2226</v>
      </c>
      <c r="B1315" s="9">
        <f>IFERROR(__xludf.DUMMYFUNCTION("""COMPUTED_VALUE"""),45413.50738425926)</f>
        <v>45413.50738</v>
      </c>
      <c r="C1315" s="5" t="str">
        <f>IFERROR(__xludf.DUMMYFUNCTION("""COMPUTED_VALUE"""),"purchase")</f>
        <v>purchase</v>
      </c>
      <c r="D1315" s="10">
        <f t="shared" si="1"/>
        <v>45413</v>
      </c>
      <c r="E1315" s="10">
        <f t="shared" si="2"/>
        <v>45411</v>
      </c>
      <c r="F1315" s="10">
        <f t="shared" si="3"/>
        <v>45413</v>
      </c>
      <c r="G1315" s="11"/>
    </row>
    <row r="1316">
      <c r="A1316" s="5">
        <f>IFERROR(__xludf.DUMMYFUNCTION("""COMPUTED_VALUE"""),287.0)</f>
        <v>287</v>
      </c>
      <c r="B1316" s="9">
        <f>IFERROR(__xludf.DUMMYFUNCTION("""COMPUTED_VALUE"""),45413.56626157407)</f>
        <v>45413.56626</v>
      </c>
      <c r="C1316" s="5" t="str">
        <f>IFERROR(__xludf.DUMMYFUNCTION("""COMPUTED_VALUE"""),"purchase")</f>
        <v>purchase</v>
      </c>
      <c r="D1316" s="10">
        <f t="shared" si="1"/>
        <v>45413</v>
      </c>
      <c r="E1316" s="10">
        <f t="shared" si="2"/>
        <v>45411</v>
      </c>
      <c r="F1316" s="10">
        <f t="shared" si="3"/>
        <v>45413</v>
      </c>
      <c r="G1316" s="11"/>
    </row>
    <row r="1317">
      <c r="A1317" s="5">
        <f>IFERROR(__xludf.DUMMYFUNCTION("""COMPUTED_VALUE"""),3917.0)</f>
        <v>3917</v>
      </c>
      <c r="B1317" s="9">
        <f>IFERROR(__xludf.DUMMYFUNCTION("""COMPUTED_VALUE"""),45413.68587962963)</f>
        <v>45413.68588</v>
      </c>
      <c r="C1317" s="5" t="str">
        <f>IFERROR(__xludf.DUMMYFUNCTION("""COMPUTED_VALUE"""),"purchase")</f>
        <v>purchase</v>
      </c>
      <c r="D1317" s="10">
        <f t="shared" si="1"/>
        <v>45413</v>
      </c>
      <c r="E1317" s="10">
        <f t="shared" si="2"/>
        <v>45411</v>
      </c>
      <c r="F1317" s="10">
        <f t="shared" si="3"/>
        <v>45413</v>
      </c>
      <c r="G1317" s="11"/>
    </row>
    <row r="1318">
      <c r="A1318" s="5">
        <f>IFERROR(__xludf.DUMMYFUNCTION("""COMPUTED_VALUE"""),5769.0)</f>
        <v>5769</v>
      </c>
      <c r="B1318" s="9">
        <f>IFERROR(__xludf.DUMMYFUNCTION("""COMPUTED_VALUE"""),45413.775717592594)</f>
        <v>45413.77572</v>
      </c>
      <c r="C1318" s="5" t="str">
        <f>IFERROR(__xludf.DUMMYFUNCTION("""COMPUTED_VALUE"""),"purchase")</f>
        <v>purchase</v>
      </c>
      <c r="D1318" s="10">
        <f t="shared" si="1"/>
        <v>45413</v>
      </c>
      <c r="E1318" s="10">
        <f t="shared" si="2"/>
        <v>45411</v>
      </c>
      <c r="F1318" s="10">
        <f t="shared" si="3"/>
        <v>45413</v>
      </c>
      <c r="G1318" s="11"/>
    </row>
    <row r="1319">
      <c r="A1319" s="5">
        <f>IFERROR(__xludf.DUMMYFUNCTION("""COMPUTED_VALUE"""),4616.0)</f>
        <v>4616</v>
      </c>
      <c r="B1319" s="9">
        <f>IFERROR(__xludf.DUMMYFUNCTION("""COMPUTED_VALUE"""),45413.83293981481)</f>
        <v>45413.83294</v>
      </c>
      <c r="C1319" s="5" t="str">
        <f>IFERROR(__xludf.DUMMYFUNCTION("""COMPUTED_VALUE"""),"purchase")</f>
        <v>purchase</v>
      </c>
      <c r="D1319" s="10">
        <f t="shared" si="1"/>
        <v>45413</v>
      </c>
      <c r="E1319" s="10">
        <f t="shared" si="2"/>
        <v>45411</v>
      </c>
      <c r="F1319" s="10">
        <f t="shared" si="3"/>
        <v>45413</v>
      </c>
      <c r="G1319" s="11"/>
    </row>
    <row r="1320">
      <c r="A1320" s="5">
        <f>IFERROR(__xludf.DUMMYFUNCTION("""COMPUTED_VALUE"""),4563.0)</f>
        <v>4563</v>
      </c>
      <c r="B1320" s="9">
        <f>IFERROR(__xludf.DUMMYFUNCTION("""COMPUTED_VALUE"""),45414.005844907406)</f>
        <v>45414.00584</v>
      </c>
      <c r="C1320" s="5" t="str">
        <f>IFERROR(__xludf.DUMMYFUNCTION("""COMPUTED_VALUE"""),"purchase")</f>
        <v>purchase</v>
      </c>
      <c r="D1320" s="10">
        <f t="shared" si="1"/>
        <v>45414</v>
      </c>
      <c r="E1320" s="10">
        <f t="shared" si="2"/>
        <v>45411</v>
      </c>
      <c r="F1320" s="10">
        <f t="shared" si="3"/>
        <v>45413</v>
      </c>
      <c r="G1320" s="11"/>
    </row>
    <row r="1321">
      <c r="A1321" s="5">
        <f>IFERROR(__xludf.DUMMYFUNCTION("""COMPUTED_VALUE"""),470.0)</f>
        <v>470</v>
      </c>
      <c r="B1321" s="9">
        <f>IFERROR(__xludf.DUMMYFUNCTION("""COMPUTED_VALUE"""),45414.05438657408)</f>
        <v>45414.05439</v>
      </c>
      <c r="C1321" s="5" t="str">
        <f>IFERROR(__xludf.DUMMYFUNCTION("""COMPUTED_VALUE"""),"purchase")</f>
        <v>purchase</v>
      </c>
      <c r="D1321" s="10">
        <f t="shared" si="1"/>
        <v>45414</v>
      </c>
      <c r="E1321" s="10">
        <f t="shared" si="2"/>
        <v>45411</v>
      </c>
      <c r="F1321" s="10">
        <f t="shared" si="3"/>
        <v>45413</v>
      </c>
      <c r="G1321" s="11"/>
    </row>
    <row r="1322">
      <c r="A1322" s="5">
        <f>IFERROR(__xludf.DUMMYFUNCTION("""COMPUTED_VALUE"""),7252.0)</f>
        <v>7252</v>
      </c>
      <c r="B1322" s="9">
        <f>IFERROR(__xludf.DUMMYFUNCTION("""COMPUTED_VALUE"""),45414.21082175926)</f>
        <v>45414.21082</v>
      </c>
      <c r="C1322" s="5" t="str">
        <f>IFERROR(__xludf.DUMMYFUNCTION("""COMPUTED_VALUE"""),"purchase")</f>
        <v>purchase</v>
      </c>
      <c r="D1322" s="10">
        <f t="shared" si="1"/>
        <v>45414</v>
      </c>
      <c r="E1322" s="10">
        <f t="shared" si="2"/>
        <v>45411</v>
      </c>
      <c r="F1322" s="10">
        <f t="shared" si="3"/>
        <v>45413</v>
      </c>
      <c r="G1322" s="11"/>
    </row>
    <row r="1323">
      <c r="A1323" s="5">
        <f>IFERROR(__xludf.DUMMYFUNCTION("""COMPUTED_VALUE"""),7742.0)</f>
        <v>7742</v>
      </c>
      <c r="B1323" s="9">
        <f>IFERROR(__xludf.DUMMYFUNCTION("""COMPUTED_VALUE"""),45414.2137037037)</f>
        <v>45414.2137</v>
      </c>
      <c r="C1323" s="5" t="str">
        <f>IFERROR(__xludf.DUMMYFUNCTION("""COMPUTED_VALUE"""),"purchase")</f>
        <v>purchase</v>
      </c>
      <c r="D1323" s="10">
        <f t="shared" si="1"/>
        <v>45414</v>
      </c>
      <c r="E1323" s="10">
        <f t="shared" si="2"/>
        <v>45411</v>
      </c>
      <c r="F1323" s="10">
        <f t="shared" si="3"/>
        <v>45413</v>
      </c>
      <c r="G1323" s="11"/>
    </row>
    <row r="1324">
      <c r="A1324" s="5">
        <f>IFERROR(__xludf.DUMMYFUNCTION("""COMPUTED_VALUE"""),170.0)</f>
        <v>170</v>
      </c>
      <c r="B1324" s="9">
        <f>IFERROR(__xludf.DUMMYFUNCTION("""COMPUTED_VALUE"""),45414.23459490741)</f>
        <v>45414.23459</v>
      </c>
      <c r="C1324" s="5" t="str">
        <f>IFERROR(__xludf.DUMMYFUNCTION("""COMPUTED_VALUE"""),"purchase")</f>
        <v>purchase</v>
      </c>
      <c r="D1324" s="10">
        <f t="shared" si="1"/>
        <v>45414</v>
      </c>
      <c r="E1324" s="10">
        <f t="shared" si="2"/>
        <v>45411</v>
      </c>
      <c r="F1324" s="10">
        <f t="shared" si="3"/>
        <v>45413</v>
      </c>
      <c r="G1324" s="11"/>
    </row>
    <row r="1325">
      <c r="A1325" s="5">
        <f>IFERROR(__xludf.DUMMYFUNCTION("""COMPUTED_VALUE"""),6632.0)</f>
        <v>6632</v>
      </c>
      <c r="B1325" s="9">
        <f>IFERROR(__xludf.DUMMYFUNCTION("""COMPUTED_VALUE"""),45414.3978587963)</f>
        <v>45414.39786</v>
      </c>
      <c r="C1325" s="5" t="str">
        <f>IFERROR(__xludf.DUMMYFUNCTION("""COMPUTED_VALUE"""),"purchase")</f>
        <v>purchase</v>
      </c>
      <c r="D1325" s="10">
        <f t="shared" si="1"/>
        <v>45414</v>
      </c>
      <c r="E1325" s="10">
        <f t="shared" si="2"/>
        <v>45411</v>
      </c>
      <c r="F1325" s="10">
        <f t="shared" si="3"/>
        <v>45413</v>
      </c>
      <c r="G1325" s="11"/>
    </row>
    <row r="1326">
      <c r="A1326" s="5">
        <f>IFERROR(__xludf.DUMMYFUNCTION("""COMPUTED_VALUE"""),2419.0)</f>
        <v>2419</v>
      </c>
      <c r="B1326" s="9">
        <f>IFERROR(__xludf.DUMMYFUNCTION("""COMPUTED_VALUE"""),45414.72451388889)</f>
        <v>45414.72451</v>
      </c>
      <c r="C1326" s="5" t="str">
        <f>IFERROR(__xludf.DUMMYFUNCTION("""COMPUTED_VALUE"""),"purchase")</f>
        <v>purchase</v>
      </c>
      <c r="D1326" s="10">
        <f t="shared" si="1"/>
        <v>45414</v>
      </c>
      <c r="E1326" s="10">
        <f t="shared" si="2"/>
        <v>45411</v>
      </c>
      <c r="F1326" s="10">
        <f t="shared" si="3"/>
        <v>45413</v>
      </c>
      <c r="G1326" s="11"/>
    </row>
    <row r="1327">
      <c r="A1327" s="5">
        <f>IFERROR(__xludf.DUMMYFUNCTION("""COMPUTED_VALUE"""),1481.0)</f>
        <v>1481</v>
      </c>
      <c r="B1327" s="9">
        <f>IFERROR(__xludf.DUMMYFUNCTION("""COMPUTED_VALUE"""),45414.79116898148)</f>
        <v>45414.79117</v>
      </c>
      <c r="C1327" s="5" t="str">
        <f>IFERROR(__xludf.DUMMYFUNCTION("""COMPUTED_VALUE"""),"purchase")</f>
        <v>purchase</v>
      </c>
      <c r="D1327" s="10">
        <f t="shared" si="1"/>
        <v>45414</v>
      </c>
      <c r="E1327" s="10">
        <f t="shared" si="2"/>
        <v>45411</v>
      </c>
      <c r="F1327" s="10">
        <f t="shared" si="3"/>
        <v>45413</v>
      </c>
      <c r="G1327" s="11"/>
    </row>
    <row r="1328">
      <c r="A1328" s="5">
        <f>IFERROR(__xludf.DUMMYFUNCTION("""COMPUTED_VALUE"""),1189.0)</f>
        <v>1189</v>
      </c>
      <c r="B1328" s="9">
        <f>IFERROR(__xludf.DUMMYFUNCTION("""COMPUTED_VALUE"""),45414.930752314816)</f>
        <v>45414.93075</v>
      </c>
      <c r="C1328" s="5" t="str">
        <f>IFERROR(__xludf.DUMMYFUNCTION("""COMPUTED_VALUE"""),"purchase")</f>
        <v>purchase</v>
      </c>
      <c r="D1328" s="10">
        <f t="shared" si="1"/>
        <v>45414</v>
      </c>
      <c r="E1328" s="10">
        <f t="shared" si="2"/>
        <v>45411</v>
      </c>
      <c r="F1328" s="10">
        <f t="shared" si="3"/>
        <v>45413</v>
      </c>
      <c r="G1328" s="11"/>
    </row>
    <row r="1329">
      <c r="A1329" s="5">
        <f>IFERROR(__xludf.DUMMYFUNCTION("""COMPUTED_VALUE"""),3439.0)</f>
        <v>3439</v>
      </c>
      <c r="B1329" s="9">
        <f>IFERROR(__xludf.DUMMYFUNCTION("""COMPUTED_VALUE"""),45415.354895833334)</f>
        <v>45415.3549</v>
      </c>
      <c r="C1329" s="5" t="str">
        <f>IFERROR(__xludf.DUMMYFUNCTION("""COMPUTED_VALUE"""),"purchase")</f>
        <v>purchase</v>
      </c>
      <c r="D1329" s="10">
        <f t="shared" si="1"/>
        <v>45415</v>
      </c>
      <c r="E1329" s="10">
        <f t="shared" si="2"/>
        <v>45411</v>
      </c>
      <c r="F1329" s="10">
        <f t="shared" si="3"/>
        <v>45413</v>
      </c>
      <c r="G1329" s="11"/>
    </row>
    <row r="1330">
      <c r="A1330" s="5">
        <f>IFERROR(__xludf.DUMMYFUNCTION("""COMPUTED_VALUE"""),7783.0)</f>
        <v>7783</v>
      </c>
      <c r="B1330" s="9">
        <f>IFERROR(__xludf.DUMMYFUNCTION("""COMPUTED_VALUE"""),45415.44043981482)</f>
        <v>45415.44044</v>
      </c>
      <c r="C1330" s="5" t="str">
        <f>IFERROR(__xludf.DUMMYFUNCTION("""COMPUTED_VALUE"""),"purchase")</f>
        <v>purchase</v>
      </c>
      <c r="D1330" s="10">
        <f t="shared" si="1"/>
        <v>45415</v>
      </c>
      <c r="E1330" s="10">
        <f t="shared" si="2"/>
        <v>45411</v>
      </c>
      <c r="F1330" s="10">
        <f t="shared" si="3"/>
        <v>45413</v>
      </c>
      <c r="G1330" s="11"/>
    </row>
    <row r="1331">
      <c r="A1331" s="5">
        <f>IFERROR(__xludf.DUMMYFUNCTION("""COMPUTED_VALUE"""),536.0)</f>
        <v>536</v>
      </c>
      <c r="B1331" s="9">
        <f>IFERROR(__xludf.DUMMYFUNCTION("""COMPUTED_VALUE"""),45415.465833333335)</f>
        <v>45415.46583</v>
      </c>
      <c r="C1331" s="5" t="str">
        <f>IFERROR(__xludf.DUMMYFUNCTION("""COMPUTED_VALUE"""),"purchase")</f>
        <v>purchase</v>
      </c>
      <c r="D1331" s="10">
        <f t="shared" si="1"/>
        <v>45415</v>
      </c>
      <c r="E1331" s="10">
        <f t="shared" si="2"/>
        <v>45411</v>
      </c>
      <c r="F1331" s="10">
        <f t="shared" si="3"/>
        <v>45413</v>
      </c>
      <c r="G1331" s="11"/>
    </row>
    <row r="1332">
      <c r="A1332" s="5">
        <f>IFERROR(__xludf.DUMMYFUNCTION("""COMPUTED_VALUE"""),3502.0)</f>
        <v>3502</v>
      </c>
      <c r="B1332" s="9">
        <f>IFERROR(__xludf.DUMMYFUNCTION("""COMPUTED_VALUE"""),45415.53056712963)</f>
        <v>45415.53057</v>
      </c>
      <c r="C1332" s="5" t="str">
        <f>IFERROR(__xludf.DUMMYFUNCTION("""COMPUTED_VALUE"""),"purchase")</f>
        <v>purchase</v>
      </c>
      <c r="D1332" s="10">
        <f t="shared" si="1"/>
        <v>45415</v>
      </c>
      <c r="E1332" s="10">
        <f t="shared" si="2"/>
        <v>45411</v>
      </c>
      <c r="F1332" s="10">
        <f t="shared" si="3"/>
        <v>45413</v>
      </c>
      <c r="G1332" s="11"/>
    </row>
    <row r="1333">
      <c r="A1333" s="5">
        <f>IFERROR(__xludf.DUMMYFUNCTION("""COMPUTED_VALUE"""),2465.0)</f>
        <v>2465</v>
      </c>
      <c r="B1333" s="9">
        <f>IFERROR(__xludf.DUMMYFUNCTION("""COMPUTED_VALUE"""),45415.84030092593)</f>
        <v>45415.8403</v>
      </c>
      <c r="C1333" s="5" t="str">
        <f>IFERROR(__xludf.DUMMYFUNCTION("""COMPUTED_VALUE"""),"purchase")</f>
        <v>purchase</v>
      </c>
      <c r="D1333" s="10">
        <f t="shared" si="1"/>
        <v>45415</v>
      </c>
      <c r="E1333" s="10">
        <f t="shared" si="2"/>
        <v>45411</v>
      </c>
      <c r="F1333" s="10">
        <f t="shared" si="3"/>
        <v>45413</v>
      </c>
      <c r="G1333" s="11"/>
    </row>
    <row r="1334">
      <c r="A1334" s="5">
        <f>IFERROR(__xludf.DUMMYFUNCTION("""COMPUTED_VALUE"""),3423.0)</f>
        <v>3423</v>
      </c>
      <c r="B1334" s="9">
        <f>IFERROR(__xludf.DUMMYFUNCTION("""COMPUTED_VALUE"""),45415.860925925925)</f>
        <v>45415.86093</v>
      </c>
      <c r="C1334" s="5" t="str">
        <f>IFERROR(__xludf.DUMMYFUNCTION("""COMPUTED_VALUE"""),"purchase")</f>
        <v>purchase</v>
      </c>
      <c r="D1334" s="10">
        <f t="shared" si="1"/>
        <v>45415</v>
      </c>
      <c r="E1334" s="10">
        <f t="shared" si="2"/>
        <v>45411</v>
      </c>
      <c r="F1334" s="10">
        <f t="shared" si="3"/>
        <v>45413</v>
      </c>
      <c r="G1334" s="11"/>
    </row>
    <row r="1335">
      <c r="A1335" s="5">
        <f>IFERROR(__xludf.DUMMYFUNCTION("""COMPUTED_VALUE"""),2777.0)</f>
        <v>2777</v>
      </c>
      <c r="B1335" s="9">
        <f>IFERROR(__xludf.DUMMYFUNCTION("""COMPUTED_VALUE"""),45415.89013888889)</f>
        <v>45415.89014</v>
      </c>
      <c r="C1335" s="5" t="str">
        <f>IFERROR(__xludf.DUMMYFUNCTION("""COMPUTED_VALUE"""),"purchase")</f>
        <v>purchase</v>
      </c>
      <c r="D1335" s="10">
        <f t="shared" si="1"/>
        <v>45415</v>
      </c>
      <c r="E1335" s="10">
        <f t="shared" si="2"/>
        <v>45411</v>
      </c>
      <c r="F1335" s="10">
        <f t="shared" si="3"/>
        <v>45413</v>
      </c>
      <c r="G1335" s="11"/>
    </row>
    <row r="1336">
      <c r="A1336" s="5">
        <f>IFERROR(__xludf.DUMMYFUNCTION("""COMPUTED_VALUE"""),6673.0)</f>
        <v>6673</v>
      </c>
      <c r="B1336" s="9">
        <f>IFERROR(__xludf.DUMMYFUNCTION("""COMPUTED_VALUE"""),45415.9178125)</f>
        <v>45415.91781</v>
      </c>
      <c r="C1336" s="5" t="str">
        <f>IFERROR(__xludf.DUMMYFUNCTION("""COMPUTED_VALUE"""),"purchase")</f>
        <v>purchase</v>
      </c>
      <c r="D1336" s="10">
        <f t="shared" si="1"/>
        <v>45415</v>
      </c>
      <c r="E1336" s="10">
        <f t="shared" si="2"/>
        <v>45411</v>
      </c>
      <c r="F1336" s="10">
        <f t="shared" si="3"/>
        <v>45413</v>
      </c>
      <c r="G1336" s="11"/>
    </row>
    <row r="1337">
      <c r="A1337" s="5">
        <f>IFERROR(__xludf.DUMMYFUNCTION("""COMPUTED_VALUE"""),3183.0)</f>
        <v>3183</v>
      </c>
      <c r="B1337" s="9">
        <f>IFERROR(__xludf.DUMMYFUNCTION("""COMPUTED_VALUE"""),45416.03026620371)</f>
        <v>45416.03027</v>
      </c>
      <c r="C1337" s="5" t="str">
        <f>IFERROR(__xludf.DUMMYFUNCTION("""COMPUTED_VALUE"""),"purchase")</f>
        <v>purchase</v>
      </c>
      <c r="D1337" s="10">
        <f t="shared" si="1"/>
        <v>45416</v>
      </c>
      <c r="E1337" s="10">
        <f t="shared" si="2"/>
        <v>45411</v>
      </c>
      <c r="F1337" s="10">
        <f t="shared" si="3"/>
        <v>45413</v>
      </c>
      <c r="G1337" s="11"/>
    </row>
    <row r="1338">
      <c r="A1338" s="5">
        <f>IFERROR(__xludf.DUMMYFUNCTION("""COMPUTED_VALUE"""),2119.0)</f>
        <v>2119</v>
      </c>
      <c r="B1338" s="9">
        <f>IFERROR(__xludf.DUMMYFUNCTION("""COMPUTED_VALUE"""),45416.128958333335)</f>
        <v>45416.12896</v>
      </c>
      <c r="C1338" s="5" t="str">
        <f>IFERROR(__xludf.DUMMYFUNCTION("""COMPUTED_VALUE"""),"purchase")</f>
        <v>purchase</v>
      </c>
      <c r="D1338" s="10">
        <f t="shared" si="1"/>
        <v>45416</v>
      </c>
      <c r="E1338" s="10">
        <f t="shared" si="2"/>
        <v>45411</v>
      </c>
      <c r="F1338" s="10">
        <f t="shared" si="3"/>
        <v>45413</v>
      </c>
      <c r="G1338" s="11"/>
    </row>
    <row r="1339">
      <c r="A1339" s="5">
        <f>IFERROR(__xludf.DUMMYFUNCTION("""COMPUTED_VALUE"""),4999.0)</f>
        <v>4999</v>
      </c>
      <c r="B1339" s="9">
        <f>IFERROR(__xludf.DUMMYFUNCTION("""COMPUTED_VALUE"""),45416.17512731482)</f>
        <v>45416.17513</v>
      </c>
      <c r="C1339" s="5" t="str">
        <f>IFERROR(__xludf.DUMMYFUNCTION("""COMPUTED_VALUE"""),"purchase")</f>
        <v>purchase</v>
      </c>
      <c r="D1339" s="10">
        <f t="shared" si="1"/>
        <v>45416</v>
      </c>
      <c r="E1339" s="10">
        <f t="shared" si="2"/>
        <v>45411</v>
      </c>
      <c r="F1339" s="10">
        <f t="shared" si="3"/>
        <v>45413</v>
      </c>
      <c r="G1339" s="11"/>
    </row>
    <row r="1340">
      <c r="A1340" s="5">
        <f>IFERROR(__xludf.DUMMYFUNCTION("""COMPUTED_VALUE"""),1919.0)</f>
        <v>1919</v>
      </c>
      <c r="B1340" s="9">
        <f>IFERROR(__xludf.DUMMYFUNCTION("""COMPUTED_VALUE"""),45416.227627314816)</f>
        <v>45416.22763</v>
      </c>
      <c r="C1340" s="5" t="str">
        <f>IFERROR(__xludf.DUMMYFUNCTION("""COMPUTED_VALUE"""),"purchase")</f>
        <v>purchase</v>
      </c>
      <c r="D1340" s="10">
        <f t="shared" si="1"/>
        <v>45416</v>
      </c>
      <c r="E1340" s="10">
        <f t="shared" si="2"/>
        <v>45411</v>
      </c>
      <c r="F1340" s="10">
        <f t="shared" si="3"/>
        <v>45413</v>
      </c>
      <c r="G1340" s="11"/>
    </row>
    <row r="1341">
      <c r="A1341" s="5">
        <f>IFERROR(__xludf.DUMMYFUNCTION("""COMPUTED_VALUE"""),5126.0)</f>
        <v>5126</v>
      </c>
      <c r="B1341" s="9">
        <f>IFERROR(__xludf.DUMMYFUNCTION("""COMPUTED_VALUE"""),45416.36537037037)</f>
        <v>45416.36537</v>
      </c>
      <c r="C1341" s="5" t="str">
        <f>IFERROR(__xludf.DUMMYFUNCTION("""COMPUTED_VALUE"""),"purchase")</f>
        <v>purchase</v>
      </c>
      <c r="D1341" s="10">
        <f t="shared" si="1"/>
        <v>45416</v>
      </c>
      <c r="E1341" s="10">
        <f t="shared" si="2"/>
        <v>45411</v>
      </c>
      <c r="F1341" s="10">
        <f t="shared" si="3"/>
        <v>45413</v>
      </c>
      <c r="G1341" s="11"/>
    </row>
    <row r="1342">
      <c r="A1342" s="5">
        <f>IFERROR(__xludf.DUMMYFUNCTION("""COMPUTED_VALUE"""),2281.0)</f>
        <v>2281</v>
      </c>
      <c r="B1342" s="9">
        <f>IFERROR(__xludf.DUMMYFUNCTION("""COMPUTED_VALUE"""),45416.53123842592)</f>
        <v>45416.53124</v>
      </c>
      <c r="C1342" s="5" t="str">
        <f>IFERROR(__xludf.DUMMYFUNCTION("""COMPUTED_VALUE"""),"purchase")</f>
        <v>purchase</v>
      </c>
      <c r="D1342" s="10">
        <f t="shared" si="1"/>
        <v>45416</v>
      </c>
      <c r="E1342" s="10">
        <f t="shared" si="2"/>
        <v>45411</v>
      </c>
      <c r="F1342" s="10">
        <f t="shared" si="3"/>
        <v>45413</v>
      </c>
      <c r="G1342" s="11"/>
    </row>
    <row r="1343">
      <c r="A1343" s="5">
        <f>IFERROR(__xludf.DUMMYFUNCTION("""COMPUTED_VALUE"""),3890.0)</f>
        <v>3890</v>
      </c>
      <c r="B1343" s="9">
        <f>IFERROR(__xludf.DUMMYFUNCTION("""COMPUTED_VALUE"""),45416.588958333334)</f>
        <v>45416.58896</v>
      </c>
      <c r="C1343" s="5" t="str">
        <f>IFERROR(__xludf.DUMMYFUNCTION("""COMPUTED_VALUE"""),"purchase")</f>
        <v>purchase</v>
      </c>
      <c r="D1343" s="10">
        <f t="shared" si="1"/>
        <v>45416</v>
      </c>
      <c r="E1343" s="10">
        <f t="shared" si="2"/>
        <v>45411</v>
      </c>
      <c r="F1343" s="10">
        <f t="shared" si="3"/>
        <v>45413</v>
      </c>
      <c r="G1343" s="11"/>
    </row>
    <row r="1344">
      <c r="A1344" s="5">
        <f>IFERROR(__xludf.DUMMYFUNCTION("""COMPUTED_VALUE"""),4774.0)</f>
        <v>4774</v>
      </c>
      <c r="B1344" s="9">
        <f>IFERROR(__xludf.DUMMYFUNCTION("""COMPUTED_VALUE"""),45416.59138888889)</f>
        <v>45416.59139</v>
      </c>
      <c r="C1344" s="5" t="str">
        <f>IFERROR(__xludf.DUMMYFUNCTION("""COMPUTED_VALUE"""),"purchase")</f>
        <v>purchase</v>
      </c>
      <c r="D1344" s="10">
        <f t="shared" si="1"/>
        <v>45416</v>
      </c>
      <c r="E1344" s="10">
        <f t="shared" si="2"/>
        <v>45411</v>
      </c>
      <c r="F1344" s="10">
        <f t="shared" si="3"/>
        <v>45413</v>
      </c>
      <c r="G1344" s="11"/>
    </row>
    <row r="1345">
      <c r="A1345" s="5">
        <f>IFERROR(__xludf.DUMMYFUNCTION("""COMPUTED_VALUE"""),6320.0)</f>
        <v>6320</v>
      </c>
      <c r="B1345" s="9">
        <f>IFERROR(__xludf.DUMMYFUNCTION("""COMPUTED_VALUE"""),45416.89908564815)</f>
        <v>45416.89909</v>
      </c>
      <c r="C1345" s="5" t="str">
        <f>IFERROR(__xludf.DUMMYFUNCTION("""COMPUTED_VALUE"""),"purchase")</f>
        <v>purchase</v>
      </c>
      <c r="D1345" s="10">
        <f t="shared" si="1"/>
        <v>45416</v>
      </c>
      <c r="E1345" s="10">
        <f t="shared" si="2"/>
        <v>45411</v>
      </c>
      <c r="F1345" s="10">
        <f t="shared" si="3"/>
        <v>45413</v>
      </c>
      <c r="G1345" s="11"/>
    </row>
    <row r="1346">
      <c r="A1346" s="5">
        <f>IFERROR(__xludf.DUMMYFUNCTION("""COMPUTED_VALUE"""),5851.0)</f>
        <v>5851</v>
      </c>
      <c r="B1346" s="9">
        <f>IFERROR(__xludf.DUMMYFUNCTION("""COMPUTED_VALUE"""),45417.06355324074)</f>
        <v>45417.06355</v>
      </c>
      <c r="C1346" s="5" t="str">
        <f>IFERROR(__xludf.DUMMYFUNCTION("""COMPUTED_VALUE"""),"purchase")</f>
        <v>purchase</v>
      </c>
      <c r="D1346" s="10">
        <f t="shared" si="1"/>
        <v>45417</v>
      </c>
      <c r="E1346" s="10">
        <f t="shared" si="2"/>
        <v>45411</v>
      </c>
      <c r="F1346" s="10">
        <f t="shared" si="3"/>
        <v>45413</v>
      </c>
      <c r="G1346" s="11"/>
    </row>
    <row r="1347">
      <c r="A1347" s="5">
        <f>IFERROR(__xludf.DUMMYFUNCTION("""COMPUTED_VALUE"""),27.0)</f>
        <v>27</v>
      </c>
      <c r="B1347" s="9">
        <f>IFERROR(__xludf.DUMMYFUNCTION("""COMPUTED_VALUE"""),45417.09)</f>
        <v>45417.09</v>
      </c>
      <c r="C1347" s="5" t="str">
        <f>IFERROR(__xludf.DUMMYFUNCTION("""COMPUTED_VALUE"""),"purchase")</f>
        <v>purchase</v>
      </c>
      <c r="D1347" s="10">
        <f t="shared" si="1"/>
        <v>45417</v>
      </c>
      <c r="E1347" s="10">
        <f t="shared" si="2"/>
        <v>45411</v>
      </c>
      <c r="F1347" s="10">
        <f t="shared" si="3"/>
        <v>45413</v>
      </c>
      <c r="G1347" s="11"/>
    </row>
    <row r="1348">
      <c r="A1348" s="5">
        <f>IFERROR(__xludf.DUMMYFUNCTION("""COMPUTED_VALUE"""),3943.0)</f>
        <v>3943</v>
      </c>
      <c r="B1348" s="9">
        <f>IFERROR(__xludf.DUMMYFUNCTION("""COMPUTED_VALUE"""),45417.164976851855)</f>
        <v>45417.16498</v>
      </c>
      <c r="C1348" s="5" t="str">
        <f>IFERROR(__xludf.DUMMYFUNCTION("""COMPUTED_VALUE"""),"purchase")</f>
        <v>purchase</v>
      </c>
      <c r="D1348" s="10">
        <f t="shared" si="1"/>
        <v>45417</v>
      </c>
      <c r="E1348" s="10">
        <f t="shared" si="2"/>
        <v>45411</v>
      </c>
      <c r="F1348" s="10">
        <f t="shared" si="3"/>
        <v>45413</v>
      </c>
      <c r="G1348" s="11"/>
    </row>
    <row r="1349">
      <c r="A1349" s="5">
        <f>IFERROR(__xludf.DUMMYFUNCTION("""COMPUTED_VALUE"""),1873.0)</f>
        <v>1873</v>
      </c>
      <c r="B1349" s="9">
        <f>IFERROR(__xludf.DUMMYFUNCTION("""COMPUTED_VALUE"""),45417.20275462963)</f>
        <v>45417.20275</v>
      </c>
      <c r="C1349" s="5" t="str">
        <f>IFERROR(__xludf.DUMMYFUNCTION("""COMPUTED_VALUE"""),"purchase")</f>
        <v>purchase</v>
      </c>
      <c r="D1349" s="10">
        <f t="shared" si="1"/>
        <v>45417</v>
      </c>
      <c r="E1349" s="10">
        <f t="shared" si="2"/>
        <v>45411</v>
      </c>
      <c r="F1349" s="10">
        <f t="shared" si="3"/>
        <v>45413</v>
      </c>
      <c r="G1349" s="11"/>
    </row>
    <row r="1350">
      <c r="A1350" s="5">
        <f>IFERROR(__xludf.DUMMYFUNCTION("""COMPUTED_VALUE"""),7768.0)</f>
        <v>7768</v>
      </c>
      <c r="B1350" s="9">
        <f>IFERROR(__xludf.DUMMYFUNCTION("""COMPUTED_VALUE"""),45417.30737268519)</f>
        <v>45417.30737</v>
      </c>
      <c r="C1350" s="5" t="str">
        <f>IFERROR(__xludf.DUMMYFUNCTION("""COMPUTED_VALUE"""),"purchase")</f>
        <v>purchase</v>
      </c>
      <c r="D1350" s="10">
        <f t="shared" si="1"/>
        <v>45417</v>
      </c>
      <c r="E1350" s="10">
        <f t="shared" si="2"/>
        <v>45411</v>
      </c>
      <c r="F1350" s="10">
        <f t="shared" si="3"/>
        <v>45413</v>
      </c>
      <c r="G1350" s="11"/>
    </row>
    <row r="1351">
      <c r="A1351" s="5">
        <f>IFERROR(__xludf.DUMMYFUNCTION("""COMPUTED_VALUE"""),6387.0)</f>
        <v>6387</v>
      </c>
      <c r="B1351" s="9">
        <f>IFERROR(__xludf.DUMMYFUNCTION("""COMPUTED_VALUE"""),45417.31055555555)</f>
        <v>45417.31056</v>
      </c>
      <c r="C1351" s="5" t="str">
        <f>IFERROR(__xludf.DUMMYFUNCTION("""COMPUTED_VALUE"""),"purchase")</f>
        <v>purchase</v>
      </c>
      <c r="D1351" s="10">
        <f t="shared" si="1"/>
        <v>45417</v>
      </c>
      <c r="E1351" s="10">
        <f t="shared" si="2"/>
        <v>45411</v>
      </c>
      <c r="F1351" s="10">
        <f t="shared" si="3"/>
        <v>45413</v>
      </c>
      <c r="G1351" s="11"/>
    </row>
    <row r="1352">
      <c r="A1352" s="5">
        <f>IFERROR(__xludf.DUMMYFUNCTION("""COMPUTED_VALUE"""),5005.0)</f>
        <v>5005</v>
      </c>
      <c r="B1352" s="9">
        <f>IFERROR(__xludf.DUMMYFUNCTION("""COMPUTED_VALUE"""),45417.388657407406)</f>
        <v>45417.38866</v>
      </c>
      <c r="C1352" s="5" t="str">
        <f>IFERROR(__xludf.DUMMYFUNCTION("""COMPUTED_VALUE"""),"purchase")</f>
        <v>purchase</v>
      </c>
      <c r="D1352" s="10">
        <f t="shared" si="1"/>
        <v>45417</v>
      </c>
      <c r="E1352" s="10">
        <f t="shared" si="2"/>
        <v>45411</v>
      </c>
      <c r="F1352" s="10">
        <f t="shared" si="3"/>
        <v>45413</v>
      </c>
      <c r="G1352" s="11"/>
    </row>
    <row r="1353">
      <c r="A1353" s="5">
        <f>IFERROR(__xludf.DUMMYFUNCTION("""COMPUTED_VALUE"""),6424.0)</f>
        <v>6424</v>
      </c>
      <c r="B1353" s="9">
        <f>IFERROR(__xludf.DUMMYFUNCTION("""COMPUTED_VALUE"""),45417.392013888886)</f>
        <v>45417.39201</v>
      </c>
      <c r="C1353" s="5" t="str">
        <f>IFERROR(__xludf.DUMMYFUNCTION("""COMPUTED_VALUE"""),"purchase")</f>
        <v>purchase</v>
      </c>
      <c r="D1353" s="10">
        <f t="shared" si="1"/>
        <v>45417</v>
      </c>
      <c r="E1353" s="10">
        <f t="shared" si="2"/>
        <v>45411</v>
      </c>
      <c r="F1353" s="10">
        <f t="shared" si="3"/>
        <v>45413</v>
      </c>
      <c r="G1353" s="11"/>
    </row>
    <row r="1354">
      <c r="A1354" s="5">
        <f>IFERROR(__xludf.DUMMYFUNCTION("""COMPUTED_VALUE"""),7619.0)</f>
        <v>7619</v>
      </c>
      <c r="B1354" s="9">
        <f>IFERROR(__xludf.DUMMYFUNCTION("""COMPUTED_VALUE"""),45417.43880787037)</f>
        <v>45417.43881</v>
      </c>
      <c r="C1354" s="5" t="str">
        <f>IFERROR(__xludf.DUMMYFUNCTION("""COMPUTED_VALUE"""),"purchase")</f>
        <v>purchase</v>
      </c>
      <c r="D1354" s="10">
        <f t="shared" si="1"/>
        <v>45417</v>
      </c>
      <c r="E1354" s="10">
        <f t="shared" si="2"/>
        <v>45411</v>
      </c>
      <c r="F1354" s="10">
        <f t="shared" si="3"/>
        <v>45413</v>
      </c>
      <c r="G1354" s="11"/>
    </row>
    <row r="1355">
      <c r="A1355" s="5">
        <f>IFERROR(__xludf.DUMMYFUNCTION("""COMPUTED_VALUE"""),4646.0)</f>
        <v>4646</v>
      </c>
      <c r="B1355" s="9">
        <f>IFERROR(__xludf.DUMMYFUNCTION("""COMPUTED_VALUE"""),45417.52875)</f>
        <v>45417.52875</v>
      </c>
      <c r="C1355" s="5" t="str">
        <f>IFERROR(__xludf.DUMMYFUNCTION("""COMPUTED_VALUE"""),"purchase")</f>
        <v>purchase</v>
      </c>
      <c r="D1355" s="10">
        <f t="shared" si="1"/>
        <v>45417</v>
      </c>
      <c r="E1355" s="10">
        <f t="shared" si="2"/>
        <v>45411</v>
      </c>
      <c r="F1355" s="10">
        <f t="shared" si="3"/>
        <v>45413</v>
      </c>
      <c r="G1355" s="11"/>
    </row>
    <row r="1356">
      <c r="A1356" s="5">
        <f>IFERROR(__xludf.DUMMYFUNCTION("""COMPUTED_VALUE"""),1164.0)</f>
        <v>1164</v>
      </c>
      <c r="B1356" s="9">
        <f>IFERROR(__xludf.DUMMYFUNCTION("""COMPUTED_VALUE"""),45417.579097222224)</f>
        <v>45417.5791</v>
      </c>
      <c r="C1356" s="5" t="str">
        <f>IFERROR(__xludf.DUMMYFUNCTION("""COMPUTED_VALUE"""),"purchase")</f>
        <v>purchase</v>
      </c>
      <c r="D1356" s="10">
        <f t="shared" si="1"/>
        <v>45417</v>
      </c>
      <c r="E1356" s="10">
        <f t="shared" si="2"/>
        <v>45411</v>
      </c>
      <c r="F1356" s="10">
        <f t="shared" si="3"/>
        <v>45413</v>
      </c>
      <c r="G1356" s="11"/>
    </row>
    <row r="1357">
      <c r="A1357" s="5">
        <f>IFERROR(__xludf.DUMMYFUNCTION("""COMPUTED_VALUE"""),2535.0)</f>
        <v>2535</v>
      </c>
      <c r="B1357" s="9">
        <f>IFERROR(__xludf.DUMMYFUNCTION("""COMPUTED_VALUE"""),45417.6847337963)</f>
        <v>45417.68473</v>
      </c>
      <c r="C1357" s="5" t="str">
        <f>IFERROR(__xludf.DUMMYFUNCTION("""COMPUTED_VALUE"""),"purchase")</f>
        <v>purchase</v>
      </c>
      <c r="D1357" s="10">
        <f t="shared" si="1"/>
        <v>45417</v>
      </c>
      <c r="E1357" s="10">
        <f t="shared" si="2"/>
        <v>45411</v>
      </c>
      <c r="F1357" s="10">
        <f t="shared" si="3"/>
        <v>45413</v>
      </c>
      <c r="G1357" s="11"/>
    </row>
    <row r="1358">
      <c r="A1358" s="5">
        <f>IFERROR(__xludf.DUMMYFUNCTION("""COMPUTED_VALUE"""),4005.0)</f>
        <v>4005</v>
      </c>
      <c r="B1358" s="9">
        <f>IFERROR(__xludf.DUMMYFUNCTION("""COMPUTED_VALUE"""),45417.70829861111)</f>
        <v>45417.7083</v>
      </c>
      <c r="C1358" s="5" t="str">
        <f>IFERROR(__xludf.DUMMYFUNCTION("""COMPUTED_VALUE"""),"purchase")</f>
        <v>purchase</v>
      </c>
      <c r="D1358" s="10">
        <f t="shared" si="1"/>
        <v>45417</v>
      </c>
      <c r="E1358" s="10">
        <f t="shared" si="2"/>
        <v>45411</v>
      </c>
      <c r="F1358" s="10">
        <f t="shared" si="3"/>
        <v>45413</v>
      </c>
      <c r="G1358" s="11"/>
    </row>
    <row r="1359">
      <c r="A1359" s="5">
        <f>IFERROR(__xludf.DUMMYFUNCTION("""COMPUTED_VALUE"""),5448.0)</f>
        <v>5448</v>
      </c>
      <c r="B1359" s="9">
        <f>IFERROR(__xludf.DUMMYFUNCTION("""COMPUTED_VALUE"""),45418.07549768518)</f>
        <v>45418.0755</v>
      </c>
      <c r="C1359" s="5" t="str">
        <f>IFERROR(__xludf.DUMMYFUNCTION("""COMPUTED_VALUE"""),"purchase")</f>
        <v>purchase</v>
      </c>
      <c r="D1359" s="10">
        <f t="shared" si="1"/>
        <v>45418</v>
      </c>
      <c r="E1359" s="10">
        <f t="shared" si="2"/>
        <v>45418</v>
      </c>
      <c r="F1359" s="10">
        <f t="shared" si="3"/>
        <v>45413</v>
      </c>
      <c r="G1359" s="11"/>
    </row>
    <row r="1360">
      <c r="A1360" s="5">
        <f>IFERROR(__xludf.DUMMYFUNCTION("""COMPUTED_VALUE"""),268.0)</f>
        <v>268</v>
      </c>
      <c r="B1360" s="9">
        <f>IFERROR(__xludf.DUMMYFUNCTION("""COMPUTED_VALUE"""),45418.075740740744)</f>
        <v>45418.07574</v>
      </c>
      <c r="C1360" s="5" t="str">
        <f>IFERROR(__xludf.DUMMYFUNCTION("""COMPUTED_VALUE"""),"purchase")</f>
        <v>purchase</v>
      </c>
      <c r="D1360" s="10">
        <f t="shared" si="1"/>
        <v>45418</v>
      </c>
      <c r="E1360" s="10">
        <f t="shared" si="2"/>
        <v>45418</v>
      </c>
      <c r="F1360" s="10">
        <f t="shared" si="3"/>
        <v>45413</v>
      </c>
      <c r="G1360" s="11"/>
    </row>
    <row r="1361">
      <c r="A1361" s="5">
        <f>IFERROR(__xludf.DUMMYFUNCTION("""COMPUTED_VALUE"""),4711.0)</f>
        <v>4711</v>
      </c>
      <c r="B1361" s="9">
        <f>IFERROR(__xludf.DUMMYFUNCTION("""COMPUTED_VALUE"""),45418.08679398148)</f>
        <v>45418.08679</v>
      </c>
      <c r="C1361" s="5" t="str">
        <f>IFERROR(__xludf.DUMMYFUNCTION("""COMPUTED_VALUE"""),"purchase")</f>
        <v>purchase</v>
      </c>
      <c r="D1361" s="10">
        <f t="shared" si="1"/>
        <v>45418</v>
      </c>
      <c r="E1361" s="10">
        <f t="shared" si="2"/>
        <v>45418</v>
      </c>
      <c r="F1361" s="10">
        <f t="shared" si="3"/>
        <v>45413</v>
      </c>
      <c r="G1361" s="11"/>
    </row>
    <row r="1362">
      <c r="A1362" s="5">
        <f>IFERROR(__xludf.DUMMYFUNCTION("""COMPUTED_VALUE"""),5930.0)</f>
        <v>5930</v>
      </c>
      <c r="B1362" s="9">
        <f>IFERROR(__xludf.DUMMYFUNCTION("""COMPUTED_VALUE"""),45418.3068287037)</f>
        <v>45418.30683</v>
      </c>
      <c r="C1362" s="5" t="str">
        <f>IFERROR(__xludf.DUMMYFUNCTION("""COMPUTED_VALUE"""),"purchase")</f>
        <v>purchase</v>
      </c>
      <c r="D1362" s="10">
        <f t="shared" si="1"/>
        <v>45418</v>
      </c>
      <c r="E1362" s="10">
        <f t="shared" si="2"/>
        <v>45418</v>
      </c>
      <c r="F1362" s="10">
        <f t="shared" si="3"/>
        <v>45413</v>
      </c>
      <c r="G1362" s="11"/>
    </row>
    <row r="1363">
      <c r="A1363" s="5">
        <f>IFERROR(__xludf.DUMMYFUNCTION("""COMPUTED_VALUE"""),1887.0)</f>
        <v>1887</v>
      </c>
      <c r="B1363" s="9">
        <f>IFERROR(__xludf.DUMMYFUNCTION("""COMPUTED_VALUE"""),45418.33387731481)</f>
        <v>45418.33388</v>
      </c>
      <c r="C1363" s="5" t="str">
        <f>IFERROR(__xludf.DUMMYFUNCTION("""COMPUTED_VALUE"""),"purchase")</f>
        <v>purchase</v>
      </c>
      <c r="D1363" s="10">
        <f t="shared" si="1"/>
        <v>45418</v>
      </c>
      <c r="E1363" s="10">
        <f t="shared" si="2"/>
        <v>45418</v>
      </c>
      <c r="F1363" s="10">
        <f t="shared" si="3"/>
        <v>45413</v>
      </c>
      <c r="G1363" s="11"/>
    </row>
    <row r="1364">
      <c r="A1364" s="5">
        <f>IFERROR(__xludf.DUMMYFUNCTION("""COMPUTED_VALUE"""),1913.0)</f>
        <v>1913</v>
      </c>
      <c r="B1364" s="9">
        <f>IFERROR(__xludf.DUMMYFUNCTION("""COMPUTED_VALUE"""),45418.48119212963)</f>
        <v>45418.48119</v>
      </c>
      <c r="C1364" s="5" t="str">
        <f>IFERROR(__xludf.DUMMYFUNCTION("""COMPUTED_VALUE"""),"purchase")</f>
        <v>purchase</v>
      </c>
      <c r="D1364" s="10">
        <f t="shared" si="1"/>
        <v>45418</v>
      </c>
      <c r="E1364" s="10">
        <f t="shared" si="2"/>
        <v>45418</v>
      </c>
      <c r="F1364" s="10">
        <f t="shared" si="3"/>
        <v>45413</v>
      </c>
      <c r="G1364" s="11"/>
    </row>
    <row r="1365">
      <c r="A1365" s="5">
        <f>IFERROR(__xludf.DUMMYFUNCTION("""COMPUTED_VALUE"""),2657.0)</f>
        <v>2657</v>
      </c>
      <c r="B1365" s="9">
        <f>IFERROR(__xludf.DUMMYFUNCTION("""COMPUTED_VALUE"""),45418.52153935185)</f>
        <v>45418.52154</v>
      </c>
      <c r="C1365" s="5" t="str">
        <f>IFERROR(__xludf.DUMMYFUNCTION("""COMPUTED_VALUE"""),"purchase")</f>
        <v>purchase</v>
      </c>
      <c r="D1365" s="10">
        <f t="shared" si="1"/>
        <v>45418</v>
      </c>
      <c r="E1365" s="10">
        <f t="shared" si="2"/>
        <v>45418</v>
      </c>
      <c r="F1365" s="10">
        <f t="shared" si="3"/>
        <v>45413</v>
      </c>
      <c r="G1365" s="11"/>
    </row>
    <row r="1366">
      <c r="A1366" s="5">
        <f>IFERROR(__xludf.DUMMYFUNCTION("""COMPUTED_VALUE"""),347.0)</f>
        <v>347</v>
      </c>
      <c r="B1366" s="9">
        <f>IFERROR(__xludf.DUMMYFUNCTION("""COMPUTED_VALUE"""),45418.850324074076)</f>
        <v>45418.85032</v>
      </c>
      <c r="C1366" s="5" t="str">
        <f>IFERROR(__xludf.DUMMYFUNCTION("""COMPUTED_VALUE"""),"purchase")</f>
        <v>purchase</v>
      </c>
      <c r="D1366" s="10">
        <f t="shared" si="1"/>
        <v>45418</v>
      </c>
      <c r="E1366" s="10">
        <f t="shared" si="2"/>
        <v>45418</v>
      </c>
      <c r="F1366" s="10">
        <f t="shared" si="3"/>
        <v>45413</v>
      </c>
      <c r="G1366" s="11"/>
    </row>
    <row r="1367">
      <c r="A1367" s="5">
        <f>IFERROR(__xludf.DUMMYFUNCTION("""COMPUTED_VALUE"""),5317.0)</f>
        <v>5317</v>
      </c>
      <c r="B1367" s="9">
        <f>IFERROR(__xludf.DUMMYFUNCTION("""COMPUTED_VALUE"""),45418.93875)</f>
        <v>45418.93875</v>
      </c>
      <c r="C1367" s="5" t="str">
        <f>IFERROR(__xludf.DUMMYFUNCTION("""COMPUTED_VALUE"""),"purchase")</f>
        <v>purchase</v>
      </c>
      <c r="D1367" s="10">
        <f t="shared" si="1"/>
        <v>45418</v>
      </c>
      <c r="E1367" s="10">
        <f t="shared" si="2"/>
        <v>45418</v>
      </c>
      <c r="F1367" s="10">
        <f t="shared" si="3"/>
        <v>45413</v>
      </c>
      <c r="G1367" s="11"/>
    </row>
    <row r="1368">
      <c r="A1368" s="5">
        <f>IFERROR(__xludf.DUMMYFUNCTION("""COMPUTED_VALUE"""),6246.0)</f>
        <v>6246</v>
      </c>
      <c r="B1368" s="9">
        <f>IFERROR(__xludf.DUMMYFUNCTION("""COMPUTED_VALUE"""),45418.973703703705)</f>
        <v>45418.9737</v>
      </c>
      <c r="C1368" s="5" t="str">
        <f>IFERROR(__xludf.DUMMYFUNCTION("""COMPUTED_VALUE"""),"purchase")</f>
        <v>purchase</v>
      </c>
      <c r="D1368" s="10">
        <f t="shared" si="1"/>
        <v>45418</v>
      </c>
      <c r="E1368" s="10">
        <f t="shared" si="2"/>
        <v>45418</v>
      </c>
      <c r="F1368" s="10">
        <f t="shared" si="3"/>
        <v>45413</v>
      </c>
      <c r="G1368" s="11"/>
    </row>
    <row r="1369">
      <c r="A1369" s="5">
        <f>IFERROR(__xludf.DUMMYFUNCTION("""COMPUTED_VALUE"""),5081.0)</f>
        <v>5081</v>
      </c>
      <c r="B1369" s="9">
        <f>IFERROR(__xludf.DUMMYFUNCTION("""COMPUTED_VALUE"""),45419.115625)</f>
        <v>45419.11563</v>
      </c>
      <c r="C1369" s="5" t="str">
        <f>IFERROR(__xludf.DUMMYFUNCTION("""COMPUTED_VALUE"""),"purchase")</f>
        <v>purchase</v>
      </c>
      <c r="D1369" s="10">
        <f t="shared" si="1"/>
        <v>45419</v>
      </c>
      <c r="E1369" s="10">
        <f t="shared" si="2"/>
        <v>45418</v>
      </c>
      <c r="F1369" s="10">
        <f t="shared" si="3"/>
        <v>45413</v>
      </c>
      <c r="G1369" s="11"/>
    </row>
    <row r="1370">
      <c r="A1370" s="5">
        <f>IFERROR(__xludf.DUMMYFUNCTION("""COMPUTED_VALUE"""),6692.0)</f>
        <v>6692</v>
      </c>
      <c r="B1370" s="9">
        <f>IFERROR(__xludf.DUMMYFUNCTION("""COMPUTED_VALUE"""),45419.13099537037)</f>
        <v>45419.131</v>
      </c>
      <c r="C1370" s="5" t="str">
        <f>IFERROR(__xludf.DUMMYFUNCTION("""COMPUTED_VALUE"""),"purchase")</f>
        <v>purchase</v>
      </c>
      <c r="D1370" s="10">
        <f t="shared" si="1"/>
        <v>45419</v>
      </c>
      <c r="E1370" s="10">
        <f t="shared" si="2"/>
        <v>45418</v>
      </c>
      <c r="F1370" s="10">
        <f t="shared" si="3"/>
        <v>45413</v>
      </c>
      <c r="G1370" s="11"/>
    </row>
    <row r="1371">
      <c r="A1371" s="5">
        <f>IFERROR(__xludf.DUMMYFUNCTION("""COMPUTED_VALUE"""),5061.0)</f>
        <v>5061</v>
      </c>
      <c r="B1371" s="9">
        <f>IFERROR(__xludf.DUMMYFUNCTION("""COMPUTED_VALUE"""),45419.36402777778)</f>
        <v>45419.36403</v>
      </c>
      <c r="C1371" s="5" t="str">
        <f>IFERROR(__xludf.DUMMYFUNCTION("""COMPUTED_VALUE"""),"purchase")</f>
        <v>purchase</v>
      </c>
      <c r="D1371" s="10">
        <f t="shared" si="1"/>
        <v>45419</v>
      </c>
      <c r="E1371" s="10">
        <f t="shared" si="2"/>
        <v>45418</v>
      </c>
      <c r="F1371" s="10">
        <f t="shared" si="3"/>
        <v>45413</v>
      </c>
      <c r="G1371" s="11"/>
    </row>
    <row r="1372">
      <c r="A1372" s="5">
        <f>IFERROR(__xludf.DUMMYFUNCTION("""COMPUTED_VALUE"""),5437.0)</f>
        <v>5437</v>
      </c>
      <c r="B1372" s="9">
        <f>IFERROR(__xludf.DUMMYFUNCTION("""COMPUTED_VALUE"""),45419.45935185185)</f>
        <v>45419.45935</v>
      </c>
      <c r="C1372" s="5" t="str">
        <f>IFERROR(__xludf.DUMMYFUNCTION("""COMPUTED_VALUE"""),"purchase")</f>
        <v>purchase</v>
      </c>
      <c r="D1372" s="10">
        <f t="shared" si="1"/>
        <v>45419</v>
      </c>
      <c r="E1372" s="10">
        <f t="shared" si="2"/>
        <v>45418</v>
      </c>
      <c r="F1372" s="10">
        <f t="shared" si="3"/>
        <v>45413</v>
      </c>
      <c r="G1372" s="11"/>
    </row>
    <row r="1373">
      <c r="A1373" s="5">
        <f>IFERROR(__xludf.DUMMYFUNCTION("""COMPUTED_VALUE"""),4429.0)</f>
        <v>4429</v>
      </c>
      <c r="B1373" s="9">
        <f>IFERROR(__xludf.DUMMYFUNCTION("""COMPUTED_VALUE"""),45419.556342592594)</f>
        <v>45419.55634</v>
      </c>
      <c r="C1373" s="5" t="str">
        <f>IFERROR(__xludf.DUMMYFUNCTION("""COMPUTED_VALUE"""),"purchase")</f>
        <v>purchase</v>
      </c>
      <c r="D1373" s="10">
        <f t="shared" si="1"/>
        <v>45419</v>
      </c>
      <c r="E1373" s="10">
        <f t="shared" si="2"/>
        <v>45418</v>
      </c>
      <c r="F1373" s="10">
        <f t="shared" si="3"/>
        <v>45413</v>
      </c>
      <c r="G1373" s="11"/>
    </row>
    <row r="1374">
      <c r="A1374" s="5">
        <f>IFERROR(__xludf.DUMMYFUNCTION("""COMPUTED_VALUE"""),5837.0)</f>
        <v>5837</v>
      </c>
      <c r="B1374" s="9">
        <f>IFERROR(__xludf.DUMMYFUNCTION("""COMPUTED_VALUE"""),45419.66972222222)</f>
        <v>45419.66972</v>
      </c>
      <c r="C1374" s="5" t="str">
        <f>IFERROR(__xludf.DUMMYFUNCTION("""COMPUTED_VALUE"""),"purchase")</f>
        <v>purchase</v>
      </c>
      <c r="D1374" s="10">
        <f t="shared" si="1"/>
        <v>45419</v>
      </c>
      <c r="E1374" s="10">
        <f t="shared" si="2"/>
        <v>45418</v>
      </c>
      <c r="F1374" s="10">
        <f t="shared" si="3"/>
        <v>45413</v>
      </c>
      <c r="G1374" s="11"/>
    </row>
    <row r="1375">
      <c r="A1375" s="5">
        <f>IFERROR(__xludf.DUMMYFUNCTION("""COMPUTED_VALUE"""),4111.0)</f>
        <v>4111</v>
      </c>
      <c r="B1375" s="9">
        <f>IFERROR(__xludf.DUMMYFUNCTION("""COMPUTED_VALUE"""),45419.82215277778)</f>
        <v>45419.82215</v>
      </c>
      <c r="C1375" s="5" t="str">
        <f>IFERROR(__xludf.DUMMYFUNCTION("""COMPUTED_VALUE"""),"purchase")</f>
        <v>purchase</v>
      </c>
      <c r="D1375" s="10">
        <f t="shared" si="1"/>
        <v>45419</v>
      </c>
      <c r="E1375" s="10">
        <f t="shared" si="2"/>
        <v>45418</v>
      </c>
      <c r="F1375" s="10">
        <f t="shared" si="3"/>
        <v>45413</v>
      </c>
      <c r="G1375" s="11"/>
    </row>
    <row r="1376">
      <c r="A1376" s="5">
        <f>IFERROR(__xludf.DUMMYFUNCTION("""COMPUTED_VALUE"""),5188.0)</f>
        <v>5188</v>
      </c>
      <c r="B1376" s="9">
        <f>IFERROR(__xludf.DUMMYFUNCTION("""COMPUTED_VALUE"""),45419.888344907406)</f>
        <v>45419.88834</v>
      </c>
      <c r="C1376" s="5" t="str">
        <f>IFERROR(__xludf.DUMMYFUNCTION("""COMPUTED_VALUE"""),"purchase")</f>
        <v>purchase</v>
      </c>
      <c r="D1376" s="10">
        <f t="shared" si="1"/>
        <v>45419</v>
      </c>
      <c r="E1376" s="10">
        <f t="shared" si="2"/>
        <v>45418</v>
      </c>
      <c r="F1376" s="10">
        <f t="shared" si="3"/>
        <v>45413</v>
      </c>
      <c r="G1376" s="11"/>
    </row>
    <row r="1377">
      <c r="A1377" s="5">
        <f>IFERROR(__xludf.DUMMYFUNCTION("""COMPUTED_VALUE"""),3856.0)</f>
        <v>3856</v>
      </c>
      <c r="B1377" s="9">
        <f>IFERROR(__xludf.DUMMYFUNCTION("""COMPUTED_VALUE"""),45419.88958333333)</f>
        <v>45419.88958</v>
      </c>
      <c r="C1377" s="5" t="str">
        <f>IFERROR(__xludf.DUMMYFUNCTION("""COMPUTED_VALUE"""),"purchase")</f>
        <v>purchase</v>
      </c>
      <c r="D1377" s="10">
        <f t="shared" si="1"/>
        <v>45419</v>
      </c>
      <c r="E1377" s="10">
        <f t="shared" si="2"/>
        <v>45418</v>
      </c>
      <c r="F1377" s="10">
        <f t="shared" si="3"/>
        <v>45413</v>
      </c>
      <c r="G1377" s="11"/>
    </row>
    <row r="1378">
      <c r="A1378" s="5">
        <f>IFERROR(__xludf.DUMMYFUNCTION("""COMPUTED_VALUE"""),5138.0)</f>
        <v>5138</v>
      </c>
      <c r="B1378" s="9">
        <f>IFERROR(__xludf.DUMMYFUNCTION("""COMPUTED_VALUE"""),45420.11252314815)</f>
        <v>45420.11252</v>
      </c>
      <c r="C1378" s="5" t="str">
        <f>IFERROR(__xludf.DUMMYFUNCTION("""COMPUTED_VALUE"""),"purchase")</f>
        <v>purchase</v>
      </c>
      <c r="D1378" s="10">
        <f t="shared" si="1"/>
        <v>45420</v>
      </c>
      <c r="E1378" s="10">
        <f t="shared" si="2"/>
        <v>45418</v>
      </c>
      <c r="F1378" s="10">
        <f t="shared" si="3"/>
        <v>45413</v>
      </c>
      <c r="G1378" s="11"/>
    </row>
    <row r="1379">
      <c r="A1379" s="5">
        <f>IFERROR(__xludf.DUMMYFUNCTION("""COMPUTED_VALUE"""),2944.0)</f>
        <v>2944</v>
      </c>
      <c r="B1379" s="9">
        <f>IFERROR(__xludf.DUMMYFUNCTION("""COMPUTED_VALUE"""),45420.195081018515)</f>
        <v>45420.19508</v>
      </c>
      <c r="C1379" s="5" t="str">
        <f>IFERROR(__xludf.DUMMYFUNCTION("""COMPUTED_VALUE"""),"purchase")</f>
        <v>purchase</v>
      </c>
      <c r="D1379" s="10">
        <f t="shared" si="1"/>
        <v>45420</v>
      </c>
      <c r="E1379" s="10">
        <f t="shared" si="2"/>
        <v>45418</v>
      </c>
      <c r="F1379" s="10">
        <f t="shared" si="3"/>
        <v>45413</v>
      </c>
      <c r="G1379" s="11"/>
    </row>
    <row r="1380">
      <c r="A1380" s="5">
        <f>IFERROR(__xludf.DUMMYFUNCTION("""COMPUTED_VALUE"""),1510.0)</f>
        <v>1510</v>
      </c>
      <c r="B1380" s="9">
        <f>IFERROR(__xludf.DUMMYFUNCTION("""COMPUTED_VALUE"""),45420.202731481484)</f>
        <v>45420.20273</v>
      </c>
      <c r="C1380" s="5" t="str">
        <f>IFERROR(__xludf.DUMMYFUNCTION("""COMPUTED_VALUE"""),"purchase")</f>
        <v>purchase</v>
      </c>
      <c r="D1380" s="10">
        <f t="shared" si="1"/>
        <v>45420</v>
      </c>
      <c r="E1380" s="10">
        <f t="shared" si="2"/>
        <v>45418</v>
      </c>
      <c r="F1380" s="10">
        <f t="shared" si="3"/>
        <v>45413</v>
      </c>
      <c r="G1380" s="11"/>
    </row>
    <row r="1381">
      <c r="A1381" s="5">
        <f>IFERROR(__xludf.DUMMYFUNCTION("""COMPUTED_VALUE"""),469.0)</f>
        <v>469</v>
      </c>
      <c r="B1381" s="9">
        <f>IFERROR(__xludf.DUMMYFUNCTION("""COMPUTED_VALUE"""),45420.21612268518)</f>
        <v>45420.21612</v>
      </c>
      <c r="C1381" s="5" t="str">
        <f>IFERROR(__xludf.DUMMYFUNCTION("""COMPUTED_VALUE"""),"purchase")</f>
        <v>purchase</v>
      </c>
      <c r="D1381" s="10">
        <f t="shared" si="1"/>
        <v>45420</v>
      </c>
      <c r="E1381" s="10">
        <f t="shared" si="2"/>
        <v>45418</v>
      </c>
      <c r="F1381" s="10">
        <f t="shared" si="3"/>
        <v>45413</v>
      </c>
      <c r="G1381" s="11"/>
    </row>
    <row r="1382">
      <c r="A1382" s="5">
        <f>IFERROR(__xludf.DUMMYFUNCTION("""COMPUTED_VALUE"""),544.0)</f>
        <v>544</v>
      </c>
      <c r="B1382" s="9">
        <f>IFERROR(__xludf.DUMMYFUNCTION("""COMPUTED_VALUE"""),45420.217986111114)</f>
        <v>45420.21799</v>
      </c>
      <c r="C1382" s="5" t="str">
        <f>IFERROR(__xludf.DUMMYFUNCTION("""COMPUTED_VALUE"""),"purchase")</f>
        <v>purchase</v>
      </c>
      <c r="D1382" s="10">
        <f t="shared" si="1"/>
        <v>45420</v>
      </c>
      <c r="E1382" s="10">
        <f t="shared" si="2"/>
        <v>45418</v>
      </c>
      <c r="F1382" s="10">
        <f t="shared" si="3"/>
        <v>45413</v>
      </c>
      <c r="G1382" s="11"/>
    </row>
    <row r="1383">
      <c r="A1383" s="5">
        <f>IFERROR(__xludf.DUMMYFUNCTION("""COMPUTED_VALUE"""),3993.0)</f>
        <v>3993</v>
      </c>
      <c r="B1383" s="9">
        <f>IFERROR(__xludf.DUMMYFUNCTION("""COMPUTED_VALUE"""),45420.333182870374)</f>
        <v>45420.33318</v>
      </c>
      <c r="C1383" s="5" t="str">
        <f>IFERROR(__xludf.DUMMYFUNCTION("""COMPUTED_VALUE"""),"purchase")</f>
        <v>purchase</v>
      </c>
      <c r="D1383" s="10">
        <f t="shared" si="1"/>
        <v>45420</v>
      </c>
      <c r="E1383" s="10">
        <f t="shared" si="2"/>
        <v>45418</v>
      </c>
      <c r="F1383" s="10">
        <f t="shared" si="3"/>
        <v>45413</v>
      </c>
      <c r="G1383" s="11"/>
    </row>
    <row r="1384">
      <c r="A1384" s="5">
        <f>IFERROR(__xludf.DUMMYFUNCTION("""COMPUTED_VALUE"""),3323.0)</f>
        <v>3323</v>
      </c>
      <c r="B1384" s="9">
        <f>IFERROR(__xludf.DUMMYFUNCTION("""COMPUTED_VALUE"""),45420.34306712963)</f>
        <v>45420.34307</v>
      </c>
      <c r="C1384" s="5" t="str">
        <f>IFERROR(__xludf.DUMMYFUNCTION("""COMPUTED_VALUE"""),"purchase")</f>
        <v>purchase</v>
      </c>
      <c r="D1384" s="10">
        <f t="shared" si="1"/>
        <v>45420</v>
      </c>
      <c r="E1384" s="10">
        <f t="shared" si="2"/>
        <v>45418</v>
      </c>
      <c r="F1384" s="10">
        <f t="shared" si="3"/>
        <v>45413</v>
      </c>
      <c r="G1384" s="11"/>
    </row>
    <row r="1385">
      <c r="A1385" s="5">
        <f>IFERROR(__xludf.DUMMYFUNCTION("""COMPUTED_VALUE"""),7780.0)</f>
        <v>7780</v>
      </c>
      <c r="B1385" s="9">
        <f>IFERROR(__xludf.DUMMYFUNCTION("""COMPUTED_VALUE"""),45420.52305555555)</f>
        <v>45420.52306</v>
      </c>
      <c r="C1385" s="5" t="str">
        <f>IFERROR(__xludf.DUMMYFUNCTION("""COMPUTED_VALUE"""),"purchase")</f>
        <v>purchase</v>
      </c>
      <c r="D1385" s="10">
        <f t="shared" si="1"/>
        <v>45420</v>
      </c>
      <c r="E1385" s="10">
        <f t="shared" si="2"/>
        <v>45418</v>
      </c>
      <c r="F1385" s="10">
        <f t="shared" si="3"/>
        <v>45413</v>
      </c>
      <c r="G1385" s="11"/>
    </row>
    <row r="1386">
      <c r="A1386" s="5">
        <f>IFERROR(__xludf.DUMMYFUNCTION("""COMPUTED_VALUE"""),5118.0)</f>
        <v>5118</v>
      </c>
      <c r="B1386" s="9">
        <f>IFERROR(__xludf.DUMMYFUNCTION("""COMPUTED_VALUE"""),45420.584340277775)</f>
        <v>45420.58434</v>
      </c>
      <c r="C1386" s="5" t="str">
        <f>IFERROR(__xludf.DUMMYFUNCTION("""COMPUTED_VALUE"""),"purchase")</f>
        <v>purchase</v>
      </c>
      <c r="D1386" s="10">
        <f t="shared" si="1"/>
        <v>45420</v>
      </c>
      <c r="E1386" s="10">
        <f t="shared" si="2"/>
        <v>45418</v>
      </c>
      <c r="F1386" s="10">
        <f t="shared" si="3"/>
        <v>45413</v>
      </c>
      <c r="G1386" s="11"/>
    </row>
    <row r="1387">
      <c r="A1387" s="5">
        <f>IFERROR(__xludf.DUMMYFUNCTION("""COMPUTED_VALUE"""),2108.0)</f>
        <v>2108</v>
      </c>
      <c r="B1387" s="9">
        <f>IFERROR(__xludf.DUMMYFUNCTION("""COMPUTED_VALUE"""),45420.66059027778)</f>
        <v>45420.66059</v>
      </c>
      <c r="C1387" s="5" t="str">
        <f>IFERROR(__xludf.DUMMYFUNCTION("""COMPUTED_VALUE"""),"purchase")</f>
        <v>purchase</v>
      </c>
      <c r="D1387" s="10">
        <f t="shared" si="1"/>
        <v>45420</v>
      </c>
      <c r="E1387" s="10">
        <f t="shared" si="2"/>
        <v>45418</v>
      </c>
      <c r="F1387" s="10">
        <f t="shared" si="3"/>
        <v>45413</v>
      </c>
      <c r="G1387" s="11"/>
    </row>
    <row r="1388">
      <c r="A1388" s="5">
        <f>IFERROR(__xludf.DUMMYFUNCTION("""COMPUTED_VALUE"""),1515.0)</f>
        <v>1515</v>
      </c>
      <c r="B1388" s="9">
        <f>IFERROR(__xludf.DUMMYFUNCTION("""COMPUTED_VALUE"""),45420.95212962963)</f>
        <v>45420.95213</v>
      </c>
      <c r="C1388" s="5" t="str">
        <f>IFERROR(__xludf.DUMMYFUNCTION("""COMPUTED_VALUE"""),"purchase")</f>
        <v>purchase</v>
      </c>
      <c r="D1388" s="10">
        <f t="shared" si="1"/>
        <v>45420</v>
      </c>
      <c r="E1388" s="10">
        <f t="shared" si="2"/>
        <v>45418</v>
      </c>
      <c r="F1388" s="10">
        <f t="shared" si="3"/>
        <v>45413</v>
      </c>
      <c r="G1388" s="11"/>
    </row>
    <row r="1389">
      <c r="A1389" s="5">
        <f>IFERROR(__xludf.DUMMYFUNCTION("""COMPUTED_VALUE"""),1025.0)</f>
        <v>1025</v>
      </c>
      <c r="B1389" s="9">
        <f>IFERROR(__xludf.DUMMYFUNCTION("""COMPUTED_VALUE"""),45420.968877314815)</f>
        <v>45420.96888</v>
      </c>
      <c r="C1389" s="5" t="str">
        <f>IFERROR(__xludf.DUMMYFUNCTION("""COMPUTED_VALUE"""),"purchase")</f>
        <v>purchase</v>
      </c>
      <c r="D1389" s="10">
        <f t="shared" si="1"/>
        <v>45420</v>
      </c>
      <c r="E1389" s="10">
        <f t="shared" si="2"/>
        <v>45418</v>
      </c>
      <c r="F1389" s="10">
        <f t="shared" si="3"/>
        <v>45413</v>
      </c>
      <c r="G1389" s="11"/>
    </row>
    <row r="1390">
      <c r="A1390" s="5">
        <f>IFERROR(__xludf.DUMMYFUNCTION("""COMPUTED_VALUE"""),2406.0)</f>
        <v>2406</v>
      </c>
      <c r="B1390" s="9">
        <f>IFERROR(__xludf.DUMMYFUNCTION("""COMPUTED_VALUE"""),45420.975949074076)</f>
        <v>45420.97595</v>
      </c>
      <c r="C1390" s="5" t="str">
        <f>IFERROR(__xludf.DUMMYFUNCTION("""COMPUTED_VALUE"""),"purchase")</f>
        <v>purchase</v>
      </c>
      <c r="D1390" s="10">
        <f t="shared" si="1"/>
        <v>45420</v>
      </c>
      <c r="E1390" s="10">
        <f t="shared" si="2"/>
        <v>45418</v>
      </c>
      <c r="F1390" s="10">
        <f t="shared" si="3"/>
        <v>45413</v>
      </c>
      <c r="G1390" s="11"/>
    </row>
    <row r="1391">
      <c r="A1391" s="5">
        <f>IFERROR(__xludf.DUMMYFUNCTION("""COMPUTED_VALUE"""),1916.0)</f>
        <v>1916</v>
      </c>
      <c r="B1391" s="9">
        <f>IFERROR(__xludf.DUMMYFUNCTION("""COMPUTED_VALUE"""),45421.02275462963)</f>
        <v>45421.02275</v>
      </c>
      <c r="C1391" s="5" t="str">
        <f>IFERROR(__xludf.DUMMYFUNCTION("""COMPUTED_VALUE"""),"purchase")</f>
        <v>purchase</v>
      </c>
      <c r="D1391" s="10">
        <f t="shared" si="1"/>
        <v>45421</v>
      </c>
      <c r="E1391" s="10">
        <f t="shared" si="2"/>
        <v>45418</v>
      </c>
      <c r="F1391" s="10">
        <f t="shared" si="3"/>
        <v>45413</v>
      </c>
      <c r="G1391" s="11"/>
    </row>
    <row r="1392">
      <c r="A1392" s="5">
        <f>IFERROR(__xludf.DUMMYFUNCTION("""COMPUTED_VALUE"""),1080.0)</f>
        <v>1080</v>
      </c>
      <c r="B1392" s="9">
        <f>IFERROR(__xludf.DUMMYFUNCTION("""COMPUTED_VALUE"""),45421.05351851852)</f>
        <v>45421.05352</v>
      </c>
      <c r="C1392" s="5" t="str">
        <f>IFERROR(__xludf.DUMMYFUNCTION("""COMPUTED_VALUE"""),"purchase")</f>
        <v>purchase</v>
      </c>
      <c r="D1392" s="10">
        <f t="shared" si="1"/>
        <v>45421</v>
      </c>
      <c r="E1392" s="10">
        <f t="shared" si="2"/>
        <v>45418</v>
      </c>
      <c r="F1392" s="10">
        <f t="shared" si="3"/>
        <v>45413</v>
      </c>
      <c r="G1392" s="11"/>
    </row>
    <row r="1393">
      <c r="A1393" s="5">
        <f>IFERROR(__xludf.DUMMYFUNCTION("""COMPUTED_VALUE"""),1895.0)</f>
        <v>1895</v>
      </c>
      <c r="B1393" s="9">
        <f>IFERROR(__xludf.DUMMYFUNCTION("""COMPUTED_VALUE"""),45421.13501157407)</f>
        <v>45421.13501</v>
      </c>
      <c r="C1393" s="5" t="str">
        <f>IFERROR(__xludf.DUMMYFUNCTION("""COMPUTED_VALUE"""),"purchase")</f>
        <v>purchase</v>
      </c>
      <c r="D1393" s="10">
        <f t="shared" si="1"/>
        <v>45421</v>
      </c>
      <c r="E1393" s="10">
        <f t="shared" si="2"/>
        <v>45418</v>
      </c>
      <c r="F1393" s="10">
        <f t="shared" si="3"/>
        <v>45413</v>
      </c>
      <c r="G1393" s="11"/>
    </row>
    <row r="1394">
      <c r="A1394" s="5">
        <f>IFERROR(__xludf.DUMMYFUNCTION("""COMPUTED_VALUE"""),6679.0)</f>
        <v>6679</v>
      </c>
      <c r="B1394" s="9">
        <f>IFERROR(__xludf.DUMMYFUNCTION("""COMPUTED_VALUE"""),45421.22835648148)</f>
        <v>45421.22836</v>
      </c>
      <c r="C1394" s="5" t="str">
        <f>IFERROR(__xludf.DUMMYFUNCTION("""COMPUTED_VALUE"""),"purchase")</f>
        <v>purchase</v>
      </c>
      <c r="D1394" s="10">
        <f t="shared" si="1"/>
        <v>45421</v>
      </c>
      <c r="E1394" s="10">
        <f t="shared" si="2"/>
        <v>45418</v>
      </c>
      <c r="F1394" s="10">
        <f t="shared" si="3"/>
        <v>45413</v>
      </c>
      <c r="G1394" s="11"/>
    </row>
    <row r="1395">
      <c r="A1395" s="5">
        <f>IFERROR(__xludf.DUMMYFUNCTION("""COMPUTED_VALUE"""),4751.0)</f>
        <v>4751</v>
      </c>
      <c r="B1395" s="9">
        <f>IFERROR(__xludf.DUMMYFUNCTION("""COMPUTED_VALUE"""),45421.2878587963)</f>
        <v>45421.28786</v>
      </c>
      <c r="C1395" s="5" t="str">
        <f>IFERROR(__xludf.DUMMYFUNCTION("""COMPUTED_VALUE"""),"purchase")</f>
        <v>purchase</v>
      </c>
      <c r="D1395" s="10">
        <f t="shared" si="1"/>
        <v>45421</v>
      </c>
      <c r="E1395" s="10">
        <f t="shared" si="2"/>
        <v>45418</v>
      </c>
      <c r="F1395" s="10">
        <f t="shared" si="3"/>
        <v>45413</v>
      </c>
      <c r="G1395" s="11"/>
    </row>
    <row r="1396">
      <c r="A1396" s="5">
        <f>IFERROR(__xludf.DUMMYFUNCTION("""COMPUTED_VALUE"""),355.0)</f>
        <v>355</v>
      </c>
      <c r="B1396" s="9">
        <f>IFERROR(__xludf.DUMMYFUNCTION("""COMPUTED_VALUE"""),45421.46604166667)</f>
        <v>45421.46604</v>
      </c>
      <c r="C1396" s="5" t="str">
        <f>IFERROR(__xludf.DUMMYFUNCTION("""COMPUTED_VALUE"""),"purchase")</f>
        <v>purchase</v>
      </c>
      <c r="D1396" s="10">
        <f t="shared" si="1"/>
        <v>45421</v>
      </c>
      <c r="E1396" s="10">
        <f t="shared" si="2"/>
        <v>45418</v>
      </c>
      <c r="F1396" s="10">
        <f t="shared" si="3"/>
        <v>45413</v>
      </c>
      <c r="G1396" s="11"/>
    </row>
    <row r="1397">
      <c r="A1397" s="5">
        <f>IFERROR(__xludf.DUMMYFUNCTION("""COMPUTED_VALUE"""),1657.0)</f>
        <v>1657</v>
      </c>
      <c r="B1397" s="9">
        <f>IFERROR(__xludf.DUMMYFUNCTION("""COMPUTED_VALUE"""),45421.51635416667)</f>
        <v>45421.51635</v>
      </c>
      <c r="C1397" s="5" t="str">
        <f>IFERROR(__xludf.DUMMYFUNCTION("""COMPUTED_VALUE"""),"purchase")</f>
        <v>purchase</v>
      </c>
      <c r="D1397" s="10">
        <f t="shared" si="1"/>
        <v>45421</v>
      </c>
      <c r="E1397" s="10">
        <f t="shared" si="2"/>
        <v>45418</v>
      </c>
      <c r="F1397" s="10">
        <f t="shared" si="3"/>
        <v>45413</v>
      </c>
      <c r="G1397" s="11"/>
    </row>
    <row r="1398">
      <c r="A1398" s="5">
        <f>IFERROR(__xludf.DUMMYFUNCTION("""COMPUTED_VALUE"""),5636.0)</f>
        <v>5636</v>
      </c>
      <c r="B1398" s="9">
        <f>IFERROR(__xludf.DUMMYFUNCTION("""COMPUTED_VALUE"""),45421.52358796296)</f>
        <v>45421.52359</v>
      </c>
      <c r="C1398" s="5" t="str">
        <f>IFERROR(__xludf.DUMMYFUNCTION("""COMPUTED_VALUE"""),"purchase")</f>
        <v>purchase</v>
      </c>
      <c r="D1398" s="10">
        <f t="shared" si="1"/>
        <v>45421</v>
      </c>
      <c r="E1398" s="10">
        <f t="shared" si="2"/>
        <v>45418</v>
      </c>
      <c r="F1398" s="10">
        <f t="shared" si="3"/>
        <v>45413</v>
      </c>
      <c r="G1398" s="11"/>
    </row>
    <row r="1399">
      <c r="A1399" s="5">
        <f>IFERROR(__xludf.DUMMYFUNCTION("""COMPUTED_VALUE"""),1596.0)</f>
        <v>1596</v>
      </c>
      <c r="B1399" s="9">
        <f>IFERROR(__xludf.DUMMYFUNCTION("""COMPUTED_VALUE"""),45421.67511574074)</f>
        <v>45421.67512</v>
      </c>
      <c r="C1399" s="5" t="str">
        <f>IFERROR(__xludf.DUMMYFUNCTION("""COMPUTED_VALUE"""),"purchase")</f>
        <v>purchase</v>
      </c>
      <c r="D1399" s="10">
        <f t="shared" si="1"/>
        <v>45421</v>
      </c>
      <c r="E1399" s="10">
        <f t="shared" si="2"/>
        <v>45418</v>
      </c>
      <c r="F1399" s="10">
        <f t="shared" si="3"/>
        <v>45413</v>
      </c>
      <c r="G1399" s="11"/>
    </row>
    <row r="1400">
      <c r="A1400" s="5">
        <f>IFERROR(__xludf.DUMMYFUNCTION("""COMPUTED_VALUE"""),4113.0)</f>
        <v>4113</v>
      </c>
      <c r="B1400" s="9">
        <f>IFERROR(__xludf.DUMMYFUNCTION("""COMPUTED_VALUE"""),45421.79655092592)</f>
        <v>45421.79655</v>
      </c>
      <c r="C1400" s="5" t="str">
        <f>IFERROR(__xludf.DUMMYFUNCTION("""COMPUTED_VALUE"""),"purchase")</f>
        <v>purchase</v>
      </c>
      <c r="D1400" s="10">
        <f t="shared" si="1"/>
        <v>45421</v>
      </c>
      <c r="E1400" s="10">
        <f t="shared" si="2"/>
        <v>45418</v>
      </c>
      <c r="F1400" s="10">
        <f t="shared" si="3"/>
        <v>45413</v>
      </c>
      <c r="G1400" s="11"/>
    </row>
    <row r="1401">
      <c r="A1401" s="5">
        <f>IFERROR(__xludf.DUMMYFUNCTION("""COMPUTED_VALUE"""),4055.0)</f>
        <v>4055</v>
      </c>
      <c r="B1401" s="9">
        <f>IFERROR(__xludf.DUMMYFUNCTION("""COMPUTED_VALUE"""),45421.82255787037)</f>
        <v>45421.82256</v>
      </c>
      <c r="C1401" s="5" t="str">
        <f>IFERROR(__xludf.DUMMYFUNCTION("""COMPUTED_VALUE"""),"purchase")</f>
        <v>purchase</v>
      </c>
      <c r="D1401" s="10">
        <f t="shared" si="1"/>
        <v>45421</v>
      </c>
      <c r="E1401" s="10">
        <f t="shared" si="2"/>
        <v>45418</v>
      </c>
      <c r="F1401" s="10">
        <f t="shared" si="3"/>
        <v>45413</v>
      </c>
      <c r="G1401" s="11"/>
    </row>
    <row r="1402">
      <c r="A1402" s="5">
        <f>IFERROR(__xludf.DUMMYFUNCTION("""COMPUTED_VALUE"""),3363.0)</f>
        <v>3363</v>
      </c>
      <c r="B1402" s="9">
        <f>IFERROR(__xludf.DUMMYFUNCTION("""COMPUTED_VALUE"""),45421.84006944444)</f>
        <v>45421.84007</v>
      </c>
      <c r="C1402" s="5" t="str">
        <f>IFERROR(__xludf.DUMMYFUNCTION("""COMPUTED_VALUE"""),"purchase")</f>
        <v>purchase</v>
      </c>
      <c r="D1402" s="10">
        <f t="shared" si="1"/>
        <v>45421</v>
      </c>
      <c r="E1402" s="10">
        <f t="shared" si="2"/>
        <v>45418</v>
      </c>
      <c r="F1402" s="10">
        <f t="shared" si="3"/>
        <v>45413</v>
      </c>
      <c r="G1402" s="11"/>
    </row>
    <row r="1403">
      <c r="A1403" s="5">
        <f>IFERROR(__xludf.DUMMYFUNCTION("""COMPUTED_VALUE"""),7702.0)</f>
        <v>7702</v>
      </c>
      <c r="B1403" s="9">
        <f>IFERROR(__xludf.DUMMYFUNCTION("""COMPUTED_VALUE"""),45421.90217592593)</f>
        <v>45421.90218</v>
      </c>
      <c r="C1403" s="5" t="str">
        <f>IFERROR(__xludf.DUMMYFUNCTION("""COMPUTED_VALUE"""),"purchase")</f>
        <v>purchase</v>
      </c>
      <c r="D1403" s="10">
        <f t="shared" si="1"/>
        <v>45421</v>
      </c>
      <c r="E1403" s="10">
        <f t="shared" si="2"/>
        <v>45418</v>
      </c>
      <c r="F1403" s="10">
        <f t="shared" si="3"/>
        <v>45413</v>
      </c>
      <c r="G1403" s="11"/>
    </row>
    <row r="1404">
      <c r="A1404" s="5">
        <f>IFERROR(__xludf.DUMMYFUNCTION("""COMPUTED_VALUE"""),713.0)</f>
        <v>713</v>
      </c>
      <c r="B1404" s="9">
        <f>IFERROR(__xludf.DUMMYFUNCTION("""COMPUTED_VALUE"""),45421.92581018519)</f>
        <v>45421.92581</v>
      </c>
      <c r="C1404" s="5" t="str">
        <f>IFERROR(__xludf.DUMMYFUNCTION("""COMPUTED_VALUE"""),"purchase")</f>
        <v>purchase</v>
      </c>
      <c r="D1404" s="10">
        <f t="shared" si="1"/>
        <v>45421</v>
      </c>
      <c r="E1404" s="10">
        <f t="shared" si="2"/>
        <v>45418</v>
      </c>
      <c r="F1404" s="10">
        <f t="shared" si="3"/>
        <v>45413</v>
      </c>
      <c r="G1404" s="11"/>
    </row>
    <row r="1405">
      <c r="A1405" s="5">
        <f>IFERROR(__xludf.DUMMYFUNCTION("""COMPUTED_VALUE"""),1175.0)</f>
        <v>1175</v>
      </c>
      <c r="B1405" s="9">
        <f>IFERROR(__xludf.DUMMYFUNCTION("""COMPUTED_VALUE"""),45421.98810185185)</f>
        <v>45421.9881</v>
      </c>
      <c r="C1405" s="5" t="str">
        <f>IFERROR(__xludf.DUMMYFUNCTION("""COMPUTED_VALUE"""),"purchase")</f>
        <v>purchase</v>
      </c>
      <c r="D1405" s="10">
        <f t="shared" si="1"/>
        <v>45421</v>
      </c>
      <c r="E1405" s="10">
        <f t="shared" si="2"/>
        <v>45418</v>
      </c>
      <c r="F1405" s="10">
        <f t="shared" si="3"/>
        <v>45413</v>
      </c>
      <c r="G1405" s="11"/>
    </row>
    <row r="1406">
      <c r="A1406" s="5">
        <f>IFERROR(__xludf.DUMMYFUNCTION("""COMPUTED_VALUE"""),1098.0)</f>
        <v>1098</v>
      </c>
      <c r="B1406" s="9">
        <f>IFERROR(__xludf.DUMMYFUNCTION("""COMPUTED_VALUE"""),45422.14094907408)</f>
        <v>45422.14095</v>
      </c>
      <c r="C1406" s="5" t="str">
        <f>IFERROR(__xludf.DUMMYFUNCTION("""COMPUTED_VALUE"""),"purchase")</f>
        <v>purchase</v>
      </c>
      <c r="D1406" s="10">
        <f t="shared" si="1"/>
        <v>45422</v>
      </c>
      <c r="E1406" s="10">
        <f t="shared" si="2"/>
        <v>45418</v>
      </c>
      <c r="F1406" s="10">
        <f t="shared" si="3"/>
        <v>45413</v>
      </c>
      <c r="G1406" s="11"/>
    </row>
    <row r="1407">
      <c r="A1407" s="5">
        <f>IFERROR(__xludf.DUMMYFUNCTION("""COMPUTED_VALUE"""),6852.0)</f>
        <v>6852</v>
      </c>
      <c r="B1407" s="9">
        <f>IFERROR(__xludf.DUMMYFUNCTION("""COMPUTED_VALUE"""),45422.49355324074)</f>
        <v>45422.49355</v>
      </c>
      <c r="C1407" s="5" t="str">
        <f>IFERROR(__xludf.DUMMYFUNCTION("""COMPUTED_VALUE"""),"purchase")</f>
        <v>purchase</v>
      </c>
      <c r="D1407" s="10">
        <f t="shared" si="1"/>
        <v>45422</v>
      </c>
      <c r="E1407" s="10">
        <f t="shared" si="2"/>
        <v>45418</v>
      </c>
      <c r="F1407" s="10">
        <f t="shared" si="3"/>
        <v>45413</v>
      </c>
      <c r="G1407" s="11"/>
    </row>
    <row r="1408">
      <c r="A1408" s="5">
        <f>IFERROR(__xludf.DUMMYFUNCTION("""COMPUTED_VALUE"""),4687.0)</f>
        <v>4687</v>
      </c>
      <c r="B1408" s="9">
        <f>IFERROR(__xludf.DUMMYFUNCTION("""COMPUTED_VALUE"""),45422.55134259259)</f>
        <v>45422.55134</v>
      </c>
      <c r="C1408" s="5" t="str">
        <f>IFERROR(__xludf.DUMMYFUNCTION("""COMPUTED_VALUE"""),"purchase")</f>
        <v>purchase</v>
      </c>
      <c r="D1408" s="10">
        <f t="shared" si="1"/>
        <v>45422</v>
      </c>
      <c r="E1408" s="10">
        <f t="shared" si="2"/>
        <v>45418</v>
      </c>
      <c r="F1408" s="10">
        <f t="shared" si="3"/>
        <v>45413</v>
      </c>
      <c r="G1408" s="11"/>
    </row>
    <row r="1409">
      <c r="A1409" s="5">
        <f>IFERROR(__xludf.DUMMYFUNCTION("""COMPUTED_VALUE"""),1489.0)</f>
        <v>1489</v>
      </c>
      <c r="B1409" s="9">
        <f>IFERROR(__xludf.DUMMYFUNCTION("""COMPUTED_VALUE"""),45422.62734953704)</f>
        <v>45422.62735</v>
      </c>
      <c r="C1409" s="5" t="str">
        <f>IFERROR(__xludf.DUMMYFUNCTION("""COMPUTED_VALUE"""),"purchase")</f>
        <v>purchase</v>
      </c>
      <c r="D1409" s="10">
        <f t="shared" si="1"/>
        <v>45422</v>
      </c>
      <c r="E1409" s="10">
        <f t="shared" si="2"/>
        <v>45418</v>
      </c>
      <c r="F1409" s="10">
        <f t="shared" si="3"/>
        <v>45413</v>
      </c>
      <c r="G1409" s="11"/>
    </row>
    <row r="1410">
      <c r="A1410" s="5">
        <f>IFERROR(__xludf.DUMMYFUNCTION("""COMPUTED_VALUE"""),5319.0)</f>
        <v>5319</v>
      </c>
      <c r="B1410" s="9">
        <f>IFERROR(__xludf.DUMMYFUNCTION("""COMPUTED_VALUE"""),45422.72803240741)</f>
        <v>45422.72803</v>
      </c>
      <c r="C1410" s="5" t="str">
        <f>IFERROR(__xludf.DUMMYFUNCTION("""COMPUTED_VALUE"""),"purchase")</f>
        <v>purchase</v>
      </c>
      <c r="D1410" s="10">
        <f t="shared" si="1"/>
        <v>45422</v>
      </c>
      <c r="E1410" s="10">
        <f t="shared" si="2"/>
        <v>45418</v>
      </c>
      <c r="F1410" s="10">
        <f t="shared" si="3"/>
        <v>45413</v>
      </c>
      <c r="G1410" s="11"/>
    </row>
    <row r="1411">
      <c r="A1411" s="5">
        <f>IFERROR(__xludf.DUMMYFUNCTION("""COMPUTED_VALUE"""),2228.0)</f>
        <v>2228</v>
      </c>
      <c r="B1411" s="9">
        <f>IFERROR(__xludf.DUMMYFUNCTION("""COMPUTED_VALUE"""),45422.82369212963)</f>
        <v>45422.82369</v>
      </c>
      <c r="C1411" s="5" t="str">
        <f>IFERROR(__xludf.DUMMYFUNCTION("""COMPUTED_VALUE"""),"purchase")</f>
        <v>purchase</v>
      </c>
      <c r="D1411" s="10">
        <f t="shared" si="1"/>
        <v>45422</v>
      </c>
      <c r="E1411" s="10">
        <f t="shared" si="2"/>
        <v>45418</v>
      </c>
      <c r="F1411" s="10">
        <f t="shared" si="3"/>
        <v>45413</v>
      </c>
      <c r="G1411" s="11"/>
    </row>
    <row r="1412">
      <c r="A1412" s="5">
        <f>IFERROR(__xludf.DUMMYFUNCTION("""COMPUTED_VALUE"""),1833.0)</f>
        <v>1833</v>
      </c>
      <c r="B1412" s="9">
        <f>IFERROR(__xludf.DUMMYFUNCTION("""COMPUTED_VALUE"""),45422.95505787037)</f>
        <v>45422.95506</v>
      </c>
      <c r="C1412" s="5" t="str">
        <f>IFERROR(__xludf.DUMMYFUNCTION("""COMPUTED_VALUE"""),"purchase")</f>
        <v>purchase</v>
      </c>
      <c r="D1412" s="10">
        <f t="shared" si="1"/>
        <v>45422</v>
      </c>
      <c r="E1412" s="10">
        <f t="shared" si="2"/>
        <v>45418</v>
      </c>
      <c r="F1412" s="10">
        <f t="shared" si="3"/>
        <v>45413</v>
      </c>
      <c r="G1412" s="11"/>
    </row>
    <row r="1413">
      <c r="A1413" s="5">
        <f>IFERROR(__xludf.DUMMYFUNCTION("""COMPUTED_VALUE"""),2517.0)</f>
        <v>2517</v>
      </c>
      <c r="B1413" s="9">
        <f>IFERROR(__xludf.DUMMYFUNCTION("""COMPUTED_VALUE"""),45422.99138888889)</f>
        <v>45422.99139</v>
      </c>
      <c r="C1413" s="5" t="str">
        <f>IFERROR(__xludf.DUMMYFUNCTION("""COMPUTED_VALUE"""),"purchase")</f>
        <v>purchase</v>
      </c>
      <c r="D1413" s="10">
        <f t="shared" si="1"/>
        <v>45422</v>
      </c>
      <c r="E1413" s="10">
        <f t="shared" si="2"/>
        <v>45418</v>
      </c>
      <c r="F1413" s="10">
        <f t="shared" si="3"/>
        <v>45413</v>
      </c>
      <c r="G1413" s="11"/>
    </row>
    <row r="1414">
      <c r="A1414" s="5">
        <f>IFERROR(__xludf.DUMMYFUNCTION("""COMPUTED_VALUE"""),2878.0)</f>
        <v>2878</v>
      </c>
      <c r="B1414" s="9">
        <f>IFERROR(__xludf.DUMMYFUNCTION("""COMPUTED_VALUE"""),45423.09725694444)</f>
        <v>45423.09726</v>
      </c>
      <c r="C1414" s="5" t="str">
        <f>IFERROR(__xludf.DUMMYFUNCTION("""COMPUTED_VALUE"""),"purchase")</f>
        <v>purchase</v>
      </c>
      <c r="D1414" s="10">
        <f t="shared" si="1"/>
        <v>45423</v>
      </c>
      <c r="E1414" s="10">
        <f t="shared" si="2"/>
        <v>45418</v>
      </c>
      <c r="F1414" s="10">
        <f t="shared" si="3"/>
        <v>45413</v>
      </c>
      <c r="G1414" s="11"/>
    </row>
    <row r="1415">
      <c r="A1415" s="5">
        <f>IFERROR(__xludf.DUMMYFUNCTION("""COMPUTED_VALUE"""),2883.0)</f>
        <v>2883</v>
      </c>
      <c r="B1415" s="9">
        <f>IFERROR(__xludf.DUMMYFUNCTION("""COMPUTED_VALUE"""),45423.24476851852)</f>
        <v>45423.24477</v>
      </c>
      <c r="C1415" s="5" t="str">
        <f>IFERROR(__xludf.DUMMYFUNCTION("""COMPUTED_VALUE"""),"purchase")</f>
        <v>purchase</v>
      </c>
      <c r="D1415" s="10">
        <f t="shared" si="1"/>
        <v>45423</v>
      </c>
      <c r="E1415" s="10">
        <f t="shared" si="2"/>
        <v>45418</v>
      </c>
      <c r="F1415" s="10">
        <f t="shared" si="3"/>
        <v>45413</v>
      </c>
      <c r="G1415" s="11"/>
    </row>
    <row r="1416">
      <c r="A1416" s="5">
        <f>IFERROR(__xludf.DUMMYFUNCTION("""COMPUTED_VALUE"""),5552.0)</f>
        <v>5552</v>
      </c>
      <c r="B1416" s="9">
        <f>IFERROR(__xludf.DUMMYFUNCTION("""COMPUTED_VALUE"""),45423.570925925924)</f>
        <v>45423.57093</v>
      </c>
      <c r="C1416" s="5" t="str">
        <f>IFERROR(__xludf.DUMMYFUNCTION("""COMPUTED_VALUE"""),"purchase")</f>
        <v>purchase</v>
      </c>
      <c r="D1416" s="10">
        <f t="shared" si="1"/>
        <v>45423</v>
      </c>
      <c r="E1416" s="10">
        <f t="shared" si="2"/>
        <v>45418</v>
      </c>
      <c r="F1416" s="10">
        <f t="shared" si="3"/>
        <v>45413</v>
      </c>
      <c r="G1416" s="11"/>
    </row>
    <row r="1417">
      <c r="A1417" s="5">
        <f>IFERROR(__xludf.DUMMYFUNCTION("""COMPUTED_VALUE"""),4377.0)</f>
        <v>4377</v>
      </c>
      <c r="B1417" s="9">
        <f>IFERROR(__xludf.DUMMYFUNCTION("""COMPUTED_VALUE"""),45423.74903935185)</f>
        <v>45423.74904</v>
      </c>
      <c r="C1417" s="5" t="str">
        <f>IFERROR(__xludf.DUMMYFUNCTION("""COMPUTED_VALUE"""),"purchase")</f>
        <v>purchase</v>
      </c>
      <c r="D1417" s="10">
        <f t="shared" si="1"/>
        <v>45423</v>
      </c>
      <c r="E1417" s="10">
        <f t="shared" si="2"/>
        <v>45418</v>
      </c>
      <c r="F1417" s="10">
        <f t="shared" si="3"/>
        <v>45413</v>
      </c>
      <c r="G1417" s="11"/>
    </row>
    <row r="1418">
      <c r="A1418" s="5">
        <f>IFERROR(__xludf.DUMMYFUNCTION("""COMPUTED_VALUE"""),2511.0)</f>
        <v>2511</v>
      </c>
      <c r="B1418" s="9">
        <f>IFERROR(__xludf.DUMMYFUNCTION("""COMPUTED_VALUE"""),45423.75072916667)</f>
        <v>45423.75073</v>
      </c>
      <c r="C1418" s="5" t="str">
        <f>IFERROR(__xludf.DUMMYFUNCTION("""COMPUTED_VALUE"""),"purchase")</f>
        <v>purchase</v>
      </c>
      <c r="D1418" s="10">
        <f t="shared" si="1"/>
        <v>45423</v>
      </c>
      <c r="E1418" s="10">
        <f t="shared" si="2"/>
        <v>45418</v>
      </c>
      <c r="F1418" s="10">
        <f t="shared" si="3"/>
        <v>45413</v>
      </c>
      <c r="G1418" s="11"/>
    </row>
    <row r="1419">
      <c r="A1419" s="5">
        <f>IFERROR(__xludf.DUMMYFUNCTION("""COMPUTED_VALUE"""),6076.0)</f>
        <v>6076</v>
      </c>
      <c r="B1419" s="9">
        <f>IFERROR(__xludf.DUMMYFUNCTION("""COMPUTED_VALUE"""),45423.97822916666)</f>
        <v>45423.97823</v>
      </c>
      <c r="C1419" s="5" t="str">
        <f>IFERROR(__xludf.DUMMYFUNCTION("""COMPUTED_VALUE"""),"purchase")</f>
        <v>purchase</v>
      </c>
      <c r="D1419" s="10">
        <f t="shared" si="1"/>
        <v>45423</v>
      </c>
      <c r="E1419" s="10">
        <f t="shared" si="2"/>
        <v>45418</v>
      </c>
      <c r="F1419" s="10">
        <f t="shared" si="3"/>
        <v>45413</v>
      </c>
      <c r="G1419" s="11"/>
    </row>
    <row r="1420">
      <c r="A1420" s="5">
        <f>IFERROR(__xludf.DUMMYFUNCTION("""COMPUTED_VALUE"""),3529.0)</f>
        <v>3529</v>
      </c>
      <c r="B1420" s="9">
        <f>IFERROR(__xludf.DUMMYFUNCTION("""COMPUTED_VALUE"""),45424.20119212963)</f>
        <v>45424.20119</v>
      </c>
      <c r="C1420" s="5" t="str">
        <f>IFERROR(__xludf.DUMMYFUNCTION("""COMPUTED_VALUE"""),"purchase")</f>
        <v>purchase</v>
      </c>
      <c r="D1420" s="10">
        <f t="shared" si="1"/>
        <v>45424</v>
      </c>
      <c r="E1420" s="10">
        <f t="shared" si="2"/>
        <v>45418</v>
      </c>
      <c r="F1420" s="10">
        <f t="shared" si="3"/>
        <v>45413</v>
      </c>
      <c r="G1420" s="11"/>
    </row>
    <row r="1421">
      <c r="A1421" s="5">
        <f>IFERROR(__xludf.DUMMYFUNCTION("""COMPUTED_VALUE"""),2319.0)</f>
        <v>2319</v>
      </c>
      <c r="B1421" s="9">
        <f>IFERROR(__xludf.DUMMYFUNCTION("""COMPUTED_VALUE"""),45424.276770833334)</f>
        <v>45424.27677</v>
      </c>
      <c r="C1421" s="5" t="str">
        <f>IFERROR(__xludf.DUMMYFUNCTION("""COMPUTED_VALUE"""),"purchase")</f>
        <v>purchase</v>
      </c>
      <c r="D1421" s="10">
        <f t="shared" si="1"/>
        <v>45424</v>
      </c>
      <c r="E1421" s="10">
        <f t="shared" si="2"/>
        <v>45418</v>
      </c>
      <c r="F1421" s="10">
        <f t="shared" si="3"/>
        <v>45413</v>
      </c>
      <c r="G1421" s="11"/>
    </row>
    <row r="1422">
      <c r="A1422" s="5">
        <f>IFERROR(__xludf.DUMMYFUNCTION("""COMPUTED_VALUE"""),4790.0)</f>
        <v>4790</v>
      </c>
      <c r="B1422" s="9">
        <f>IFERROR(__xludf.DUMMYFUNCTION("""COMPUTED_VALUE"""),45424.36273148148)</f>
        <v>45424.36273</v>
      </c>
      <c r="C1422" s="5" t="str">
        <f>IFERROR(__xludf.DUMMYFUNCTION("""COMPUTED_VALUE"""),"purchase")</f>
        <v>purchase</v>
      </c>
      <c r="D1422" s="10">
        <f t="shared" si="1"/>
        <v>45424</v>
      </c>
      <c r="E1422" s="10">
        <f t="shared" si="2"/>
        <v>45418</v>
      </c>
      <c r="F1422" s="10">
        <f t="shared" si="3"/>
        <v>45413</v>
      </c>
      <c r="G1422" s="11"/>
    </row>
    <row r="1423">
      <c r="A1423" s="5">
        <f>IFERROR(__xludf.DUMMYFUNCTION("""COMPUTED_VALUE"""),6947.0)</f>
        <v>6947</v>
      </c>
      <c r="B1423" s="9">
        <f>IFERROR(__xludf.DUMMYFUNCTION("""COMPUTED_VALUE"""),45424.72010416666)</f>
        <v>45424.7201</v>
      </c>
      <c r="C1423" s="5" t="str">
        <f>IFERROR(__xludf.DUMMYFUNCTION("""COMPUTED_VALUE"""),"purchase")</f>
        <v>purchase</v>
      </c>
      <c r="D1423" s="10">
        <f t="shared" si="1"/>
        <v>45424</v>
      </c>
      <c r="E1423" s="10">
        <f t="shared" si="2"/>
        <v>45418</v>
      </c>
      <c r="F1423" s="10">
        <f t="shared" si="3"/>
        <v>45413</v>
      </c>
      <c r="G1423" s="11"/>
    </row>
    <row r="1424">
      <c r="A1424" s="5">
        <f>IFERROR(__xludf.DUMMYFUNCTION("""COMPUTED_VALUE"""),7329.0)</f>
        <v>7329</v>
      </c>
      <c r="B1424" s="9">
        <f>IFERROR(__xludf.DUMMYFUNCTION("""COMPUTED_VALUE"""),45424.79446759259)</f>
        <v>45424.79447</v>
      </c>
      <c r="C1424" s="5" t="str">
        <f>IFERROR(__xludf.DUMMYFUNCTION("""COMPUTED_VALUE"""),"purchase")</f>
        <v>purchase</v>
      </c>
      <c r="D1424" s="10">
        <f t="shared" si="1"/>
        <v>45424</v>
      </c>
      <c r="E1424" s="10">
        <f t="shared" si="2"/>
        <v>45418</v>
      </c>
      <c r="F1424" s="10">
        <f t="shared" si="3"/>
        <v>45413</v>
      </c>
      <c r="G1424" s="11"/>
    </row>
    <row r="1425">
      <c r="A1425" s="5">
        <f>IFERROR(__xludf.DUMMYFUNCTION("""COMPUTED_VALUE"""),6804.0)</f>
        <v>6804</v>
      </c>
      <c r="B1425" s="9">
        <f>IFERROR(__xludf.DUMMYFUNCTION("""COMPUTED_VALUE"""),45424.93739583333)</f>
        <v>45424.9374</v>
      </c>
      <c r="C1425" s="5" t="str">
        <f>IFERROR(__xludf.DUMMYFUNCTION("""COMPUTED_VALUE"""),"purchase")</f>
        <v>purchase</v>
      </c>
      <c r="D1425" s="10">
        <f t="shared" si="1"/>
        <v>45424</v>
      </c>
      <c r="E1425" s="10">
        <f t="shared" si="2"/>
        <v>45418</v>
      </c>
      <c r="F1425" s="10">
        <f t="shared" si="3"/>
        <v>45413</v>
      </c>
      <c r="G1425" s="11"/>
    </row>
    <row r="1426">
      <c r="A1426" s="5">
        <f>IFERROR(__xludf.DUMMYFUNCTION("""COMPUTED_VALUE"""),4395.0)</f>
        <v>4395</v>
      </c>
      <c r="B1426" s="9">
        <f>IFERROR(__xludf.DUMMYFUNCTION("""COMPUTED_VALUE"""),45424.979467592595)</f>
        <v>45424.97947</v>
      </c>
      <c r="C1426" s="5" t="str">
        <f>IFERROR(__xludf.DUMMYFUNCTION("""COMPUTED_VALUE"""),"purchase")</f>
        <v>purchase</v>
      </c>
      <c r="D1426" s="10">
        <f t="shared" si="1"/>
        <v>45424</v>
      </c>
      <c r="E1426" s="10">
        <f t="shared" si="2"/>
        <v>45418</v>
      </c>
      <c r="F1426" s="10">
        <f t="shared" si="3"/>
        <v>45413</v>
      </c>
      <c r="G1426" s="11"/>
    </row>
    <row r="1427">
      <c r="A1427" s="5">
        <f>IFERROR(__xludf.DUMMYFUNCTION("""COMPUTED_VALUE"""),6823.0)</f>
        <v>6823</v>
      </c>
      <c r="B1427" s="9">
        <f>IFERROR(__xludf.DUMMYFUNCTION("""COMPUTED_VALUE"""),45424.985925925925)</f>
        <v>45424.98593</v>
      </c>
      <c r="C1427" s="5" t="str">
        <f>IFERROR(__xludf.DUMMYFUNCTION("""COMPUTED_VALUE"""),"purchase")</f>
        <v>purchase</v>
      </c>
      <c r="D1427" s="10">
        <f t="shared" si="1"/>
        <v>45424</v>
      </c>
      <c r="E1427" s="10">
        <f t="shared" si="2"/>
        <v>45418</v>
      </c>
      <c r="F1427" s="10">
        <f t="shared" si="3"/>
        <v>45413</v>
      </c>
      <c r="G1427" s="11"/>
    </row>
    <row r="1428">
      <c r="A1428" s="5">
        <f>IFERROR(__xludf.DUMMYFUNCTION("""COMPUTED_VALUE"""),4845.0)</f>
        <v>4845</v>
      </c>
      <c r="B1428" s="9">
        <f>IFERROR(__xludf.DUMMYFUNCTION("""COMPUTED_VALUE"""),45425.02820601852)</f>
        <v>45425.02821</v>
      </c>
      <c r="C1428" s="5" t="str">
        <f>IFERROR(__xludf.DUMMYFUNCTION("""COMPUTED_VALUE"""),"purchase")</f>
        <v>purchase</v>
      </c>
      <c r="D1428" s="10">
        <f t="shared" si="1"/>
        <v>45425</v>
      </c>
      <c r="E1428" s="10">
        <f t="shared" si="2"/>
        <v>45425</v>
      </c>
      <c r="F1428" s="10">
        <f t="shared" si="3"/>
        <v>45413</v>
      </c>
      <c r="G1428" s="11"/>
    </row>
    <row r="1429">
      <c r="A1429" s="5">
        <f>IFERROR(__xludf.DUMMYFUNCTION("""COMPUTED_VALUE"""),7444.0)</f>
        <v>7444</v>
      </c>
      <c r="B1429" s="9">
        <f>IFERROR(__xludf.DUMMYFUNCTION("""COMPUTED_VALUE"""),45425.13104166667)</f>
        <v>45425.13104</v>
      </c>
      <c r="C1429" s="5" t="str">
        <f>IFERROR(__xludf.DUMMYFUNCTION("""COMPUTED_VALUE"""),"purchase")</f>
        <v>purchase</v>
      </c>
      <c r="D1429" s="10">
        <f t="shared" si="1"/>
        <v>45425</v>
      </c>
      <c r="E1429" s="10">
        <f t="shared" si="2"/>
        <v>45425</v>
      </c>
      <c r="F1429" s="10">
        <f t="shared" si="3"/>
        <v>45413</v>
      </c>
      <c r="G1429" s="11"/>
    </row>
    <row r="1430">
      <c r="A1430" s="5">
        <f>IFERROR(__xludf.DUMMYFUNCTION("""COMPUTED_VALUE"""),1503.0)</f>
        <v>1503</v>
      </c>
      <c r="B1430" s="9">
        <f>IFERROR(__xludf.DUMMYFUNCTION("""COMPUTED_VALUE"""),45425.249074074076)</f>
        <v>45425.24907</v>
      </c>
      <c r="C1430" s="5" t="str">
        <f>IFERROR(__xludf.DUMMYFUNCTION("""COMPUTED_VALUE"""),"purchase")</f>
        <v>purchase</v>
      </c>
      <c r="D1430" s="10">
        <f t="shared" si="1"/>
        <v>45425</v>
      </c>
      <c r="E1430" s="10">
        <f t="shared" si="2"/>
        <v>45425</v>
      </c>
      <c r="F1430" s="10">
        <f t="shared" si="3"/>
        <v>45413</v>
      </c>
      <c r="G1430" s="11"/>
    </row>
    <row r="1431">
      <c r="A1431" s="5">
        <f>IFERROR(__xludf.DUMMYFUNCTION("""COMPUTED_VALUE"""),3358.0)</f>
        <v>3358</v>
      </c>
      <c r="B1431" s="9">
        <f>IFERROR(__xludf.DUMMYFUNCTION("""COMPUTED_VALUE"""),45425.30107638889)</f>
        <v>45425.30108</v>
      </c>
      <c r="C1431" s="5" t="str">
        <f>IFERROR(__xludf.DUMMYFUNCTION("""COMPUTED_VALUE"""),"purchase")</f>
        <v>purchase</v>
      </c>
      <c r="D1431" s="10">
        <f t="shared" si="1"/>
        <v>45425</v>
      </c>
      <c r="E1431" s="10">
        <f t="shared" si="2"/>
        <v>45425</v>
      </c>
      <c r="F1431" s="10">
        <f t="shared" si="3"/>
        <v>45413</v>
      </c>
      <c r="G1431" s="11"/>
    </row>
    <row r="1432">
      <c r="A1432" s="5">
        <f>IFERROR(__xludf.DUMMYFUNCTION("""COMPUTED_VALUE"""),3321.0)</f>
        <v>3321</v>
      </c>
      <c r="B1432" s="9">
        <f>IFERROR(__xludf.DUMMYFUNCTION("""COMPUTED_VALUE"""),45425.307662037034)</f>
        <v>45425.30766</v>
      </c>
      <c r="C1432" s="5" t="str">
        <f>IFERROR(__xludf.DUMMYFUNCTION("""COMPUTED_VALUE"""),"purchase")</f>
        <v>purchase</v>
      </c>
      <c r="D1432" s="10">
        <f t="shared" si="1"/>
        <v>45425</v>
      </c>
      <c r="E1432" s="10">
        <f t="shared" si="2"/>
        <v>45425</v>
      </c>
      <c r="F1432" s="10">
        <f t="shared" si="3"/>
        <v>45413</v>
      </c>
      <c r="G1432" s="11"/>
    </row>
    <row r="1433">
      <c r="A1433" s="5">
        <f>IFERROR(__xludf.DUMMYFUNCTION("""COMPUTED_VALUE"""),5267.0)</f>
        <v>5267</v>
      </c>
      <c r="B1433" s="9">
        <f>IFERROR(__xludf.DUMMYFUNCTION("""COMPUTED_VALUE"""),45425.316828703704)</f>
        <v>45425.31683</v>
      </c>
      <c r="C1433" s="5" t="str">
        <f>IFERROR(__xludf.DUMMYFUNCTION("""COMPUTED_VALUE"""),"purchase")</f>
        <v>purchase</v>
      </c>
      <c r="D1433" s="10">
        <f t="shared" si="1"/>
        <v>45425</v>
      </c>
      <c r="E1433" s="10">
        <f t="shared" si="2"/>
        <v>45425</v>
      </c>
      <c r="F1433" s="10">
        <f t="shared" si="3"/>
        <v>45413</v>
      </c>
      <c r="G1433" s="11"/>
    </row>
    <row r="1434">
      <c r="A1434" s="5">
        <f>IFERROR(__xludf.DUMMYFUNCTION("""COMPUTED_VALUE"""),438.0)</f>
        <v>438</v>
      </c>
      <c r="B1434" s="9">
        <f>IFERROR(__xludf.DUMMYFUNCTION("""COMPUTED_VALUE"""),45425.34107638889)</f>
        <v>45425.34108</v>
      </c>
      <c r="C1434" s="5" t="str">
        <f>IFERROR(__xludf.DUMMYFUNCTION("""COMPUTED_VALUE"""),"purchase")</f>
        <v>purchase</v>
      </c>
      <c r="D1434" s="10">
        <f t="shared" si="1"/>
        <v>45425</v>
      </c>
      <c r="E1434" s="10">
        <f t="shared" si="2"/>
        <v>45425</v>
      </c>
      <c r="F1434" s="10">
        <f t="shared" si="3"/>
        <v>45413</v>
      </c>
      <c r="G1434" s="11"/>
    </row>
    <row r="1435">
      <c r="A1435" s="5">
        <f>IFERROR(__xludf.DUMMYFUNCTION("""COMPUTED_VALUE"""),4303.0)</f>
        <v>4303</v>
      </c>
      <c r="B1435" s="9">
        <f>IFERROR(__xludf.DUMMYFUNCTION("""COMPUTED_VALUE"""),45425.514016203706)</f>
        <v>45425.51402</v>
      </c>
      <c r="C1435" s="5" t="str">
        <f>IFERROR(__xludf.DUMMYFUNCTION("""COMPUTED_VALUE"""),"purchase")</f>
        <v>purchase</v>
      </c>
      <c r="D1435" s="10">
        <f t="shared" si="1"/>
        <v>45425</v>
      </c>
      <c r="E1435" s="10">
        <f t="shared" si="2"/>
        <v>45425</v>
      </c>
      <c r="F1435" s="10">
        <f t="shared" si="3"/>
        <v>45413</v>
      </c>
      <c r="G1435" s="11"/>
    </row>
    <row r="1436">
      <c r="A1436" s="5">
        <f>IFERROR(__xludf.DUMMYFUNCTION("""COMPUTED_VALUE"""),795.0)</f>
        <v>795</v>
      </c>
      <c r="B1436" s="9">
        <f>IFERROR(__xludf.DUMMYFUNCTION("""COMPUTED_VALUE"""),45425.625555555554)</f>
        <v>45425.62556</v>
      </c>
      <c r="C1436" s="5" t="str">
        <f>IFERROR(__xludf.DUMMYFUNCTION("""COMPUTED_VALUE"""),"purchase")</f>
        <v>purchase</v>
      </c>
      <c r="D1436" s="10">
        <f t="shared" si="1"/>
        <v>45425</v>
      </c>
      <c r="E1436" s="10">
        <f t="shared" si="2"/>
        <v>45425</v>
      </c>
      <c r="F1436" s="10">
        <f t="shared" si="3"/>
        <v>45413</v>
      </c>
      <c r="G1436" s="11"/>
    </row>
    <row r="1437">
      <c r="A1437" s="5">
        <f>IFERROR(__xludf.DUMMYFUNCTION("""COMPUTED_VALUE"""),2624.0)</f>
        <v>2624</v>
      </c>
      <c r="B1437" s="9">
        <f>IFERROR(__xludf.DUMMYFUNCTION("""COMPUTED_VALUE"""),45425.676574074074)</f>
        <v>45425.67657</v>
      </c>
      <c r="C1437" s="5" t="str">
        <f>IFERROR(__xludf.DUMMYFUNCTION("""COMPUTED_VALUE"""),"purchase")</f>
        <v>purchase</v>
      </c>
      <c r="D1437" s="10">
        <f t="shared" si="1"/>
        <v>45425</v>
      </c>
      <c r="E1437" s="10">
        <f t="shared" si="2"/>
        <v>45425</v>
      </c>
      <c r="F1437" s="10">
        <f t="shared" si="3"/>
        <v>45413</v>
      </c>
      <c r="G1437" s="11"/>
    </row>
    <row r="1438">
      <c r="A1438" s="5">
        <f>IFERROR(__xludf.DUMMYFUNCTION("""COMPUTED_VALUE"""),7900.0)</f>
        <v>7900</v>
      </c>
      <c r="B1438" s="9">
        <f>IFERROR(__xludf.DUMMYFUNCTION("""COMPUTED_VALUE"""),45425.682025462964)</f>
        <v>45425.68203</v>
      </c>
      <c r="C1438" s="5" t="str">
        <f>IFERROR(__xludf.DUMMYFUNCTION("""COMPUTED_VALUE"""),"purchase")</f>
        <v>purchase</v>
      </c>
      <c r="D1438" s="10">
        <f t="shared" si="1"/>
        <v>45425</v>
      </c>
      <c r="E1438" s="10">
        <f t="shared" si="2"/>
        <v>45425</v>
      </c>
      <c r="F1438" s="10">
        <f t="shared" si="3"/>
        <v>45413</v>
      </c>
      <c r="G1438" s="11"/>
    </row>
    <row r="1439">
      <c r="A1439" s="5">
        <f>IFERROR(__xludf.DUMMYFUNCTION("""COMPUTED_VALUE"""),5923.0)</f>
        <v>5923</v>
      </c>
      <c r="B1439" s="9">
        <f>IFERROR(__xludf.DUMMYFUNCTION("""COMPUTED_VALUE"""),45425.72337962963)</f>
        <v>45425.72338</v>
      </c>
      <c r="C1439" s="5" t="str">
        <f>IFERROR(__xludf.DUMMYFUNCTION("""COMPUTED_VALUE"""),"purchase")</f>
        <v>purchase</v>
      </c>
      <c r="D1439" s="10">
        <f t="shared" si="1"/>
        <v>45425</v>
      </c>
      <c r="E1439" s="10">
        <f t="shared" si="2"/>
        <v>45425</v>
      </c>
      <c r="F1439" s="10">
        <f t="shared" si="3"/>
        <v>45413</v>
      </c>
      <c r="G1439" s="11"/>
    </row>
    <row r="1440">
      <c r="A1440" s="5">
        <f>IFERROR(__xludf.DUMMYFUNCTION("""COMPUTED_VALUE"""),2482.0)</f>
        <v>2482</v>
      </c>
      <c r="B1440" s="9">
        <f>IFERROR(__xludf.DUMMYFUNCTION("""COMPUTED_VALUE"""),45425.841631944444)</f>
        <v>45425.84163</v>
      </c>
      <c r="C1440" s="5" t="str">
        <f>IFERROR(__xludf.DUMMYFUNCTION("""COMPUTED_VALUE"""),"purchase")</f>
        <v>purchase</v>
      </c>
      <c r="D1440" s="10">
        <f t="shared" si="1"/>
        <v>45425</v>
      </c>
      <c r="E1440" s="10">
        <f t="shared" si="2"/>
        <v>45425</v>
      </c>
      <c r="F1440" s="10">
        <f t="shared" si="3"/>
        <v>45413</v>
      </c>
      <c r="G1440" s="11"/>
    </row>
    <row r="1441">
      <c r="A1441" s="5">
        <f>IFERROR(__xludf.DUMMYFUNCTION("""COMPUTED_VALUE"""),3613.0)</f>
        <v>3613</v>
      </c>
      <c r="B1441" s="9">
        <f>IFERROR(__xludf.DUMMYFUNCTION("""COMPUTED_VALUE"""),45425.84811342593)</f>
        <v>45425.84811</v>
      </c>
      <c r="C1441" s="5" t="str">
        <f>IFERROR(__xludf.DUMMYFUNCTION("""COMPUTED_VALUE"""),"purchase")</f>
        <v>purchase</v>
      </c>
      <c r="D1441" s="10">
        <f t="shared" si="1"/>
        <v>45425</v>
      </c>
      <c r="E1441" s="10">
        <f t="shared" si="2"/>
        <v>45425</v>
      </c>
      <c r="F1441" s="10">
        <f t="shared" si="3"/>
        <v>45413</v>
      </c>
      <c r="G1441" s="11"/>
    </row>
    <row r="1442">
      <c r="A1442" s="5">
        <f>IFERROR(__xludf.DUMMYFUNCTION("""COMPUTED_VALUE"""),4196.0)</f>
        <v>4196</v>
      </c>
      <c r="B1442" s="9">
        <f>IFERROR(__xludf.DUMMYFUNCTION("""COMPUTED_VALUE"""),45425.855844907404)</f>
        <v>45425.85584</v>
      </c>
      <c r="C1442" s="5" t="str">
        <f>IFERROR(__xludf.DUMMYFUNCTION("""COMPUTED_VALUE"""),"purchase")</f>
        <v>purchase</v>
      </c>
      <c r="D1442" s="10">
        <f t="shared" si="1"/>
        <v>45425</v>
      </c>
      <c r="E1442" s="10">
        <f t="shared" si="2"/>
        <v>45425</v>
      </c>
      <c r="F1442" s="10">
        <f t="shared" si="3"/>
        <v>45413</v>
      </c>
      <c r="G1442" s="11"/>
    </row>
    <row r="1443">
      <c r="A1443" s="5">
        <f>IFERROR(__xludf.DUMMYFUNCTION("""COMPUTED_VALUE"""),7052.0)</f>
        <v>7052</v>
      </c>
      <c r="B1443" s="9">
        <f>IFERROR(__xludf.DUMMYFUNCTION("""COMPUTED_VALUE"""),45425.89258101852)</f>
        <v>45425.89258</v>
      </c>
      <c r="C1443" s="5" t="str">
        <f>IFERROR(__xludf.DUMMYFUNCTION("""COMPUTED_VALUE"""),"purchase")</f>
        <v>purchase</v>
      </c>
      <c r="D1443" s="10">
        <f t="shared" si="1"/>
        <v>45425</v>
      </c>
      <c r="E1443" s="10">
        <f t="shared" si="2"/>
        <v>45425</v>
      </c>
      <c r="F1443" s="10">
        <f t="shared" si="3"/>
        <v>45413</v>
      </c>
      <c r="G1443" s="11"/>
    </row>
    <row r="1444">
      <c r="A1444" s="5">
        <f>IFERROR(__xludf.DUMMYFUNCTION("""COMPUTED_VALUE"""),6061.0)</f>
        <v>6061</v>
      </c>
      <c r="B1444" s="9">
        <f>IFERROR(__xludf.DUMMYFUNCTION("""COMPUTED_VALUE"""),45425.962789351855)</f>
        <v>45425.96279</v>
      </c>
      <c r="C1444" s="5" t="str">
        <f>IFERROR(__xludf.DUMMYFUNCTION("""COMPUTED_VALUE"""),"purchase")</f>
        <v>purchase</v>
      </c>
      <c r="D1444" s="10">
        <f t="shared" si="1"/>
        <v>45425</v>
      </c>
      <c r="E1444" s="10">
        <f t="shared" si="2"/>
        <v>45425</v>
      </c>
      <c r="F1444" s="10">
        <f t="shared" si="3"/>
        <v>45413</v>
      </c>
      <c r="G1444" s="11"/>
    </row>
    <row r="1445">
      <c r="A1445" s="5">
        <f>IFERROR(__xludf.DUMMYFUNCTION("""COMPUTED_VALUE"""),7794.0)</f>
        <v>7794</v>
      </c>
      <c r="B1445" s="9">
        <f>IFERROR(__xludf.DUMMYFUNCTION("""COMPUTED_VALUE"""),45426.17915509259)</f>
        <v>45426.17916</v>
      </c>
      <c r="C1445" s="5" t="str">
        <f>IFERROR(__xludf.DUMMYFUNCTION("""COMPUTED_VALUE"""),"purchase")</f>
        <v>purchase</v>
      </c>
      <c r="D1445" s="10">
        <f t="shared" si="1"/>
        <v>45426</v>
      </c>
      <c r="E1445" s="10">
        <f t="shared" si="2"/>
        <v>45425</v>
      </c>
      <c r="F1445" s="10">
        <f t="shared" si="3"/>
        <v>45413</v>
      </c>
      <c r="G1445" s="11"/>
    </row>
    <row r="1446">
      <c r="A1446" s="5">
        <f>IFERROR(__xludf.DUMMYFUNCTION("""COMPUTED_VALUE"""),3108.0)</f>
        <v>3108</v>
      </c>
      <c r="B1446" s="9">
        <f>IFERROR(__xludf.DUMMYFUNCTION("""COMPUTED_VALUE"""),45426.194872685184)</f>
        <v>45426.19487</v>
      </c>
      <c r="C1446" s="5" t="str">
        <f>IFERROR(__xludf.DUMMYFUNCTION("""COMPUTED_VALUE"""),"purchase")</f>
        <v>purchase</v>
      </c>
      <c r="D1446" s="10">
        <f t="shared" si="1"/>
        <v>45426</v>
      </c>
      <c r="E1446" s="10">
        <f t="shared" si="2"/>
        <v>45425</v>
      </c>
      <c r="F1446" s="10">
        <f t="shared" si="3"/>
        <v>45413</v>
      </c>
      <c r="G1446" s="11"/>
    </row>
    <row r="1447">
      <c r="A1447" s="5">
        <f>IFERROR(__xludf.DUMMYFUNCTION("""COMPUTED_VALUE"""),7908.0)</f>
        <v>7908</v>
      </c>
      <c r="B1447" s="9">
        <f>IFERROR(__xludf.DUMMYFUNCTION("""COMPUTED_VALUE"""),45426.248136574075)</f>
        <v>45426.24814</v>
      </c>
      <c r="C1447" s="5" t="str">
        <f>IFERROR(__xludf.DUMMYFUNCTION("""COMPUTED_VALUE"""),"purchase")</f>
        <v>purchase</v>
      </c>
      <c r="D1447" s="10">
        <f t="shared" si="1"/>
        <v>45426</v>
      </c>
      <c r="E1447" s="10">
        <f t="shared" si="2"/>
        <v>45425</v>
      </c>
      <c r="F1447" s="10">
        <f t="shared" si="3"/>
        <v>45413</v>
      </c>
      <c r="G1447" s="11"/>
    </row>
    <row r="1448">
      <c r="A1448" s="5">
        <f>IFERROR(__xludf.DUMMYFUNCTION("""COMPUTED_VALUE"""),1558.0)</f>
        <v>1558</v>
      </c>
      <c r="B1448" s="9">
        <f>IFERROR(__xludf.DUMMYFUNCTION("""COMPUTED_VALUE"""),45426.357569444444)</f>
        <v>45426.35757</v>
      </c>
      <c r="C1448" s="5" t="str">
        <f>IFERROR(__xludf.DUMMYFUNCTION("""COMPUTED_VALUE"""),"purchase")</f>
        <v>purchase</v>
      </c>
      <c r="D1448" s="10">
        <f t="shared" si="1"/>
        <v>45426</v>
      </c>
      <c r="E1448" s="10">
        <f t="shared" si="2"/>
        <v>45425</v>
      </c>
      <c r="F1448" s="10">
        <f t="shared" si="3"/>
        <v>45413</v>
      </c>
      <c r="G1448" s="11"/>
    </row>
    <row r="1449">
      <c r="A1449" s="5">
        <f>IFERROR(__xludf.DUMMYFUNCTION("""COMPUTED_VALUE"""),7222.0)</f>
        <v>7222</v>
      </c>
      <c r="B1449" s="9">
        <f>IFERROR(__xludf.DUMMYFUNCTION("""COMPUTED_VALUE"""),45426.39363425926)</f>
        <v>45426.39363</v>
      </c>
      <c r="C1449" s="5" t="str">
        <f>IFERROR(__xludf.DUMMYFUNCTION("""COMPUTED_VALUE"""),"purchase")</f>
        <v>purchase</v>
      </c>
      <c r="D1449" s="10">
        <f t="shared" si="1"/>
        <v>45426</v>
      </c>
      <c r="E1449" s="10">
        <f t="shared" si="2"/>
        <v>45425</v>
      </c>
      <c r="F1449" s="10">
        <f t="shared" si="3"/>
        <v>45413</v>
      </c>
      <c r="G1449" s="11"/>
    </row>
    <row r="1450">
      <c r="A1450" s="5">
        <f>IFERROR(__xludf.DUMMYFUNCTION("""COMPUTED_VALUE"""),4249.0)</f>
        <v>4249</v>
      </c>
      <c r="B1450" s="9">
        <f>IFERROR(__xludf.DUMMYFUNCTION("""COMPUTED_VALUE"""),45426.403495370374)</f>
        <v>45426.4035</v>
      </c>
      <c r="C1450" s="5" t="str">
        <f>IFERROR(__xludf.DUMMYFUNCTION("""COMPUTED_VALUE"""),"purchase")</f>
        <v>purchase</v>
      </c>
      <c r="D1450" s="10">
        <f t="shared" si="1"/>
        <v>45426</v>
      </c>
      <c r="E1450" s="10">
        <f t="shared" si="2"/>
        <v>45425</v>
      </c>
      <c r="F1450" s="10">
        <f t="shared" si="3"/>
        <v>45413</v>
      </c>
      <c r="G1450" s="11"/>
    </row>
    <row r="1451">
      <c r="A1451" s="5">
        <f>IFERROR(__xludf.DUMMYFUNCTION("""COMPUTED_VALUE"""),1376.0)</f>
        <v>1376</v>
      </c>
      <c r="B1451" s="9">
        <f>IFERROR(__xludf.DUMMYFUNCTION("""COMPUTED_VALUE"""),45426.59181712963)</f>
        <v>45426.59182</v>
      </c>
      <c r="C1451" s="5" t="str">
        <f>IFERROR(__xludf.DUMMYFUNCTION("""COMPUTED_VALUE"""),"purchase")</f>
        <v>purchase</v>
      </c>
      <c r="D1451" s="10">
        <f t="shared" si="1"/>
        <v>45426</v>
      </c>
      <c r="E1451" s="10">
        <f t="shared" si="2"/>
        <v>45425</v>
      </c>
      <c r="F1451" s="10">
        <f t="shared" si="3"/>
        <v>45413</v>
      </c>
      <c r="G1451" s="11"/>
    </row>
    <row r="1452">
      <c r="A1452" s="5">
        <f>IFERROR(__xludf.DUMMYFUNCTION("""COMPUTED_VALUE"""),5825.0)</f>
        <v>5825</v>
      </c>
      <c r="B1452" s="9">
        <f>IFERROR(__xludf.DUMMYFUNCTION("""COMPUTED_VALUE"""),45426.5940162037)</f>
        <v>45426.59402</v>
      </c>
      <c r="C1452" s="5" t="str">
        <f>IFERROR(__xludf.DUMMYFUNCTION("""COMPUTED_VALUE"""),"purchase")</f>
        <v>purchase</v>
      </c>
      <c r="D1452" s="10">
        <f t="shared" si="1"/>
        <v>45426</v>
      </c>
      <c r="E1452" s="10">
        <f t="shared" si="2"/>
        <v>45425</v>
      </c>
      <c r="F1452" s="10">
        <f t="shared" si="3"/>
        <v>45413</v>
      </c>
      <c r="G1452" s="11"/>
    </row>
    <row r="1453">
      <c r="A1453" s="5">
        <f>IFERROR(__xludf.DUMMYFUNCTION("""COMPUTED_VALUE"""),5817.0)</f>
        <v>5817</v>
      </c>
      <c r="B1453" s="9">
        <f>IFERROR(__xludf.DUMMYFUNCTION("""COMPUTED_VALUE"""),45426.76871527778)</f>
        <v>45426.76872</v>
      </c>
      <c r="C1453" s="5" t="str">
        <f>IFERROR(__xludf.DUMMYFUNCTION("""COMPUTED_VALUE"""),"purchase")</f>
        <v>purchase</v>
      </c>
      <c r="D1453" s="10">
        <f t="shared" si="1"/>
        <v>45426</v>
      </c>
      <c r="E1453" s="10">
        <f t="shared" si="2"/>
        <v>45425</v>
      </c>
      <c r="F1453" s="10">
        <f t="shared" si="3"/>
        <v>45413</v>
      </c>
      <c r="G1453" s="11"/>
    </row>
    <row r="1454">
      <c r="A1454" s="5">
        <f>IFERROR(__xludf.DUMMYFUNCTION("""COMPUTED_VALUE"""),2645.0)</f>
        <v>2645</v>
      </c>
      <c r="B1454" s="9">
        <f>IFERROR(__xludf.DUMMYFUNCTION("""COMPUTED_VALUE"""),45426.78739583334)</f>
        <v>45426.7874</v>
      </c>
      <c r="C1454" s="5" t="str">
        <f>IFERROR(__xludf.DUMMYFUNCTION("""COMPUTED_VALUE"""),"purchase")</f>
        <v>purchase</v>
      </c>
      <c r="D1454" s="10">
        <f t="shared" si="1"/>
        <v>45426</v>
      </c>
      <c r="E1454" s="10">
        <f t="shared" si="2"/>
        <v>45425</v>
      </c>
      <c r="F1454" s="10">
        <f t="shared" si="3"/>
        <v>45413</v>
      </c>
      <c r="G1454" s="11"/>
    </row>
    <row r="1455">
      <c r="A1455" s="5">
        <f>IFERROR(__xludf.DUMMYFUNCTION("""COMPUTED_VALUE"""),2273.0)</f>
        <v>2273</v>
      </c>
      <c r="B1455" s="9">
        <f>IFERROR(__xludf.DUMMYFUNCTION("""COMPUTED_VALUE"""),45426.84758101852)</f>
        <v>45426.84758</v>
      </c>
      <c r="C1455" s="5" t="str">
        <f>IFERROR(__xludf.DUMMYFUNCTION("""COMPUTED_VALUE"""),"purchase")</f>
        <v>purchase</v>
      </c>
      <c r="D1455" s="10">
        <f t="shared" si="1"/>
        <v>45426</v>
      </c>
      <c r="E1455" s="10">
        <f t="shared" si="2"/>
        <v>45425</v>
      </c>
      <c r="F1455" s="10">
        <f t="shared" si="3"/>
        <v>45413</v>
      </c>
      <c r="G1455" s="11"/>
    </row>
    <row r="1456">
      <c r="A1456" s="5">
        <f>IFERROR(__xludf.DUMMYFUNCTION("""COMPUTED_VALUE"""),7688.0)</f>
        <v>7688</v>
      </c>
      <c r="B1456" s="9">
        <f>IFERROR(__xludf.DUMMYFUNCTION("""COMPUTED_VALUE"""),45426.95846064815)</f>
        <v>45426.95846</v>
      </c>
      <c r="C1456" s="5" t="str">
        <f>IFERROR(__xludf.DUMMYFUNCTION("""COMPUTED_VALUE"""),"purchase")</f>
        <v>purchase</v>
      </c>
      <c r="D1456" s="10">
        <f t="shared" si="1"/>
        <v>45426</v>
      </c>
      <c r="E1456" s="10">
        <f t="shared" si="2"/>
        <v>45425</v>
      </c>
      <c r="F1456" s="10">
        <f t="shared" si="3"/>
        <v>45413</v>
      </c>
      <c r="G1456" s="11"/>
    </row>
    <row r="1457">
      <c r="A1457" s="5">
        <f>IFERROR(__xludf.DUMMYFUNCTION("""COMPUTED_VALUE"""),6648.0)</f>
        <v>6648</v>
      </c>
      <c r="B1457" s="9">
        <f>IFERROR(__xludf.DUMMYFUNCTION("""COMPUTED_VALUE"""),45426.963692129626)</f>
        <v>45426.96369</v>
      </c>
      <c r="C1457" s="5" t="str">
        <f>IFERROR(__xludf.DUMMYFUNCTION("""COMPUTED_VALUE"""),"purchase")</f>
        <v>purchase</v>
      </c>
      <c r="D1457" s="10">
        <f t="shared" si="1"/>
        <v>45426</v>
      </c>
      <c r="E1457" s="10">
        <f t="shared" si="2"/>
        <v>45425</v>
      </c>
      <c r="F1457" s="10">
        <f t="shared" si="3"/>
        <v>45413</v>
      </c>
      <c r="G1457" s="11"/>
    </row>
    <row r="1458">
      <c r="A1458" s="5">
        <f>IFERROR(__xludf.DUMMYFUNCTION("""COMPUTED_VALUE"""),806.0)</f>
        <v>806</v>
      </c>
      <c r="B1458" s="9">
        <f>IFERROR(__xludf.DUMMYFUNCTION("""COMPUTED_VALUE"""),45427.11363425926)</f>
        <v>45427.11363</v>
      </c>
      <c r="C1458" s="5" t="str">
        <f>IFERROR(__xludf.DUMMYFUNCTION("""COMPUTED_VALUE"""),"purchase")</f>
        <v>purchase</v>
      </c>
      <c r="D1458" s="10">
        <f t="shared" si="1"/>
        <v>45427</v>
      </c>
      <c r="E1458" s="10">
        <f t="shared" si="2"/>
        <v>45425</v>
      </c>
      <c r="F1458" s="10">
        <f t="shared" si="3"/>
        <v>45413</v>
      </c>
      <c r="G1458" s="11"/>
    </row>
    <row r="1459">
      <c r="A1459" s="5">
        <f>IFERROR(__xludf.DUMMYFUNCTION("""COMPUTED_VALUE"""),3704.0)</f>
        <v>3704</v>
      </c>
      <c r="B1459" s="9">
        <f>IFERROR(__xludf.DUMMYFUNCTION("""COMPUTED_VALUE"""),45427.17611111111)</f>
        <v>45427.17611</v>
      </c>
      <c r="C1459" s="5" t="str">
        <f>IFERROR(__xludf.DUMMYFUNCTION("""COMPUTED_VALUE"""),"purchase")</f>
        <v>purchase</v>
      </c>
      <c r="D1459" s="10">
        <f t="shared" si="1"/>
        <v>45427</v>
      </c>
      <c r="E1459" s="10">
        <f t="shared" si="2"/>
        <v>45425</v>
      </c>
      <c r="F1459" s="10">
        <f t="shared" si="3"/>
        <v>45413</v>
      </c>
      <c r="G1459" s="11"/>
    </row>
    <row r="1460">
      <c r="A1460" s="5">
        <f>IFERROR(__xludf.DUMMYFUNCTION("""COMPUTED_VALUE"""),6426.0)</f>
        <v>6426</v>
      </c>
      <c r="B1460" s="9">
        <f>IFERROR(__xludf.DUMMYFUNCTION("""COMPUTED_VALUE"""),45427.29491898148)</f>
        <v>45427.29492</v>
      </c>
      <c r="C1460" s="5" t="str">
        <f>IFERROR(__xludf.DUMMYFUNCTION("""COMPUTED_VALUE"""),"purchase")</f>
        <v>purchase</v>
      </c>
      <c r="D1460" s="10">
        <f t="shared" si="1"/>
        <v>45427</v>
      </c>
      <c r="E1460" s="10">
        <f t="shared" si="2"/>
        <v>45425</v>
      </c>
      <c r="F1460" s="10">
        <f t="shared" si="3"/>
        <v>45413</v>
      </c>
      <c r="G1460" s="11"/>
    </row>
    <row r="1461">
      <c r="A1461" s="5">
        <f>IFERROR(__xludf.DUMMYFUNCTION("""COMPUTED_VALUE"""),1216.0)</f>
        <v>1216</v>
      </c>
      <c r="B1461" s="9">
        <f>IFERROR(__xludf.DUMMYFUNCTION("""COMPUTED_VALUE"""),45427.38193287037)</f>
        <v>45427.38193</v>
      </c>
      <c r="C1461" s="5" t="str">
        <f>IFERROR(__xludf.DUMMYFUNCTION("""COMPUTED_VALUE"""),"purchase")</f>
        <v>purchase</v>
      </c>
      <c r="D1461" s="10">
        <f t="shared" si="1"/>
        <v>45427</v>
      </c>
      <c r="E1461" s="10">
        <f t="shared" si="2"/>
        <v>45425</v>
      </c>
      <c r="F1461" s="10">
        <f t="shared" si="3"/>
        <v>45413</v>
      </c>
      <c r="G1461" s="11"/>
    </row>
    <row r="1462">
      <c r="A1462" s="5">
        <f>IFERROR(__xludf.DUMMYFUNCTION("""COMPUTED_VALUE"""),5492.0)</f>
        <v>5492</v>
      </c>
      <c r="B1462" s="9">
        <f>IFERROR(__xludf.DUMMYFUNCTION("""COMPUTED_VALUE"""),45427.38353009259)</f>
        <v>45427.38353</v>
      </c>
      <c r="C1462" s="5" t="str">
        <f>IFERROR(__xludf.DUMMYFUNCTION("""COMPUTED_VALUE"""),"purchase")</f>
        <v>purchase</v>
      </c>
      <c r="D1462" s="10">
        <f t="shared" si="1"/>
        <v>45427</v>
      </c>
      <c r="E1462" s="10">
        <f t="shared" si="2"/>
        <v>45425</v>
      </c>
      <c r="F1462" s="10">
        <f t="shared" si="3"/>
        <v>45413</v>
      </c>
      <c r="G1462" s="11"/>
    </row>
    <row r="1463">
      <c r="A1463" s="5">
        <f>IFERROR(__xludf.DUMMYFUNCTION("""COMPUTED_VALUE"""),3245.0)</f>
        <v>3245</v>
      </c>
      <c r="B1463" s="9">
        <f>IFERROR(__xludf.DUMMYFUNCTION("""COMPUTED_VALUE"""),45427.67621527778)</f>
        <v>45427.67622</v>
      </c>
      <c r="C1463" s="5" t="str">
        <f>IFERROR(__xludf.DUMMYFUNCTION("""COMPUTED_VALUE"""),"purchase")</f>
        <v>purchase</v>
      </c>
      <c r="D1463" s="10">
        <f t="shared" si="1"/>
        <v>45427</v>
      </c>
      <c r="E1463" s="10">
        <f t="shared" si="2"/>
        <v>45425</v>
      </c>
      <c r="F1463" s="10">
        <f t="shared" si="3"/>
        <v>45413</v>
      </c>
      <c r="G1463" s="11"/>
    </row>
    <row r="1464">
      <c r="A1464" s="5">
        <f>IFERROR(__xludf.DUMMYFUNCTION("""COMPUTED_VALUE"""),374.0)</f>
        <v>374</v>
      </c>
      <c r="B1464" s="9">
        <f>IFERROR(__xludf.DUMMYFUNCTION("""COMPUTED_VALUE"""),45427.85940972222)</f>
        <v>45427.85941</v>
      </c>
      <c r="C1464" s="5" t="str">
        <f>IFERROR(__xludf.DUMMYFUNCTION("""COMPUTED_VALUE"""),"purchase")</f>
        <v>purchase</v>
      </c>
      <c r="D1464" s="10">
        <f t="shared" si="1"/>
        <v>45427</v>
      </c>
      <c r="E1464" s="10">
        <f t="shared" si="2"/>
        <v>45425</v>
      </c>
      <c r="F1464" s="10">
        <f t="shared" si="3"/>
        <v>45413</v>
      </c>
      <c r="G1464" s="11"/>
    </row>
    <row r="1465">
      <c r="A1465" s="5">
        <f>IFERROR(__xludf.DUMMYFUNCTION("""COMPUTED_VALUE"""),5101.0)</f>
        <v>5101</v>
      </c>
      <c r="B1465" s="9">
        <f>IFERROR(__xludf.DUMMYFUNCTION("""COMPUTED_VALUE"""),45428.04414351852)</f>
        <v>45428.04414</v>
      </c>
      <c r="C1465" s="5" t="str">
        <f>IFERROR(__xludf.DUMMYFUNCTION("""COMPUTED_VALUE"""),"purchase")</f>
        <v>purchase</v>
      </c>
      <c r="D1465" s="10">
        <f t="shared" si="1"/>
        <v>45428</v>
      </c>
      <c r="E1465" s="10">
        <f t="shared" si="2"/>
        <v>45425</v>
      </c>
      <c r="F1465" s="10">
        <f t="shared" si="3"/>
        <v>45413</v>
      </c>
      <c r="G1465" s="11"/>
    </row>
    <row r="1466">
      <c r="A1466" s="5">
        <f>IFERROR(__xludf.DUMMYFUNCTION("""COMPUTED_VALUE"""),6675.0)</f>
        <v>6675</v>
      </c>
      <c r="B1466" s="9">
        <f>IFERROR(__xludf.DUMMYFUNCTION("""COMPUTED_VALUE"""),45428.06875)</f>
        <v>45428.06875</v>
      </c>
      <c r="C1466" s="5" t="str">
        <f>IFERROR(__xludf.DUMMYFUNCTION("""COMPUTED_VALUE"""),"purchase")</f>
        <v>purchase</v>
      </c>
      <c r="D1466" s="10">
        <f t="shared" si="1"/>
        <v>45428</v>
      </c>
      <c r="E1466" s="10">
        <f t="shared" si="2"/>
        <v>45425</v>
      </c>
      <c r="F1466" s="10">
        <f t="shared" si="3"/>
        <v>45413</v>
      </c>
      <c r="G1466" s="11"/>
    </row>
    <row r="1467">
      <c r="A1467" s="5">
        <f>IFERROR(__xludf.DUMMYFUNCTION("""COMPUTED_VALUE"""),1609.0)</f>
        <v>1609</v>
      </c>
      <c r="B1467" s="9">
        <f>IFERROR(__xludf.DUMMYFUNCTION("""COMPUTED_VALUE"""),45428.37834490741)</f>
        <v>45428.37834</v>
      </c>
      <c r="C1467" s="5" t="str">
        <f>IFERROR(__xludf.DUMMYFUNCTION("""COMPUTED_VALUE"""),"purchase")</f>
        <v>purchase</v>
      </c>
      <c r="D1467" s="10">
        <f t="shared" si="1"/>
        <v>45428</v>
      </c>
      <c r="E1467" s="10">
        <f t="shared" si="2"/>
        <v>45425</v>
      </c>
      <c r="F1467" s="10">
        <f t="shared" si="3"/>
        <v>45413</v>
      </c>
      <c r="G1467" s="11"/>
    </row>
    <row r="1468">
      <c r="A1468" s="5">
        <f>IFERROR(__xludf.DUMMYFUNCTION("""COMPUTED_VALUE"""),7519.0)</f>
        <v>7519</v>
      </c>
      <c r="B1468" s="9">
        <f>IFERROR(__xludf.DUMMYFUNCTION("""COMPUTED_VALUE"""),45428.593506944446)</f>
        <v>45428.59351</v>
      </c>
      <c r="C1468" s="5" t="str">
        <f>IFERROR(__xludf.DUMMYFUNCTION("""COMPUTED_VALUE"""),"purchase")</f>
        <v>purchase</v>
      </c>
      <c r="D1468" s="10">
        <f t="shared" si="1"/>
        <v>45428</v>
      </c>
      <c r="E1468" s="10">
        <f t="shared" si="2"/>
        <v>45425</v>
      </c>
      <c r="F1468" s="10">
        <f t="shared" si="3"/>
        <v>45413</v>
      </c>
      <c r="G1468" s="11"/>
    </row>
    <row r="1469">
      <c r="A1469" s="5">
        <f>IFERROR(__xludf.DUMMYFUNCTION("""COMPUTED_VALUE"""),683.0)</f>
        <v>683</v>
      </c>
      <c r="B1469" s="9">
        <f>IFERROR(__xludf.DUMMYFUNCTION("""COMPUTED_VALUE"""),45428.742430555554)</f>
        <v>45428.74243</v>
      </c>
      <c r="C1469" s="5" t="str">
        <f>IFERROR(__xludf.DUMMYFUNCTION("""COMPUTED_VALUE"""),"purchase")</f>
        <v>purchase</v>
      </c>
      <c r="D1469" s="10">
        <f t="shared" si="1"/>
        <v>45428</v>
      </c>
      <c r="E1469" s="10">
        <f t="shared" si="2"/>
        <v>45425</v>
      </c>
      <c r="F1469" s="10">
        <f t="shared" si="3"/>
        <v>45413</v>
      </c>
      <c r="G1469" s="11"/>
    </row>
    <row r="1470">
      <c r="A1470" s="5">
        <f>IFERROR(__xludf.DUMMYFUNCTION("""COMPUTED_VALUE"""),3572.0)</f>
        <v>3572</v>
      </c>
      <c r="B1470" s="9">
        <f>IFERROR(__xludf.DUMMYFUNCTION("""COMPUTED_VALUE"""),45428.846712962964)</f>
        <v>45428.84671</v>
      </c>
      <c r="C1470" s="5" t="str">
        <f>IFERROR(__xludf.DUMMYFUNCTION("""COMPUTED_VALUE"""),"purchase")</f>
        <v>purchase</v>
      </c>
      <c r="D1470" s="10">
        <f t="shared" si="1"/>
        <v>45428</v>
      </c>
      <c r="E1470" s="10">
        <f t="shared" si="2"/>
        <v>45425</v>
      </c>
      <c r="F1470" s="10">
        <f t="shared" si="3"/>
        <v>45413</v>
      </c>
      <c r="G1470" s="11"/>
    </row>
    <row r="1471">
      <c r="A1471" s="5">
        <f>IFERROR(__xludf.DUMMYFUNCTION("""COMPUTED_VALUE"""),627.0)</f>
        <v>627</v>
      </c>
      <c r="B1471" s="9">
        <f>IFERROR(__xludf.DUMMYFUNCTION("""COMPUTED_VALUE"""),45428.94462962963)</f>
        <v>45428.94463</v>
      </c>
      <c r="C1471" s="5" t="str">
        <f>IFERROR(__xludf.DUMMYFUNCTION("""COMPUTED_VALUE"""),"purchase")</f>
        <v>purchase</v>
      </c>
      <c r="D1471" s="10">
        <f t="shared" si="1"/>
        <v>45428</v>
      </c>
      <c r="E1471" s="10">
        <f t="shared" si="2"/>
        <v>45425</v>
      </c>
      <c r="F1471" s="10">
        <f t="shared" si="3"/>
        <v>45413</v>
      </c>
      <c r="G1471" s="11"/>
    </row>
    <row r="1472">
      <c r="A1472" s="5">
        <f>IFERROR(__xludf.DUMMYFUNCTION("""COMPUTED_VALUE"""),6035.0)</f>
        <v>6035</v>
      </c>
      <c r="B1472" s="9">
        <f>IFERROR(__xludf.DUMMYFUNCTION("""COMPUTED_VALUE"""),45428.9681712963)</f>
        <v>45428.96817</v>
      </c>
      <c r="C1472" s="5" t="str">
        <f>IFERROR(__xludf.DUMMYFUNCTION("""COMPUTED_VALUE"""),"purchase")</f>
        <v>purchase</v>
      </c>
      <c r="D1472" s="10">
        <f t="shared" si="1"/>
        <v>45428</v>
      </c>
      <c r="E1472" s="10">
        <f t="shared" si="2"/>
        <v>45425</v>
      </c>
      <c r="F1472" s="10">
        <f t="shared" si="3"/>
        <v>45413</v>
      </c>
      <c r="G1472" s="11"/>
    </row>
    <row r="1473">
      <c r="A1473" s="5">
        <f>IFERROR(__xludf.DUMMYFUNCTION("""COMPUTED_VALUE"""),1617.0)</f>
        <v>1617</v>
      </c>
      <c r="B1473" s="9">
        <f>IFERROR(__xludf.DUMMYFUNCTION("""COMPUTED_VALUE"""),45429.10375)</f>
        <v>45429.10375</v>
      </c>
      <c r="C1473" s="5" t="str">
        <f>IFERROR(__xludf.DUMMYFUNCTION("""COMPUTED_VALUE"""),"purchase")</f>
        <v>purchase</v>
      </c>
      <c r="D1473" s="10">
        <f t="shared" si="1"/>
        <v>45429</v>
      </c>
      <c r="E1473" s="10">
        <f t="shared" si="2"/>
        <v>45425</v>
      </c>
      <c r="F1473" s="10">
        <f t="shared" si="3"/>
        <v>45413</v>
      </c>
      <c r="G1473" s="11"/>
    </row>
    <row r="1474">
      <c r="A1474" s="5">
        <f>IFERROR(__xludf.DUMMYFUNCTION("""COMPUTED_VALUE"""),3379.0)</f>
        <v>3379</v>
      </c>
      <c r="B1474" s="9">
        <f>IFERROR(__xludf.DUMMYFUNCTION("""COMPUTED_VALUE"""),45429.134201388886)</f>
        <v>45429.1342</v>
      </c>
      <c r="C1474" s="5" t="str">
        <f>IFERROR(__xludf.DUMMYFUNCTION("""COMPUTED_VALUE"""),"purchase")</f>
        <v>purchase</v>
      </c>
      <c r="D1474" s="10">
        <f t="shared" si="1"/>
        <v>45429</v>
      </c>
      <c r="E1474" s="10">
        <f t="shared" si="2"/>
        <v>45425</v>
      </c>
      <c r="F1474" s="10">
        <f t="shared" si="3"/>
        <v>45413</v>
      </c>
      <c r="G1474" s="11"/>
    </row>
    <row r="1475">
      <c r="A1475" s="5">
        <f>IFERROR(__xludf.DUMMYFUNCTION("""COMPUTED_VALUE"""),6367.0)</f>
        <v>6367</v>
      </c>
      <c r="B1475" s="9">
        <f>IFERROR(__xludf.DUMMYFUNCTION("""COMPUTED_VALUE"""),45429.45758101852)</f>
        <v>45429.45758</v>
      </c>
      <c r="C1475" s="5" t="str">
        <f>IFERROR(__xludf.DUMMYFUNCTION("""COMPUTED_VALUE"""),"purchase")</f>
        <v>purchase</v>
      </c>
      <c r="D1475" s="10">
        <f t="shared" si="1"/>
        <v>45429</v>
      </c>
      <c r="E1475" s="10">
        <f t="shared" si="2"/>
        <v>45425</v>
      </c>
      <c r="F1475" s="10">
        <f t="shared" si="3"/>
        <v>45413</v>
      </c>
      <c r="G1475" s="11"/>
    </row>
    <row r="1476">
      <c r="A1476" s="5">
        <f>IFERROR(__xludf.DUMMYFUNCTION("""COMPUTED_VALUE"""),6343.0)</f>
        <v>6343</v>
      </c>
      <c r="B1476" s="9">
        <f>IFERROR(__xludf.DUMMYFUNCTION("""COMPUTED_VALUE"""),45429.518900462965)</f>
        <v>45429.5189</v>
      </c>
      <c r="C1476" s="5" t="str">
        <f>IFERROR(__xludf.DUMMYFUNCTION("""COMPUTED_VALUE"""),"purchase")</f>
        <v>purchase</v>
      </c>
      <c r="D1476" s="10">
        <f t="shared" si="1"/>
        <v>45429</v>
      </c>
      <c r="E1476" s="10">
        <f t="shared" si="2"/>
        <v>45425</v>
      </c>
      <c r="F1476" s="10">
        <f t="shared" si="3"/>
        <v>45413</v>
      </c>
      <c r="G1476" s="11"/>
    </row>
    <row r="1477">
      <c r="A1477" s="5">
        <f>IFERROR(__xludf.DUMMYFUNCTION("""COMPUTED_VALUE"""),1579.0)</f>
        <v>1579</v>
      </c>
      <c r="B1477" s="9">
        <f>IFERROR(__xludf.DUMMYFUNCTION("""COMPUTED_VALUE"""),45429.639131944445)</f>
        <v>45429.63913</v>
      </c>
      <c r="C1477" s="5" t="str">
        <f>IFERROR(__xludf.DUMMYFUNCTION("""COMPUTED_VALUE"""),"purchase")</f>
        <v>purchase</v>
      </c>
      <c r="D1477" s="10">
        <f t="shared" si="1"/>
        <v>45429</v>
      </c>
      <c r="E1477" s="10">
        <f t="shared" si="2"/>
        <v>45425</v>
      </c>
      <c r="F1477" s="10">
        <f t="shared" si="3"/>
        <v>45413</v>
      </c>
      <c r="G1477" s="11"/>
    </row>
    <row r="1478">
      <c r="A1478" s="5">
        <f>IFERROR(__xludf.DUMMYFUNCTION("""COMPUTED_VALUE"""),5295.0)</f>
        <v>5295</v>
      </c>
      <c r="B1478" s="9">
        <f>IFERROR(__xludf.DUMMYFUNCTION("""COMPUTED_VALUE"""),45429.726805555554)</f>
        <v>45429.72681</v>
      </c>
      <c r="C1478" s="5" t="str">
        <f>IFERROR(__xludf.DUMMYFUNCTION("""COMPUTED_VALUE"""),"purchase")</f>
        <v>purchase</v>
      </c>
      <c r="D1478" s="10">
        <f t="shared" si="1"/>
        <v>45429</v>
      </c>
      <c r="E1478" s="10">
        <f t="shared" si="2"/>
        <v>45425</v>
      </c>
      <c r="F1478" s="10">
        <f t="shared" si="3"/>
        <v>45413</v>
      </c>
      <c r="G1478" s="11"/>
    </row>
    <row r="1479">
      <c r="A1479" s="5">
        <f>IFERROR(__xludf.DUMMYFUNCTION("""COMPUTED_VALUE"""),4268.0)</f>
        <v>4268</v>
      </c>
      <c r="B1479" s="9">
        <f>IFERROR(__xludf.DUMMYFUNCTION("""COMPUTED_VALUE"""),45430.227164351854)</f>
        <v>45430.22716</v>
      </c>
      <c r="C1479" s="5" t="str">
        <f>IFERROR(__xludf.DUMMYFUNCTION("""COMPUTED_VALUE"""),"purchase")</f>
        <v>purchase</v>
      </c>
      <c r="D1479" s="10">
        <f t="shared" si="1"/>
        <v>45430</v>
      </c>
      <c r="E1479" s="10">
        <f t="shared" si="2"/>
        <v>45425</v>
      </c>
      <c r="F1479" s="10">
        <f t="shared" si="3"/>
        <v>45413</v>
      </c>
      <c r="G1479" s="11"/>
    </row>
    <row r="1480">
      <c r="A1480" s="5">
        <f>IFERROR(__xludf.DUMMYFUNCTION("""COMPUTED_VALUE"""),6002.0)</f>
        <v>6002</v>
      </c>
      <c r="B1480" s="9">
        <f>IFERROR(__xludf.DUMMYFUNCTION("""COMPUTED_VALUE"""),45430.26449074074)</f>
        <v>45430.26449</v>
      </c>
      <c r="C1480" s="5" t="str">
        <f>IFERROR(__xludf.DUMMYFUNCTION("""COMPUTED_VALUE"""),"purchase")</f>
        <v>purchase</v>
      </c>
      <c r="D1480" s="10">
        <f t="shared" si="1"/>
        <v>45430</v>
      </c>
      <c r="E1480" s="10">
        <f t="shared" si="2"/>
        <v>45425</v>
      </c>
      <c r="F1480" s="10">
        <f t="shared" si="3"/>
        <v>45413</v>
      </c>
      <c r="G1480" s="11"/>
    </row>
    <row r="1481">
      <c r="A1481" s="5">
        <f>IFERROR(__xludf.DUMMYFUNCTION("""COMPUTED_VALUE"""),5629.0)</f>
        <v>5629</v>
      </c>
      <c r="B1481" s="9">
        <f>IFERROR(__xludf.DUMMYFUNCTION("""COMPUTED_VALUE"""),45430.30684027778)</f>
        <v>45430.30684</v>
      </c>
      <c r="C1481" s="5" t="str">
        <f>IFERROR(__xludf.DUMMYFUNCTION("""COMPUTED_VALUE"""),"purchase")</f>
        <v>purchase</v>
      </c>
      <c r="D1481" s="10">
        <f t="shared" si="1"/>
        <v>45430</v>
      </c>
      <c r="E1481" s="10">
        <f t="shared" si="2"/>
        <v>45425</v>
      </c>
      <c r="F1481" s="10">
        <f t="shared" si="3"/>
        <v>45413</v>
      </c>
      <c r="G1481" s="11"/>
    </row>
    <row r="1482">
      <c r="A1482" s="5">
        <f>IFERROR(__xludf.DUMMYFUNCTION("""COMPUTED_VALUE"""),6241.0)</f>
        <v>6241</v>
      </c>
      <c r="B1482" s="9">
        <f>IFERROR(__xludf.DUMMYFUNCTION("""COMPUTED_VALUE"""),45430.31423611111)</f>
        <v>45430.31424</v>
      </c>
      <c r="C1482" s="5" t="str">
        <f>IFERROR(__xludf.DUMMYFUNCTION("""COMPUTED_VALUE"""),"purchase")</f>
        <v>purchase</v>
      </c>
      <c r="D1482" s="10">
        <f t="shared" si="1"/>
        <v>45430</v>
      </c>
      <c r="E1482" s="10">
        <f t="shared" si="2"/>
        <v>45425</v>
      </c>
      <c r="F1482" s="10">
        <f t="shared" si="3"/>
        <v>45413</v>
      </c>
      <c r="G1482" s="11"/>
    </row>
    <row r="1483">
      <c r="A1483" s="5">
        <f>IFERROR(__xludf.DUMMYFUNCTION("""COMPUTED_VALUE"""),1227.0)</f>
        <v>1227</v>
      </c>
      <c r="B1483" s="9">
        <f>IFERROR(__xludf.DUMMYFUNCTION("""COMPUTED_VALUE"""),45430.36604166667)</f>
        <v>45430.36604</v>
      </c>
      <c r="C1483" s="5" t="str">
        <f>IFERROR(__xludf.DUMMYFUNCTION("""COMPUTED_VALUE"""),"purchase")</f>
        <v>purchase</v>
      </c>
      <c r="D1483" s="10">
        <f t="shared" si="1"/>
        <v>45430</v>
      </c>
      <c r="E1483" s="10">
        <f t="shared" si="2"/>
        <v>45425</v>
      </c>
      <c r="F1483" s="10">
        <f t="shared" si="3"/>
        <v>45413</v>
      </c>
      <c r="G1483" s="11"/>
    </row>
    <row r="1484">
      <c r="A1484" s="5">
        <f>IFERROR(__xludf.DUMMYFUNCTION("""COMPUTED_VALUE"""),3928.0)</f>
        <v>3928</v>
      </c>
      <c r="B1484" s="9">
        <f>IFERROR(__xludf.DUMMYFUNCTION("""COMPUTED_VALUE"""),45430.43434027778)</f>
        <v>45430.43434</v>
      </c>
      <c r="C1484" s="5" t="str">
        <f>IFERROR(__xludf.DUMMYFUNCTION("""COMPUTED_VALUE"""),"purchase")</f>
        <v>purchase</v>
      </c>
      <c r="D1484" s="10">
        <f t="shared" si="1"/>
        <v>45430</v>
      </c>
      <c r="E1484" s="10">
        <f t="shared" si="2"/>
        <v>45425</v>
      </c>
      <c r="F1484" s="10">
        <f t="shared" si="3"/>
        <v>45413</v>
      </c>
      <c r="G1484" s="11"/>
    </row>
    <row r="1485">
      <c r="A1485" s="5">
        <f>IFERROR(__xludf.DUMMYFUNCTION("""COMPUTED_VALUE"""),5861.0)</f>
        <v>5861</v>
      </c>
      <c r="B1485" s="9">
        <f>IFERROR(__xludf.DUMMYFUNCTION("""COMPUTED_VALUE"""),45430.64277777778)</f>
        <v>45430.64278</v>
      </c>
      <c r="C1485" s="5" t="str">
        <f>IFERROR(__xludf.DUMMYFUNCTION("""COMPUTED_VALUE"""),"purchase")</f>
        <v>purchase</v>
      </c>
      <c r="D1485" s="10">
        <f t="shared" si="1"/>
        <v>45430</v>
      </c>
      <c r="E1485" s="10">
        <f t="shared" si="2"/>
        <v>45425</v>
      </c>
      <c r="F1485" s="10">
        <f t="shared" si="3"/>
        <v>45413</v>
      </c>
      <c r="G1485" s="11"/>
    </row>
    <row r="1486">
      <c r="A1486" s="5">
        <f>IFERROR(__xludf.DUMMYFUNCTION("""COMPUTED_VALUE"""),2339.0)</f>
        <v>2339</v>
      </c>
      <c r="B1486" s="9">
        <f>IFERROR(__xludf.DUMMYFUNCTION("""COMPUTED_VALUE"""),45430.69398148148)</f>
        <v>45430.69398</v>
      </c>
      <c r="C1486" s="5" t="str">
        <f>IFERROR(__xludf.DUMMYFUNCTION("""COMPUTED_VALUE"""),"purchase")</f>
        <v>purchase</v>
      </c>
      <c r="D1486" s="10">
        <f t="shared" si="1"/>
        <v>45430</v>
      </c>
      <c r="E1486" s="10">
        <f t="shared" si="2"/>
        <v>45425</v>
      </c>
      <c r="F1486" s="10">
        <f t="shared" si="3"/>
        <v>45413</v>
      </c>
      <c r="G1486" s="11"/>
    </row>
    <row r="1487">
      <c r="A1487" s="5">
        <f>IFERROR(__xludf.DUMMYFUNCTION("""COMPUTED_VALUE"""),1619.0)</f>
        <v>1619</v>
      </c>
      <c r="B1487" s="9">
        <f>IFERROR(__xludf.DUMMYFUNCTION("""COMPUTED_VALUE"""),45430.77373842592)</f>
        <v>45430.77374</v>
      </c>
      <c r="C1487" s="5" t="str">
        <f>IFERROR(__xludf.DUMMYFUNCTION("""COMPUTED_VALUE"""),"purchase")</f>
        <v>purchase</v>
      </c>
      <c r="D1487" s="10">
        <f t="shared" si="1"/>
        <v>45430</v>
      </c>
      <c r="E1487" s="10">
        <f t="shared" si="2"/>
        <v>45425</v>
      </c>
      <c r="F1487" s="10">
        <f t="shared" si="3"/>
        <v>45413</v>
      </c>
      <c r="G1487" s="11"/>
    </row>
    <row r="1488">
      <c r="A1488" s="5">
        <f>IFERROR(__xludf.DUMMYFUNCTION("""COMPUTED_VALUE"""),5395.0)</f>
        <v>5395</v>
      </c>
      <c r="B1488" s="9">
        <f>IFERROR(__xludf.DUMMYFUNCTION("""COMPUTED_VALUE"""),45430.82690972222)</f>
        <v>45430.82691</v>
      </c>
      <c r="C1488" s="5" t="str">
        <f>IFERROR(__xludf.DUMMYFUNCTION("""COMPUTED_VALUE"""),"purchase")</f>
        <v>purchase</v>
      </c>
      <c r="D1488" s="10">
        <f t="shared" si="1"/>
        <v>45430</v>
      </c>
      <c r="E1488" s="10">
        <f t="shared" si="2"/>
        <v>45425</v>
      </c>
      <c r="F1488" s="10">
        <f t="shared" si="3"/>
        <v>45413</v>
      </c>
      <c r="G1488" s="11"/>
    </row>
    <row r="1489">
      <c r="A1489" s="5">
        <f>IFERROR(__xludf.DUMMYFUNCTION("""COMPUTED_VALUE"""),5637.0)</f>
        <v>5637</v>
      </c>
      <c r="B1489" s="9">
        <f>IFERROR(__xludf.DUMMYFUNCTION("""COMPUTED_VALUE"""),45431.01458333333)</f>
        <v>45431.01458</v>
      </c>
      <c r="C1489" s="5" t="str">
        <f>IFERROR(__xludf.DUMMYFUNCTION("""COMPUTED_VALUE"""),"purchase")</f>
        <v>purchase</v>
      </c>
      <c r="D1489" s="10">
        <f t="shared" si="1"/>
        <v>45431</v>
      </c>
      <c r="E1489" s="10">
        <f t="shared" si="2"/>
        <v>45425</v>
      </c>
      <c r="F1489" s="10">
        <f t="shared" si="3"/>
        <v>45413</v>
      </c>
      <c r="G1489" s="11"/>
    </row>
    <row r="1490">
      <c r="A1490" s="5">
        <f>IFERROR(__xludf.DUMMYFUNCTION("""COMPUTED_VALUE"""),3200.0)</f>
        <v>3200</v>
      </c>
      <c r="B1490" s="9">
        <f>IFERROR(__xludf.DUMMYFUNCTION("""COMPUTED_VALUE"""),45431.26420138889)</f>
        <v>45431.2642</v>
      </c>
      <c r="C1490" s="5" t="str">
        <f>IFERROR(__xludf.DUMMYFUNCTION("""COMPUTED_VALUE"""),"purchase")</f>
        <v>purchase</v>
      </c>
      <c r="D1490" s="10">
        <f t="shared" si="1"/>
        <v>45431</v>
      </c>
      <c r="E1490" s="10">
        <f t="shared" si="2"/>
        <v>45425</v>
      </c>
      <c r="F1490" s="10">
        <f t="shared" si="3"/>
        <v>45413</v>
      </c>
      <c r="G1490" s="11"/>
    </row>
    <row r="1491">
      <c r="A1491" s="5">
        <f>IFERROR(__xludf.DUMMYFUNCTION("""COMPUTED_VALUE"""),6253.0)</f>
        <v>6253</v>
      </c>
      <c r="B1491" s="9">
        <f>IFERROR(__xludf.DUMMYFUNCTION("""COMPUTED_VALUE"""),45431.2803587963)</f>
        <v>45431.28036</v>
      </c>
      <c r="C1491" s="5" t="str">
        <f>IFERROR(__xludf.DUMMYFUNCTION("""COMPUTED_VALUE"""),"purchase")</f>
        <v>purchase</v>
      </c>
      <c r="D1491" s="10">
        <f t="shared" si="1"/>
        <v>45431</v>
      </c>
      <c r="E1491" s="10">
        <f t="shared" si="2"/>
        <v>45425</v>
      </c>
      <c r="F1491" s="10">
        <f t="shared" si="3"/>
        <v>45413</v>
      </c>
      <c r="G1491" s="11"/>
    </row>
    <row r="1492">
      <c r="A1492" s="5">
        <f>IFERROR(__xludf.DUMMYFUNCTION("""COMPUTED_VALUE"""),3579.0)</f>
        <v>3579</v>
      </c>
      <c r="B1492" s="9">
        <f>IFERROR(__xludf.DUMMYFUNCTION("""COMPUTED_VALUE"""),45431.388761574075)</f>
        <v>45431.38876</v>
      </c>
      <c r="C1492" s="5" t="str">
        <f>IFERROR(__xludf.DUMMYFUNCTION("""COMPUTED_VALUE"""),"purchase")</f>
        <v>purchase</v>
      </c>
      <c r="D1492" s="10">
        <f t="shared" si="1"/>
        <v>45431</v>
      </c>
      <c r="E1492" s="10">
        <f t="shared" si="2"/>
        <v>45425</v>
      </c>
      <c r="F1492" s="10">
        <f t="shared" si="3"/>
        <v>45413</v>
      </c>
      <c r="G1492" s="11"/>
    </row>
    <row r="1493">
      <c r="A1493" s="5">
        <f>IFERROR(__xludf.DUMMYFUNCTION("""COMPUTED_VALUE"""),5881.0)</f>
        <v>5881</v>
      </c>
      <c r="B1493" s="9">
        <f>IFERROR(__xludf.DUMMYFUNCTION("""COMPUTED_VALUE"""),45431.459189814814)</f>
        <v>45431.45919</v>
      </c>
      <c r="C1493" s="5" t="str">
        <f>IFERROR(__xludf.DUMMYFUNCTION("""COMPUTED_VALUE"""),"purchase")</f>
        <v>purchase</v>
      </c>
      <c r="D1493" s="10">
        <f t="shared" si="1"/>
        <v>45431</v>
      </c>
      <c r="E1493" s="10">
        <f t="shared" si="2"/>
        <v>45425</v>
      </c>
      <c r="F1493" s="10">
        <f t="shared" si="3"/>
        <v>45413</v>
      </c>
      <c r="G1493" s="11"/>
    </row>
    <row r="1494">
      <c r="A1494" s="5">
        <f>IFERROR(__xludf.DUMMYFUNCTION("""COMPUTED_VALUE"""),6662.0)</f>
        <v>6662</v>
      </c>
      <c r="B1494" s="9">
        <f>IFERROR(__xludf.DUMMYFUNCTION("""COMPUTED_VALUE"""),45431.66243055555)</f>
        <v>45431.66243</v>
      </c>
      <c r="C1494" s="5" t="str">
        <f>IFERROR(__xludf.DUMMYFUNCTION("""COMPUTED_VALUE"""),"purchase")</f>
        <v>purchase</v>
      </c>
      <c r="D1494" s="10">
        <f t="shared" si="1"/>
        <v>45431</v>
      </c>
      <c r="E1494" s="10">
        <f t="shared" si="2"/>
        <v>45425</v>
      </c>
      <c r="F1494" s="10">
        <f t="shared" si="3"/>
        <v>45413</v>
      </c>
      <c r="G1494" s="11"/>
    </row>
    <row r="1495">
      <c r="A1495" s="5">
        <f>IFERROR(__xludf.DUMMYFUNCTION("""COMPUTED_VALUE"""),1555.0)</f>
        <v>1555</v>
      </c>
      <c r="B1495" s="9">
        <f>IFERROR(__xludf.DUMMYFUNCTION("""COMPUTED_VALUE"""),45431.736122685186)</f>
        <v>45431.73612</v>
      </c>
      <c r="C1495" s="5" t="str">
        <f>IFERROR(__xludf.DUMMYFUNCTION("""COMPUTED_VALUE"""),"purchase")</f>
        <v>purchase</v>
      </c>
      <c r="D1495" s="10">
        <f t="shared" si="1"/>
        <v>45431</v>
      </c>
      <c r="E1495" s="10">
        <f t="shared" si="2"/>
        <v>45425</v>
      </c>
      <c r="F1495" s="10">
        <f t="shared" si="3"/>
        <v>45413</v>
      </c>
      <c r="G1495" s="11"/>
    </row>
    <row r="1496">
      <c r="A1496" s="5">
        <f>IFERROR(__xludf.DUMMYFUNCTION("""COMPUTED_VALUE"""),5784.0)</f>
        <v>5784</v>
      </c>
      <c r="B1496" s="9">
        <f>IFERROR(__xludf.DUMMYFUNCTION("""COMPUTED_VALUE"""),45431.75299768519)</f>
        <v>45431.753</v>
      </c>
      <c r="C1496" s="5" t="str">
        <f>IFERROR(__xludf.DUMMYFUNCTION("""COMPUTED_VALUE"""),"purchase")</f>
        <v>purchase</v>
      </c>
      <c r="D1496" s="10">
        <f t="shared" si="1"/>
        <v>45431</v>
      </c>
      <c r="E1496" s="10">
        <f t="shared" si="2"/>
        <v>45425</v>
      </c>
      <c r="F1496" s="10">
        <f t="shared" si="3"/>
        <v>45413</v>
      </c>
      <c r="G1496" s="11"/>
    </row>
    <row r="1497">
      <c r="A1497" s="5">
        <f>IFERROR(__xludf.DUMMYFUNCTION("""COMPUTED_VALUE"""),2458.0)</f>
        <v>2458</v>
      </c>
      <c r="B1497" s="9">
        <f>IFERROR(__xludf.DUMMYFUNCTION("""COMPUTED_VALUE"""),45431.859826388885)</f>
        <v>45431.85983</v>
      </c>
      <c r="C1497" s="5" t="str">
        <f>IFERROR(__xludf.DUMMYFUNCTION("""COMPUTED_VALUE"""),"purchase")</f>
        <v>purchase</v>
      </c>
      <c r="D1497" s="10">
        <f t="shared" si="1"/>
        <v>45431</v>
      </c>
      <c r="E1497" s="10">
        <f t="shared" si="2"/>
        <v>45425</v>
      </c>
      <c r="F1497" s="10">
        <f t="shared" si="3"/>
        <v>45413</v>
      </c>
      <c r="G1497" s="11"/>
    </row>
    <row r="1498">
      <c r="A1498" s="5">
        <f>IFERROR(__xludf.DUMMYFUNCTION("""COMPUTED_VALUE"""),1028.0)</f>
        <v>1028</v>
      </c>
      <c r="B1498" s="9">
        <f>IFERROR(__xludf.DUMMYFUNCTION("""COMPUTED_VALUE"""),45431.88626157407)</f>
        <v>45431.88626</v>
      </c>
      <c r="C1498" s="5" t="str">
        <f>IFERROR(__xludf.DUMMYFUNCTION("""COMPUTED_VALUE"""),"purchase")</f>
        <v>purchase</v>
      </c>
      <c r="D1498" s="10">
        <f t="shared" si="1"/>
        <v>45431</v>
      </c>
      <c r="E1498" s="10">
        <f t="shared" si="2"/>
        <v>45425</v>
      </c>
      <c r="F1498" s="10">
        <f t="shared" si="3"/>
        <v>45413</v>
      </c>
      <c r="G1498" s="11"/>
    </row>
    <row r="1499">
      <c r="A1499" s="5">
        <f>IFERROR(__xludf.DUMMYFUNCTION("""COMPUTED_VALUE"""),38.0)</f>
        <v>38</v>
      </c>
      <c r="B1499" s="9">
        <f>IFERROR(__xludf.DUMMYFUNCTION("""COMPUTED_VALUE"""),45431.935590277775)</f>
        <v>45431.93559</v>
      </c>
      <c r="C1499" s="5" t="str">
        <f>IFERROR(__xludf.DUMMYFUNCTION("""COMPUTED_VALUE"""),"purchase")</f>
        <v>purchase</v>
      </c>
      <c r="D1499" s="10">
        <f t="shared" si="1"/>
        <v>45431</v>
      </c>
      <c r="E1499" s="10">
        <f t="shared" si="2"/>
        <v>45425</v>
      </c>
      <c r="F1499" s="10">
        <f t="shared" si="3"/>
        <v>45413</v>
      </c>
      <c r="G1499" s="11"/>
    </row>
    <row r="1500">
      <c r="A1500" s="5">
        <f>IFERROR(__xludf.DUMMYFUNCTION("""COMPUTED_VALUE"""),1868.0)</f>
        <v>1868</v>
      </c>
      <c r="B1500" s="9">
        <f>IFERROR(__xludf.DUMMYFUNCTION("""COMPUTED_VALUE"""),45431.9525)</f>
        <v>45431.9525</v>
      </c>
      <c r="C1500" s="5" t="str">
        <f>IFERROR(__xludf.DUMMYFUNCTION("""COMPUTED_VALUE"""),"purchase")</f>
        <v>purchase</v>
      </c>
      <c r="D1500" s="10">
        <f t="shared" si="1"/>
        <v>45431</v>
      </c>
      <c r="E1500" s="10">
        <f t="shared" si="2"/>
        <v>45425</v>
      </c>
      <c r="F1500" s="10">
        <f t="shared" si="3"/>
        <v>45413</v>
      </c>
      <c r="G1500" s="11"/>
    </row>
    <row r="1501">
      <c r="A1501" s="5">
        <f>IFERROR(__xludf.DUMMYFUNCTION("""COMPUTED_VALUE"""),748.0)</f>
        <v>748</v>
      </c>
      <c r="B1501" s="9">
        <f>IFERROR(__xludf.DUMMYFUNCTION("""COMPUTED_VALUE"""),45431.986122685186)</f>
        <v>45431.98612</v>
      </c>
      <c r="C1501" s="5" t="str">
        <f>IFERROR(__xludf.DUMMYFUNCTION("""COMPUTED_VALUE"""),"purchase")</f>
        <v>purchase</v>
      </c>
      <c r="D1501" s="10">
        <f t="shared" si="1"/>
        <v>45431</v>
      </c>
      <c r="E1501" s="10">
        <f t="shared" si="2"/>
        <v>45425</v>
      </c>
      <c r="F1501" s="10">
        <f t="shared" si="3"/>
        <v>45413</v>
      </c>
      <c r="G1501" s="11"/>
    </row>
    <row r="1502">
      <c r="A1502" s="5">
        <f>IFERROR(__xludf.DUMMYFUNCTION("""COMPUTED_VALUE"""),6614.0)</f>
        <v>6614</v>
      </c>
      <c r="B1502" s="9">
        <f>IFERROR(__xludf.DUMMYFUNCTION("""COMPUTED_VALUE"""),45432.14638888889)</f>
        <v>45432.14639</v>
      </c>
      <c r="C1502" s="5" t="str">
        <f>IFERROR(__xludf.DUMMYFUNCTION("""COMPUTED_VALUE"""),"purchase")</f>
        <v>purchase</v>
      </c>
      <c r="D1502" s="10">
        <f t="shared" si="1"/>
        <v>45432</v>
      </c>
      <c r="E1502" s="10">
        <f t="shared" si="2"/>
        <v>45432</v>
      </c>
      <c r="F1502" s="10">
        <f t="shared" si="3"/>
        <v>45413</v>
      </c>
      <c r="G1502" s="11"/>
    </row>
    <row r="1503">
      <c r="A1503" s="5">
        <f>IFERROR(__xludf.DUMMYFUNCTION("""COMPUTED_VALUE"""),7899.0)</f>
        <v>7899</v>
      </c>
      <c r="B1503" s="9">
        <f>IFERROR(__xludf.DUMMYFUNCTION("""COMPUTED_VALUE"""),45432.44399305555)</f>
        <v>45432.44399</v>
      </c>
      <c r="C1503" s="5" t="str">
        <f>IFERROR(__xludf.DUMMYFUNCTION("""COMPUTED_VALUE"""),"purchase")</f>
        <v>purchase</v>
      </c>
      <c r="D1503" s="10">
        <f t="shared" si="1"/>
        <v>45432</v>
      </c>
      <c r="E1503" s="10">
        <f t="shared" si="2"/>
        <v>45432</v>
      </c>
      <c r="F1503" s="10">
        <f t="shared" si="3"/>
        <v>45413</v>
      </c>
      <c r="G1503" s="11"/>
    </row>
    <row r="1504">
      <c r="A1504" s="5">
        <f>IFERROR(__xludf.DUMMYFUNCTION("""COMPUTED_VALUE"""),1109.0)</f>
        <v>1109</v>
      </c>
      <c r="B1504" s="9">
        <f>IFERROR(__xludf.DUMMYFUNCTION("""COMPUTED_VALUE"""),45432.5522337963)</f>
        <v>45432.55223</v>
      </c>
      <c r="C1504" s="5" t="str">
        <f>IFERROR(__xludf.DUMMYFUNCTION("""COMPUTED_VALUE"""),"purchase")</f>
        <v>purchase</v>
      </c>
      <c r="D1504" s="10">
        <f t="shared" si="1"/>
        <v>45432</v>
      </c>
      <c r="E1504" s="10">
        <f t="shared" si="2"/>
        <v>45432</v>
      </c>
      <c r="F1504" s="10">
        <f t="shared" si="3"/>
        <v>45413</v>
      </c>
      <c r="G1504" s="11"/>
    </row>
    <row r="1505">
      <c r="A1505" s="5">
        <f>IFERROR(__xludf.DUMMYFUNCTION("""COMPUTED_VALUE"""),1872.0)</f>
        <v>1872</v>
      </c>
      <c r="B1505" s="9">
        <f>IFERROR(__xludf.DUMMYFUNCTION("""COMPUTED_VALUE"""),45432.560208333336)</f>
        <v>45432.56021</v>
      </c>
      <c r="C1505" s="5" t="str">
        <f>IFERROR(__xludf.DUMMYFUNCTION("""COMPUTED_VALUE"""),"purchase")</f>
        <v>purchase</v>
      </c>
      <c r="D1505" s="10">
        <f t="shared" si="1"/>
        <v>45432</v>
      </c>
      <c r="E1505" s="10">
        <f t="shared" si="2"/>
        <v>45432</v>
      </c>
      <c r="F1505" s="10">
        <f t="shared" si="3"/>
        <v>45413</v>
      </c>
      <c r="G1505" s="11"/>
    </row>
    <row r="1506">
      <c r="A1506" s="5">
        <f>IFERROR(__xludf.DUMMYFUNCTION("""COMPUTED_VALUE"""),3026.0)</f>
        <v>3026</v>
      </c>
      <c r="B1506" s="9">
        <f>IFERROR(__xludf.DUMMYFUNCTION("""COMPUTED_VALUE"""),45432.57760416667)</f>
        <v>45432.5776</v>
      </c>
      <c r="C1506" s="5" t="str">
        <f>IFERROR(__xludf.DUMMYFUNCTION("""COMPUTED_VALUE"""),"purchase")</f>
        <v>purchase</v>
      </c>
      <c r="D1506" s="10">
        <f t="shared" si="1"/>
        <v>45432</v>
      </c>
      <c r="E1506" s="10">
        <f t="shared" si="2"/>
        <v>45432</v>
      </c>
      <c r="F1506" s="10">
        <f t="shared" si="3"/>
        <v>45413</v>
      </c>
      <c r="G1506" s="11"/>
    </row>
    <row r="1507">
      <c r="A1507" s="5">
        <f>IFERROR(__xludf.DUMMYFUNCTION("""COMPUTED_VALUE"""),1759.0)</f>
        <v>1759</v>
      </c>
      <c r="B1507" s="9">
        <f>IFERROR(__xludf.DUMMYFUNCTION("""COMPUTED_VALUE"""),45432.6984375)</f>
        <v>45432.69844</v>
      </c>
      <c r="C1507" s="5" t="str">
        <f>IFERROR(__xludf.DUMMYFUNCTION("""COMPUTED_VALUE"""),"purchase")</f>
        <v>purchase</v>
      </c>
      <c r="D1507" s="10">
        <f t="shared" si="1"/>
        <v>45432</v>
      </c>
      <c r="E1507" s="10">
        <f t="shared" si="2"/>
        <v>45432</v>
      </c>
      <c r="F1507" s="10">
        <f t="shared" si="3"/>
        <v>45413</v>
      </c>
      <c r="G1507" s="11"/>
    </row>
    <row r="1508">
      <c r="A1508" s="5">
        <f>IFERROR(__xludf.DUMMYFUNCTION("""COMPUTED_VALUE"""),1264.0)</f>
        <v>1264</v>
      </c>
      <c r="B1508" s="9">
        <f>IFERROR(__xludf.DUMMYFUNCTION("""COMPUTED_VALUE"""),45432.71519675926)</f>
        <v>45432.7152</v>
      </c>
      <c r="C1508" s="5" t="str">
        <f>IFERROR(__xludf.DUMMYFUNCTION("""COMPUTED_VALUE"""),"purchase")</f>
        <v>purchase</v>
      </c>
      <c r="D1508" s="10">
        <f t="shared" si="1"/>
        <v>45432</v>
      </c>
      <c r="E1508" s="10">
        <f t="shared" si="2"/>
        <v>45432</v>
      </c>
      <c r="F1508" s="10">
        <f t="shared" si="3"/>
        <v>45413</v>
      </c>
      <c r="G1508" s="11"/>
    </row>
    <row r="1509">
      <c r="A1509" s="5">
        <f>IFERROR(__xludf.DUMMYFUNCTION("""COMPUTED_VALUE"""),2514.0)</f>
        <v>2514</v>
      </c>
      <c r="B1509" s="9">
        <f>IFERROR(__xludf.DUMMYFUNCTION("""COMPUTED_VALUE"""),45432.817928240744)</f>
        <v>45432.81793</v>
      </c>
      <c r="C1509" s="5" t="str">
        <f>IFERROR(__xludf.DUMMYFUNCTION("""COMPUTED_VALUE"""),"purchase")</f>
        <v>purchase</v>
      </c>
      <c r="D1509" s="10">
        <f t="shared" si="1"/>
        <v>45432</v>
      </c>
      <c r="E1509" s="10">
        <f t="shared" si="2"/>
        <v>45432</v>
      </c>
      <c r="F1509" s="10">
        <f t="shared" si="3"/>
        <v>45413</v>
      </c>
      <c r="G1509" s="11"/>
    </row>
    <row r="1510">
      <c r="A1510" s="5">
        <f>IFERROR(__xludf.DUMMYFUNCTION("""COMPUTED_VALUE"""),5730.0)</f>
        <v>5730</v>
      </c>
      <c r="B1510" s="9">
        <f>IFERROR(__xludf.DUMMYFUNCTION("""COMPUTED_VALUE"""),45432.921435185184)</f>
        <v>45432.92144</v>
      </c>
      <c r="C1510" s="5" t="str">
        <f>IFERROR(__xludf.DUMMYFUNCTION("""COMPUTED_VALUE"""),"purchase")</f>
        <v>purchase</v>
      </c>
      <c r="D1510" s="10">
        <f t="shared" si="1"/>
        <v>45432</v>
      </c>
      <c r="E1510" s="10">
        <f t="shared" si="2"/>
        <v>45432</v>
      </c>
      <c r="F1510" s="10">
        <f t="shared" si="3"/>
        <v>45413</v>
      </c>
      <c r="G1510" s="11"/>
    </row>
    <row r="1511">
      <c r="A1511" s="5">
        <f>IFERROR(__xludf.DUMMYFUNCTION("""COMPUTED_VALUE"""),7399.0)</f>
        <v>7399</v>
      </c>
      <c r="B1511" s="9">
        <f>IFERROR(__xludf.DUMMYFUNCTION("""COMPUTED_VALUE"""),45432.92969907408)</f>
        <v>45432.9297</v>
      </c>
      <c r="C1511" s="5" t="str">
        <f>IFERROR(__xludf.DUMMYFUNCTION("""COMPUTED_VALUE"""),"purchase")</f>
        <v>purchase</v>
      </c>
      <c r="D1511" s="10">
        <f t="shared" si="1"/>
        <v>45432</v>
      </c>
      <c r="E1511" s="10">
        <f t="shared" si="2"/>
        <v>45432</v>
      </c>
      <c r="F1511" s="10">
        <f t="shared" si="3"/>
        <v>45413</v>
      </c>
      <c r="G1511" s="11"/>
    </row>
    <row r="1512">
      <c r="A1512" s="5">
        <f>IFERROR(__xludf.DUMMYFUNCTION("""COMPUTED_VALUE"""),7583.0)</f>
        <v>7583</v>
      </c>
      <c r="B1512" s="9">
        <f>IFERROR(__xludf.DUMMYFUNCTION("""COMPUTED_VALUE"""),45432.96916666667)</f>
        <v>45432.96917</v>
      </c>
      <c r="C1512" s="5" t="str">
        <f>IFERROR(__xludf.DUMMYFUNCTION("""COMPUTED_VALUE"""),"purchase")</f>
        <v>purchase</v>
      </c>
      <c r="D1512" s="10">
        <f t="shared" si="1"/>
        <v>45432</v>
      </c>
      <c r="E1512" s="10">
        <f t="shared" si="2"/>
        <v>45432</v>
      </c>
      <c r="F1512" s="10">
        <f t="shared" si="3"/>
        <v>45413</v>
      </c>
      <c r="G1512" s="11"/>
    </row>
    <row r="1513">
      <c r="A1513" s="5">
        <f>IFERROR(__xludf.DUMMYFUNCTION("""COMPUTED_VALUE"""),5429.0)</f>
        <v>5429</v>
      </c>
      <c r="B1513" s="9">
        <f>IFERROR(__xludf.DUMMYFUNCTION("""COMPUTED_VALUE"""),45433.04232638889)</f>
        <v>45433.04233</v>
      </c>
      <c r="C1513" s="5" t="str">
        <f>IFERROR(__xludf.DUMMYFUNCTION("""COMPUTED_VALUE"""),"purchase")</f>
        <v>purchase</v>
      </c>
      <c r="D1513" s="10">
        <f t="shared" si="1"/>
        <v>45433</v>
      </c>
      <c r="E1513" s="10">
        <f t="shared" si="2"/>
        <v>45432</v>
      </c>
      <c r="F1513" s="10">
        <f t="shared" si="3"/>
        <v>45413</v>
      </c>
      <c r="G1513" s="11"/>
    </row>
    <row r="1514">
      <c r="A1514" s="5">
        <f>IFERROR(__xludf.DUMMYFUNCTION("""COMPUTED_VALUE"""),473.0)</f>
        <v>473</v>
      </c>
      <c r="B1514" s="9">
        <f>IFERROR(__xludf.DUMMYFUNCTION("""COMPUTED_VALUE"""),45433.0958912037)</f>
        <v>45433.09589</v>
      </c>
      <c r="C1514" s="5" t="str">
        <f>IFERROR(__xludf.DUMMYFUNCTION("""COMPUTED_VALUE"""),"purchase")</f>
        <v>purchase</v>
      </c>
      <c r="D1514" s="10">
        <f t="shared" si="1"/>
        <v>45433</v>
      </c>
      <c r="E1514" s="10">
        <f t="shared" si="2"/>
        <v>45432</v>
      </c>
      <c r="F1514" s="10">
        <f t="shared" si="3"/>
        <v>45413</v>
      </c>
      <c r="G1514" s="11"/>
    </row>
    <row r="1515">
      <c r="A1515" s="5">
        <f>IFERROR(__xludf.DUMMYFUNCTION("""COMPUTED_VALUE"""),1321.0)</f>
        <v>1321</v>
      </c>
      <c r="B1515" s="9">
        <f>IFERROR(__xludf.DUMMYFUNCTION("""COMPUTED_VALUE"""),45433.10207175926)</f>
        <v>45433.10207</v>
      </c>
      <c r="C1515" s="5" t="str">
        <f>IFERROR(__xludf.DUMMYFUNCTION("""COMPUTED_VALUE"""),"purchase")</f>
        <v>purchase</v>
      </c>
      <c r="D1515" s="10">
        <f t="shared" si="1"/>
        <v>45433</v>
      </c>
      <c r="E1515" s="10">
        <f t="shared" si="2"/>
        <v>45432</v>
      </c>
      <c r="F1515" s="10">
        <f t="shared" si="3"/>
        <v>45413</v>
      </c>
      <c r="G1515" s="11"/>
    </row>
    <row r="1516">
      <c r="A1516" s="5">
        <f>IFERROR(__xludf.DUMMYFUNCTION("""COMPUTED_VALUE"""),6821.0)</f>
        <v>6821</v>
      </c>
      <c r="B1516" s="9">
        <f>IFERROR(__xludf.DUMMYFUNCTION("""COMPUTED_VALUE"""),45433.29589120371)</f>
        <v>45433.29589</v>
      </c>
      <c r="C1516" s="5" t="str">
        <f>IFERROR(__xludf.DUMMYFUNCTION("""COMPUTED_VALUE"""),"purchase")</f>
        <v>purchase</v>
      </c>
      <c r="D1516" s="10">
        <f t="shared" si="1"/>
        <v>45433</v>
      </c>
      <c r="E1516" s="10">
        <f t="shared" si="2"/>
        <v>45432</v>
      </c>
      <c r="F1516" s="10">
        <f t="shared" si="3"/>
        <v>45413</v>
      </c>
      <c r="G1516" s="11"/>
    </row>
    <row r="1517">
      <c r="A1517" s="5">
        <f>IFERROR(__xludf.DUMMYFUNCTION("""COMPUTED_VALUE"""),7941.0)</f>
        <v>7941</v>
      </c>
      <c r="B1517" s="9">
        <f>IFERROR(__xludf.DUMMYFUNCTION("""COMPUTED_VALUE"""),45433.52349537037)</f>
        <v>45433.5235</v>
      </c>
      <c r="C1517" s="5" t="str">
        <f>IFERROR(__xludf.DUMMYFUNCTION("""COMPUTED_VALUE"""),"purchase")</f>
        <v>purchase</v>
      </c>
      <c r="D1517" s="10">
        <f t="shared" si="1"/>
        <v>45433</v>
      </c>
      <c r="E1517" s="10">
        <f t="shared" si="2"/>
        <v>45432</v>
      </c>
      <c r="F1517" s="10">
        <f t="shared" si="3"/>
        <v>45413</v>
      </c>
      <c r="G1517" s="11"/>
    </row>
    <row r="1518">
      <c r="A1518" s="5">
        <f>IFERROR(__xludf.DUMMYFUNCTION("""COMPUTED_VALUE"""),427.0)</f>
        <v>427</v>
      </c>
      <c r="B1518" s="9">
        <f>IFERROR(__xludf.DUMMYFUNCTION("""COMPUTED_VALUE"""),45433.593981481485)</f>
        <v>45433.59398</v>
      </c>
      <c r="C1518" s="5" t="str">
        <f>IFERROR(__xludf.DUMMYFUNCTION("""COMPUTED_VALUE"""),"purchase")</f>
        <v>purchase</v>
      </c>
      <c r="D1518" s="10">
        <f t="shared" si="1"/>
        <v>45433</v>
      </c>
      <c r="E1518" s="10">
        <f t="shared" si="2"/>
        <v>45432</v>
      </c>
      <c r="F1518" s="10">
        <f t="shared" si="3"/>
        <v>45413</v>
      </c>
      <c r="G1518" s="11"/>
    </row>
    <row r="1519">
      <c r="A1519" s="5">
        <f>IFERROR(__xludf.DUMMYFUNCTION("""COMPUTED_VALUE"""),6094.0)</f>
        <v>6094</v>
      </c>
      <c r="B1519" s="9">
        <f>IFERROR(__xludf.DUMMYFUNCTION("""COMPUTED_VALUE"""),45433.81548611111)</f>
        <v>45433.81549</v>
      </c>
      <c r="C1519" s="5" t="str">
        <f>IFERROR(__xludf.DUMMYFUNCTION("""COMPUTED_VALUE"""),"purchase")</f>
        <v>purchase</v>
      </c>
      <c r="D1519" s="10">
        <f t="shared" si="1"/>
        <v>45433</v>
      </c>
      <c r="E1519" s="10">
        <f t="shared" si="2"/>
        <v>45432</v>
      </c>
      <c r="F1519" s="10">
        <f t="shared" si="3"/>
        <v>45413</v>
      </c>
      <c r="G1519" s="11"/>
    </row>
    <row r="1520">
      <c r="A1520" s="5">
        <f>IFERROR(__xludf.DUMMYFUNCTION("""COMPUTED_VALUE"""),3264.0)</f>
        <v>3264</v>
      </c>
      <c r="B1520" s="9">
        <f>IFERROR(__xludf.DUMMYFUNCTION("""COMPUTED_VALUE"""),45433.95574074074)</f>
        <v>45433.95574</v>
      </c>
      <c r="C1520" s="5" t="str">
        <f>IFERROR(__xludf.DUMMYFUNCTION("""COMPUTED_VALUE"""),"purchase")</f>
        <v>purchase</v>
      </c>
      <c r="D1520" s="10">
        <f t="shared" si="1"/>
        <v>45433</v>
      </c>
      <c r="E1520" s="10">
        <f t="shared" si="2"/>
        <v>45432</v>
      </c>
      <c r="F1520" s="10">
        <f t="shared" si="3"/>
        <v>45413</v>
      </c>
      <c r="G1520" s="11"/>
    </row>
    <row r="1521">
      <c r="A1521" s="5">
        <f>IFERROR(__xludf.DUMMYFUNCTION("""COMPUTED_VALUE"""),5153.0)</f>
        <v>5153</v>
      </c>
      <c r="B1521" s="9">
        <f>IFERROR(__xludf.DUMMYFUNCTION("""COMPUTED_VALUE"""),45434.50163194445)</f>
        <v>45434.50163</v>
      </c>
      <c r="C1521" s="5" t="str">
        <f>IFERROR(__xludf.DUMMYFUNCTION("""COMPUTED_VALUE"""),"purchase")</f>
        <v>purchase</v>
      </c>
      <c r="D1521" s="10">
        <f t="shared" si="1"/>
        <v>45434</v>
      </c>
      <c r="E1521" s="10">
        <f t="shared" si="2"/>
        <v>45432</v>
      </c>
      <c r="F1521" s="10">
        <f t="shared" si="3"/>
        <v>45413</v>
      </c>
      <c r="G1521" s="11"/>
    </row>
    <row r="1522">
      <c r="A1522" s="5">
        <f>IFERROR(__xludf.DUMMYFUNCTION("""COMPUTED_VALUE"""),997.0)</f>
        <v>997</v>
      </c>
      <c r="B1522" s="9">
        <f>IFERROR(__xludf.DUMMYFUNCTION("""COMPUTED_VALUE"""),45434.54893518519)</f>
        <v>45434.54894</v>
      </c>
      <c r="C1522" s="5" t="str">
        <f>IFERROR(__xludf.DUMMYFUNCTION("""COMPUTED_VALUE"""),"purchase")</f>
        <v>purchase</v>
      </c>
      <c r="D1522" s="10">
        <f t="shared" si="1"/>
        <v>45434</v>
      </c>
      <c r="E1522" s="10">
        <f t="shared" si="2"/>
        <v>45432</v>
      </c>
      <c r="F1522" s="10">
        <f t="shared" si="3"/>
        <v>45413</v>
      </c>
      <c r="G1522" s="11"/>
    </row>
    <row r="1523">
      <c r="A1523" s="5">
        <f>IFERROR(__xludf.DUMMYFUNCTION("""COMPUTED_VALUE"""),4060.0)</f>
        <v>4060</v>
      </c>
      <c r="B1523" s="9">
        <f>IFERROR(__xludf.DUMMYFUNCTION("""COMPUTED_VALUE"""),45434.70082175926)</f>
        <v>45434.70082</v>
      </c>
      <c r="C1523" s="5" t="str">
        <f>IFERROR(__xludf.DUMMYFUNCTION("""COMPUTED_VALUE"""),"purchase")</f>
        <v>purchase</v>
      </c>
      <c r="D1523" s="10">
        <f t="shared" si="1"/>
        <v>45434</v>
      </c>
      <c r="E1523" s="10">
        <f t="shared" si="2"/>
        <v>45432</v>
      </c>
      <c r="F1523" s="10">
        <f t="shared" si="3"/>
        <v>45413</v>
      </c>
      <c r="G1523" s="11"/>
    </row>
    <row r="1524">
      <c r="A1524" s="5">
        <f>IFERROR(__xludf.DUMMYFUNCTION("""COMPUTED_VALUE"""),6627.0)</f>
        <v>6627</v>
      </c>
      <c r="B1524" s="9">
        <f>IFERROR(__xludf.DUMMYFUNCTION("""COMPUTED_VALUE"""),45434.71263888889)</f>
        <v>45434.71264</v>
      </c>
      <c r="C1524" s="5" t="str">
        <f>IFERROR(__xludf.DUMMYFUNCTION("""COMPUTED_VALUE"""),"purchase")</f>
        <v>purchase</v>
      </c>
      <c r="D1524" s="10">
        <f t="shared" si="1"/>
        <v>45434</v>
      </c>
      <c r="E1524" s="10">
        <f t="shared" si="2"/>
        <v>45432</v>
      </c>
      <c r="F1524" s="10">
        <f t="shared" si="3"/>
        <v>45413</v>
      </c>
      <c r="G1524" s="11"/>
    </row>
    <row r="1525">
      <c r="A1525" s="5">
        <f>IFERROR(__xludf.DUMMYFUNCTION("""COMPUTED_VALUE"""),62.0)</f>
        <v>62</v>
      </c>
      <c r="B1525" s="9">
        <f>IFERROR(__xludf.DUMMYFUNCTION("""COMPUTED_VALUE"""),45434.87488425926)</f>
        <v>45434.87488</v>
      </c>
      <c r="C1525" s="5" t="str">
        <f>IFERROR(__xludf.DUMMYFUNCTION("""COMPUTED_VALUE"""),"purchase")</f>
        <v>purchase</v>
      </c>
      <c r="D1525" s="10">
        <f t="shared" si="1"/>
        <v>45434</v>
      </c>
      <c r="E1525" s="10">
        <f t="shared" si="2"/>
        <v>45432</v>
      </c>
      <c r="F1525" s="10">
        <f t="shared" si="3"/>
        <v>45413</v>
      </c>
      <c r="G1525" s="11"/>
    </row>
    <row r="1526">
      <c r="A1526" s="5">
        <f>IFERROR(__xludf.DUMMYFUNCTION("""COMPUTED_VALUE"""),1147.0)</f>
        <v>1147</v>
      </c>
      <c r="B1526" s="9">
        <f>IFERROR(__xludf.DUMMYFUNCTION("""COMPUTED_VALUE"""),45435.04019675926)</f>
        <v>45435.0402</v>
      </c>
      <c r="C1526" s="5" t="str">
        <f>IFERROR(__xludf.DUMMYFUNCTION("""COMPUTED_VALUE"""),"purchase")</f>
        <v>purchase</v>
      </c>
      <c r="D1526" s="10">
        <f t="shared" si="1"/>
        <v>45435</v>
      </c>
      <c r="E1526" s="10">
        <f t="shared" si="2"/>
        <v>45432</v>
      </c>
      <c r="F1526" s="10">
        <f t="shared" si="3"/>
        <v>45413</v>
      </c>
      <c r="G1526" s="11"/>
    </row>
    <row r="1527">
      <c r="A1527" s="5">
        <f>IFERROR(__xludf.DUMMYFUNCTION("""COMPUTED_VALUE"""),2723.0)</f>
        <v>2723</v>
      </c>
      <c r="B1527" s="9">
        <f>IFERROR(__xludf.DUMMYFUNCTION("""COMPUTED_VALUE"""),45435.092453703706)</f>
        <v>45435.09245</v>
      </c>
      <c r="C1527" s="5" t="str">
        <f>IFERROR(__xludf.DUMMYFUNCTION("""COMPUTED_VALUE"""),"purchase")</f>
        <v>purchase</v>
      </c>
      <c r="D1527" s="10">
        <f t="shared" si="1"/>
        <v>45435</v>
      </c>
      <c r="E1527" s="10">
        <f t="shared" si="2"/>
        <v>45432</v>
      </c>
      <c r="F1527" s="10">
        <f t="shared" si="3"/>
        <v>45413</v>
      </c>
      <c r="G1527" s="11"/>
    </row>
    <row r="1528">
      <c r="A1528" s="5">
        <f>IFERROR(__xludf.DUMMYFUNCTION("""COMPUTED_VALUE"""),430.0)</f>
        <v>430</v>
      </c>
      <c r="B1528" s="9">
        <f>IFERROR(__xludf.DUMMYFUNCTION("""COMPUTED_VALUE"""),45435.10072916667)</f>
        <v>45435.10073</v>
      </c>
      <c r="C1528" s="5" t="str">
        <f>IFERROR(__xludf.DUMMYFUNCTION("""COMPUTED_VALUE"""),"purchase")</f>
        <v>purchase</v>
      </c>
      <c r="D1528" s="10">
        <f t="shared" si="1"/>
        <v>45435</v>
      </c>
      <c r="E1528" s="10">
        <f t="shared" si="2"/>
        <v>45432</v>
      </c>
      <c r="F1528" s="10">
        <f t="shared" si="3"/>
        <v>45413</v>
      </c>
      <c r="G1528" s="11"/>
    </row>
    <row r="1529">
      <c r="A1529" s="5">
        <f>IFERROR(__xludf.DUMMYFUNCTION("""COMPUTED_VALUE"""),3459.0)</f>
        <v>3459</v>
      </c>
      <c r="B1529" s="9">
        <f>IFERROR(__xludf.DUMMYFUNCTION("""COMPUTED_VALUE"""),45435.15928240741)</f>
        <v>45435.15928</v>
      </c>
      <c r="C1529" s="5" t="str">
        <f>IFERROR(__xludf.DUMMYFUNCTION("""COMPUTED_VALUE"""),"purchase")</f>
        <v>purchase</v>
      </c>
      <c r="D1529" s="10">
        <f t="shared" si="1"/>
        <v>45435</v>
      </c>
      <c r="E1529" s="10">
        <f t="shared" si="2"/>
        <v>45432</v>
      </c>
      <c r="F1529" s="10">
        <f t="shared" si="3"/>
        <v>45413</v>
      </c>
      <c r="G1529" s="11"/>
    </row>
    <row r="1530">
      <c r="A1530" s="5">
        <f>IFERROR(__xludf.DUMMYFUNCTION("""COMPUTED_VALUE"""),2099.0)</f>
        <v>2099</v>
      </c>
      <c r="B1530" s="9">
        <f>IFERROR(__xludf.DUMMYFUNCTION("""COMPUTED_VALUE"""),45435.1709375)</f>
        <v>45435.17094</v>
      </c>
      <c r="C1530" s="5" t="str">
        <f>IFERROR(__xludf.DUMMYFUNCTION("""COMPUTED_VALUE"""),"purchase")</f>
        <v>purchase</v>
      </c>
      <c r="D1530" s="10">
        <f t="shared" si="1"/>
        <v>45435</v>
      </c>
      <c r="E1530" s="10">
        <f t="shared" si="2"/>
        <v>45432</v>
      </c>
      <c r="F1530" s="10">
        <f t="shared" si="3"/>
        <v>45413</v>
      </c>
      <c r="G1530" s="11"/>
    </row>
    <row r="1531">
      <c r="A1531" s="5">
        <f>IFERROR(__xludf.DUMMYFUNCTION("""COMPUTED_VALUE"""),1870.0)</f>
        <v>1870</v>
      </c>
      <c r="B1531" s="9">
        <f>IFERROR(__xludf.DUMMYFUNCTION("""COMPUTED_VALUE"""),45435.57226851852)</f>
        <v>45435.57227</v>
      </c>
      <c r="C1531" s="5" t="str">
        <f>IFERROR(__xludf.DUMMYFUNCTION("""COMPUTED_VALUE"""),"purchase")</f>
        <v>purchase</v>
      </c>
      <c r="D1531" s="10">
        <f t="shared" si="1"/>
        <v>45435</v>
      </c>
      <c r="E1531" s="10">
        <f t="shared" si="2"/>
        <v>45432</v>
      </c>
      <c r="F1531" s="10">
        <f t="shared" si="3"/>
        <v>45413</v>
      </c>
      <c r="G1531" s="11"/>
    </row>
    <row r="1532">
      <c r="A1532" s="5">
        <f>IFERROR(__xludf.DUMMYFUNCTION("""COMPUTED_VALUE"""),2115.0)</f>
        <v>2115</v>
      </c>
      <c r="B1532" s="9">
        <f>IFERROR(__xludf.DUMMYFUNCTION("""COMPUTED_VALUE"""),45435.58582175926)</f>
        <v>45435.58582</v>
      </c>
      <c r="C1532" s="5" t="str">
        <f>IFERROR(__xludf.DUMMYFUNCTION("""COMPUTED_VALUE"""),"purchase")</f>
        <v>purchase</v>
      </c>
      <c r="D1532" s="10">
        <f t="shared" si="1"/>
        <v>45435</v>
      </c>
      <c r="E1532" s="10">
        <f t="shared" si="2"/>
        <v>45432</v>
      </c>
      <c r="F1532" s="10">
        <f t="shared" si="3"/>
        <v>45413</v>
      </c>
      <c r="G1532" s="11"/>
    </row>
    <row r="1533">
      <c r="A1533" s="5">
        <f>IFERROR(__xludf.DUMMYFUNCTION("""COMPUTED_VALUE"""),3299.0)</f>
        <v>3299</v>
      </c>
      <c r="B1533" s="9">
        <f>IFERROR(__xludf.DUMMYFUNCTION("""COMPUTED_VALUE"""),45435.589895833335)</f>
        <v>45435.5899</v>
      </c>
      <c r="C1533" s="5" t="str">
        <f>IFERROR(__xludf.DUMMYFUNCTION("""COMPUTED_VALUE"""),"purchase")</f>
        <v>purchase</v>
      </c>
      <c r="D1533" s="10">
        <f t="shared" si="1"/>
        <v>45435</v>
      </c>
      <c r="E1533" s="10">
        <f t="shared" si="2"/>
        <v>45432</v>
      </c>
      <c r="F1533" s="10">
        <f t="shared" si="3"/>
        <v>45413</v>
      </c>
      <c r="G1533" s="11"/>
    </row>
    <row r="1534">
      <c r="A1534" s="5">
        <f>IFERROR(__xludf.DUMMYFUNCTION("""COMPUTED_VALUE"""),6824.0)</f>
        <v>6824</v>
      </c>
      <c r="B1534" s="9">
        <f>IFERROR(__xludf.DUMMYFUNCTION("""COMPUTED_VALUE"""),45435.633101851854)</f>
        <v>45435.6331</v>
      </c>
      <c r="C1534" s="5" t="str">
        <f>IFERROR(__xludf.DUMMYFUNCTION("""COMPUTED_VALUE"""),"purchase")</f>
        <v>purchase</v>
      </c>
      <c r="D1534" s="10">
        <f t="shared" si="1"/>
        <v>45435</v>
      </c>
      <c r="E1534" s="10">
        <f t="shared" si="2"/>
        <v>45432</v>
      </c>
      <c r="F1534" s="10">
        <f t="shared" si="3"/>
        <v>45413</v>
      </c>
      <c r="G1534" s="11"/>
    </row>
    <row r="1535">
      <c r="A1535" s="5">
        <f>IFERROR(__xludf.DUMMYFUNCTION("""COMPUTED_VALUE"""),3359.0)</f>
        <v>3359</v>
      </c>
      <c r="B1535" s="9">
        <f>IFERROR(__xludf.DUMMYFUNCTION("""COMPUTED_VALUE"""),45435.640706018516)</f>
        <v>45435.64071</v>
      </c>
      <c r="C1535" s="5" t="str">
        <f>IFERROR(__xludf.DUMMYFUNCTION("""COMPUTED_VALUE"""),"purchase")</f>
        <v>purchase</v>
      </c>
      <c r="D1535" s="10">
        <f t="shared" si="1"/>
        <v>45435</v>
      </c>
      <c r="E1535" s="10">
        <f t="shared" si="2"/>
        <v>45432</v>
      </c>
      <c r="F1535" s="10">
        <f t="shared" si="3"/>
        <v>45413</v>
      </c>
      <c r="G1535" s="11"/>
    </row>
    <row r="1536">
      <c r="A1536" s="5">
        <f>IFERROR(__xludf.DUMMYFUNCTION("""COMPUTED_VALUE"""),1537.0)</f>
        <v>1537</v>
      </c>
      <c r="B1536" s="9">
        <f>IFERROR(__xludf.DUMMYFUNCTION("""COMPUTED_VALUE"""),45435.657789351855)</f>
        <v>45435.65779</v>
      </c>
      <c r="C1536" s="5" t="str">
        <f>IFERROR(__xludf.DUMMYFUNCTION("""COMPUTED_VALUE"""),"purchase")</f>
        <v>purchase</v>
      </c>
      <c r="D1536" s="10">
        <f t="shared" si="1"/>
        <v>45435</v>
      </c>
      <c r="E1536" s="10">
        <f t="shared" si="2"/>
        <v>45432</v>
      </c>
      <c r="F1536" s="10">
        <f t="shared" si="3"/>
        <v>45413</v>
      </c>
      <c r="G1536" s="11"/>
    </row>
    <row r="1537">
      <c r="A1537" s="5">
        <f>IFERROR(__xludf.DUMMYFUNCTION("""COMPUTED_VALUE"""),2987.0)</f>
        <v>2987</v>
      </c>
      <c r="B1537" s="9">
        <f>IFERROR(__xludf.DUMMYFUNCTION("""COMPUTED_VALUE"""),45435.80554398148)</f>
        <v>45435.80554</v>
      </c>
      <c r="C1537" s="5" t="str">
        <f>IFERROR(__xludf.DUMMYFUNCTION("""COMPUTED_VALUE"""),"purchase")</f>
        <v>purchase</v>
      </c>
      <c r="D1537" s="10">
        <f t="shared" si="1"/>
        <v>45435</v>
      </c>
      <c r="E1537" s="10">
        <f t="shared" si="2"/>
        <v>45432</v>
      </c>
      <c r="F1537" s="10">
        <f t="shared" si="3"/>
        <v>45413</v>
      </c>
      <c r="G1537" s="11"/>
    </row>
    <row r="1538">
      <c r="A1538" s="5">
        <f>IFERROR(__xludf.DUMMYFUNCTION("""COMPUTED_VALUE"""),4221.0)</f>
        <v>4221</v>
      </c>
      <c r="B1538" s="9">
        <f>IFERROR(__xludf.DUMMYFUNCTION("""COMPUTED_VALUE"""),45435.81421296296)</f>
        <v>45435.81421</v>
      </c>
      <c r="C1538" s="5" t="str">
        <f>IFERROR(__xludf.DUMMYFUNCTION("""COMPUTED_VALUE"""),"purchase")</f>
        <v>purchase</v>
      </c>
      <c r="D1538" s="10">
        <f t="shared" si="1"/>
        <v>45435</v>
      </c>
      <c r="E1538" s="10">
        <f t="shared" si="2"/>
        <v>45432</v>
      </c>
      <c r="F1538" s="10">
        <f t="shared" si="3"/>
        <v>45413</v>
      </c>
      <c r="G1538" s="11"/>
    </row>
    <row r="1539">
      <c r="A1539" s="5">
        <f>IFERROR(__xludf.DUMMYFUNCTION("""COMPUTED_VALUE"""),4562.0)</f>
        <v>4562</v>
      </c>
      <c r="B1539" s="9">
        <f>IFERROR(__xludf.DUMMYFUNCTION("""COMPUTED_VALUE"""),45435.84762731481)</f>
        <v>45435.84763</v>
      </c>
      <c r="C1539" s="5" t="str">
        <f>IFERROR(__xludf.DUMMYFUNCTION("""COMPUTED_VALUE"""),"purchase")</f>
        <v>purchase</v>
      </c>
      <c r="D1539" s="10">
        <f t="shared" si="1"/>
        <v>45435</v>
      </c>
      <c r="E1539" s="10">
        <f t="shared" si="2"/>
        <v>45432</v>
      </c>
      <c r="F1539" s="10">
        <f t="shared" si="3"/>
        <v>45413</v>
      </c>
      <c r="G1539" s="11"/>
    </row>
    <row r="1540">
      <c r="A1540" s="5">
        <f>IFERROR(__xludf.DUMMYFUNCTION("""COMPUTED_VALUE"""),1972.0)</f>
        <v>1972</v>
      </c>
      <c r="B1540" s="9">
        <f>IFERROR(__xludf.DUMMYFUNCTION("""COMPUTED_VALUE"""),45436.043125)</f>
        <v>45436.04313</v>
      </c>
      <c r="C1540" s="5" t="str">
        <f>IFERROR(__xludf.DUMMYFUNCTION("""COMPUTED_VALUE"""),"purchase")</f>
        <v>purchase</v>
      </c>
      <c r="D1540" s="10">
        <f t="shared" si="1"/>
        <v>45436</v>
      </c>
      <c r="E1540" s="10">
        <f t="shared" si="2"/>
        <v>45432</v>
      </c>
      <c r="F1540" s="10">
        <f t="shared" si="3"/>
        <v>45413</v>
      </c>
      <c r="G1540" s="11"/>
    </row>
    <row r="1541">
      <c r="A1541" s="5">
        <f>IFERROR(__xludf.DUMMYFUNCTION("""COMPUTED_VALUE"""),605.0)</f>
        <v>605</v>
      </c>
      <c r="B1541" s="9">
        <f>IFERROR(__xludf.DUMMYFUNCTION("""COMPUTED_VALUE"""),45436.34908564815)</f>
        <v>45436.34909</v>
      </c>
      <c r="C1541" s="5" t="str">
        <f>IFERROR(__xludf.DUMMYFUNCTION("""COMPUTED_VALUE"""),"purchase")</f>
        <v>purchase</v>
      </c>
      <c r="D1541" s="10">
        <f t="shared" si="1"/>
        <v>45436</v>
      </c>
      <c r="E1541" s="10">
        <f t="shared" si="2"/>
        <v>45432</v>
      </c>
      <c r="F1541" s="10">
        <f t="shared" si="3"/>
        <v>45413</v>
      </c>
      <c r="G1541" s="11"/>
    </row>
    <row r="1542">
      <c r="A1542" s="5">
        <f>IFERROR(__xludf.DUMMYFUNCTION("""COMPUTED_VALUE"""),6135.0)</f>
        <v>6135</v>
      </c>
      <c r="B1542" s="9">
        <f>IFERROR(__xludf.DUMMYFUNCTION("""COMPUTED_VALUE"""),45436.39303240741)</f>
        <v>45436.39303</v>
      </c>
      <c r="C1542" s="5" t="str">
        <f>IFERROR(__xludf.DUMMYFUNCTION("""COMPUTED_VALUE"""),"purchase")</f>
        <v>purchase</v>
      </c>
      <c r="D1542" s="10">
        <f t="shared" si="1"/>
        <v>45436</v>
      </c>
      <c r="E1542" s="10">
        <f t="shared" si="2"/>
        <v>45432</v>
      </c>
      <c r="F1542" s="10">
        <f t="shared" si="3"/>
        <v>45413</v>
      </c>
      <c r="G1542" s="11"/>
    </row>
    <row r="1543">
      <c r="A1543" s="5">
        <f>IFERROR(__xludf.DUMMYFUNCTION("""COMPUTED_VALUE"""),6401.0)</f>
        <v>6401</v>
      </c>
      <c r="B1543" s="9">
        <f>IFERROR(__xludf.DUMMYFUNCTION("""COMPUTED_VALUE"""),45436.51982638889)</f>
        <v>45436.51983</v>
      </c>
      <c r="C1543" s="5" t="str">
        <f>IFERROR(__xludf.DUMMYFUNCTION("""COMPUTED_VALUE"""),"purchase")</f>
        <v>purchase</v>
      </c>
      <c r="D1543" s="10">
        <f t="shared" si="1"/>
        <v>45436</v>
      </c>
      <c r="E1543" s="10">
        <f t="shared" si="2"/>
        <v>45432</v>
      </c>
      <c r="F1543" s="10">
        <f t="shared" si="3"/>
        <v>45413</v>
      </c>
      <c r="G1543" s="11"/>
    </row>
    <row r="1544">
      <c r="A1544" s="5">
        <f>IFERROR(__xludf.DUMMYFUNCTION("""COMPUTED_VALUE"""),4307.0)</f>
        <v>4307</v>
      </c>
      <c r="B1544" s="9">
        <f>IFERROR(__xludf.DUMMYFUNCTION("""COMPUTED_VALUE"""),45436.64440972222)</f>
        <v>45436.64441</v>
      </c>
      <c r="C1544" s="5" t="str">
        <f>IFERROR(__xludf.DUMMYFUNCTION("""COMPUTED_VALUE"""),"purchase")</f>
        <v>purchase</v>
      </c>
      <c r="D1544" s="10">
        <f t="shared" si="1"/>
        <v>45436</v>
      </c>
      <c r="E1544" s="10">
        <f t="shared" si="2"/>
        <v>45432</v>
      </c>
      <c r="F1544" s="10">
        <f t="shared" si="3"/>
        <v>45413</v>
      </c>
      <c r="G1544" s="11"/>
    </row>
    <row r="1545">
      <c r="A1545" s="5">
        <f>IFERROR(__xludf.DUMMYFUNCTION("""COMPUTED_VALUE"""),7776.0)</f>
        <v>7776</v>
      </c>
      <c r="B1545" s="9">
        <f>IFERROR(__xludf.DUMMYFUNCTION("""COMPUTED_VALUE"""),45436.6453125)</f>
        <v>45436.64531</v>
      </c>
      <c r="C1545" s="5" t="str">
        <f>IFERROR(__xludf.DUMMYFUNCTION("""COMPUTED_VALUE"""),"purchase")</f>
        <v>purchase</v>
      </c>
      <c r="D1545" s="10">
        <f t="shared" si="1"/>
        <v>45436</v>
      </c>
      <c r="E1545" s="10">
        <f t="shared" si="2"/>
        <v>45432</v>
      </c>
      <c r="F1545" s="10">
        <f t="shared" si="3"/>
        <v>45413</v>
      </c>
      <c r="G1545" s="11"/>
    </row>
    <row r="1546">
      <c r="A1546" s="5">
        <f>IFERROR(__xludf.DUMMYFUNCTION("""COMPUTED_VALUE"""),6657.0)</f>
        <v>6657</v>
      </c>
      <c r="B1546" s="9">
        <f>IFERROR(__xludf.DUMMYFUNCTION("""COMPUTED_VALUE"""),45436.71766203704)</f>
        <v>45436.71766</v>
      </c>
      <c r="C1546" s="5" t="str">
        <f>IFERROR(__xludf.DUMMYFUNCTION("""COMPUTED_VALUE"""),"purchase")</f>
        <v>purchase</v>
      </c>
      <c r="D1546" s="10">
        <f t="shared" si="1"/>
        <v>45436</v>
      </c>
      <c r="E1546" s="10">
        <f t="shared" si="2"/>
        <v>45432</v>
      </c>
      <c r="F1546" s="10">
        <f t="shared" si="3"/>
        <v>45413</v>
      </c>
      <c r="G1546" s="11"/>
    </row>
    <row r="1547">
      <c r="A1547" s="5">
        <f>IFERROR(__xludf.DUMMYFUNCTION("""COMPUTED_VALUE"""),5308.0)</f>
        <v>5308</v>
      </c>
      <c r="B1547" s="9">
        <f>IFERROR(__xludf.DUMMYFUNCTION("""COMPUTED_VALUE"""),45436.728472222225)</f>
        <v>45436.72847</v>
      </c>
      <c r="C1547" s="5" t="str">
        <f>IFERROR(__xludf.DUMMYFUNCTION("""COMPUTED_VALUE"""),"purchase")</f>
        <v>purchase</v>
      </c>
      <c r="D1547" s="10">
        <f t="shared" si="1"/>
        <v>45436</v>
      </c>
      <c r="E1547" s="10">
        <f t="shared" si="2"/>
        <v>45432</v>
      </c>
      <c r="F1547" s="10">
        <f t="shared" si="3"/>
        <v>45413</v>
      </c>
      <c r="G1547" s="11"/>
    </row>
    <row r="1548">
      <c r="A1548" s="5">
        <f>IFERROR(__xludf.DUMMYFUNCTION("""COMPUTED_VALUE"""),6310.0)</f>
        <v>6310</v>
      </c>
      <c r="B1548" s="9">
        <f>IFERROR(__xludf.DUMMYFUNCTION("""COMPUTED_VALUE"""),45436.77344907408)</f>
        <v>45436.77345</v>
      </c>
      <c r="C1548" s="5" t="str">
        <f>IFERROR(__xludf.DUMMYFUNCTION("""COMPUTED_VALUE"""),"purchase")</f>
        <v>purchase</v>
      </c>
      <c r="D1548" s="10">
        <f t="shared" si="1"/>
        <v>45436</v>
      </c>
      <c r="E1548" s="10">
        <f t="shared" si="2"/>
        <v>45432</v>
      </c>
      <c r="F1548" s="10">
        <f t="shared" si="3"/>
        <v>45413</v>
      </c>
      <c r="G1548" s="11"/>
    </row>
    <row r="1549">
      <c r="A1549" s="5">
        <f>IFERROR(__xludf.DUMMYFUNCTION("""COMPUTED_VALUE"""),1047.0)</f>
        <v>1047</v>
      </c>
      <c r="B1549" s="9">
        <f>IFERROR(__xludf.DUMMYFUNCTION("""COMPUTED_VALUE"""),45436.96896990741)</f>
        <v>45436.96897</v>
      </c>
      <c r="C1549" s="5" t="str">
        <f>IFERROR(__xludf.DUMMYFUNCTION("""COMPUTED_VALUE"""),"purchase")</f>
        <v>purchase</v>
      </c>
      <c r="D1549" s="10">
        <f t="shared" si="1"/>
        <v>45436</v>
      </c>
      <c r="E1549" s="10">
        <f t="shared" si="2"/>
        <v>45432</v>
      </c>
      <c r="F1549" s="10">
        <f t="shared" si="3"/>
        <v>45413</v>
      </c>
      <c r="G1549" s="11"/>
    </row>
    <row r="1550">
      <c r="A1550" s="5">
        <f>IFERROR(__xludf.DUMMYFUNCTION("""COMPUTED_VALUE"""),7112.0)</f>
        <v>7112</v>
      </c>
      <c r="B1550" s="9">
        <f>IFERROR(__xludf.DUMMYFUNCTION("""COMPUTED_VALUE"""),45436.979409722226)</f>
        <v>45436.97941</v>
      </c>
      <c r="C1550" s="5" t="str">
        <f>IFERROR(__xludf.DUMMYFUNCTION("""COMPUTED_VALUE"""),"purchase")</f>
        <v>purchase</v>
      </c>
      <c r="D1550" s="10">
        <f t="shared" si="1"/>
        <v>45436</v>
      </c>
      <c r="E1550" s="10">
        <f t="shared" si="2"/>
        <v>45432</v>
      </c>
      <c r="F1550" s="10">
        <f t="shared" si="3"/>
        <v>45413</v>
      </c>
      <c r="G1550" s="11"/>
    </row>
    <row r="1551">
      <c r="A1551" s="5">
        <f>IFERROR(__xludf.DUMMYFUNCTION("""COMPUTED_VALUE"""),5346.0)</f>
        <v>5346</v>
      </c>
      <c r="B1551" s="9">
        <f>IFERROR(__xludf.DUMMYFUNCTION("""COMPUTED_VALUE"""),45437.08993055556)</f>
        <v>45437.08993</v>
      </c>
      <c r="C1551" s="5" t="str">
        <f>IFERROR(__xludf.DUMMYFUNCTION("""COMPUTED_VALUE"""),"purchase")</f>
        <v>purchase</v>
      </c>
      <c r="D1551" s="10">
        <f t="shared" si="1"/>
        <v>45437</v>
      </c>
      <c r="E1551" s="10">
        <f t="shared" si="2"/>
        <v>45432</v>
      </c>
      <c r="F1551" s="10">
        <f t="shared" si="3"/>
        <v>45413</v>
      </c>
      <c r="G1551" s="11"/>
    </row>
    <row r="1552">
      <c r="A1552" s="5">
        <f>IFERROR(__xludf.DUMMYFUNCTION("""COMPUTED_VALUE"""),2974.0)</f>
        <v>2974</v>
      </c>
      <c r="B1552" s="9">
        <f>IFERROR(__xludf.DUMMYFUNCTION("""COMPUTED_VALUE"""),45437.098645833335)</f>
        <v>45437.09865</v>
      </c>
      <c r="C1552" s="5" t="str">
        <f>IFERROR(__xludf.DUMMYFUNCTION("""COMPUTED_VALUE"""),"purchase")</f>
        <v>purchase</v>
      </c>
      <c r="D1552" s="10">
        <f t="shared" si="1"/>
        <v>45437</v>
      </c>
      <c r="E1552" s="10">
        <f t="shared" si="2"/>
        <v>45432</v>
      </c>
      <c r="F1552" s="10">
        <f t="shared" si="3"/>
        <v>45413</v>
      </c>
      <c r="G1552" s="11"/>
    </row>
    <row r="1553">
      <c r="A1553" s="5">
        <f>IFERROR(__xludf.DUMMYFUNCTION("""COMPUTED_VALUE"""),2664.0)</f>
        <v>2664</v>
      </c>
      <c r="B1553" s="9">
        <f>IFERROR(__xludf.DUMMYFUNCTION("""COMPUTED_VALUE"""),45437.22914351852)</f>
        <v>45437.22914</v>
      </c>
      <c r="C1553" s="5" t="str">
        <f>IFERROR(__xludf.DUMMYFUNCTION("""COMPUTED_VALUE"""),"purchase")</f>
        <v>purchase</v>
      </c>
      <c r="D1553" s="10">
        <f t="shared" si="1"/>
        <v>45437</v>
      </c>
      <c r="E1553" s="10">
        <f t="shared" si="2"/>
        <v>45432</v>
      </c>
      <c r="F1553" s="10">
        <f t="shared" si="3"/>
        <v>45413</v>
      </c>
      <c r="G1553" s="11"/>
    </row>
    <row r="1554">
      <c r="A1554" s="5">
        <f>IFERROR(__xludf.DUMMYFUNCTION("""COMPUTED_VALUE"""),7470.0)</f>
        <v>7470</v>
      </c>
      <c r="B1554" s="9">
        <f>IFERROR(__xludf.DUMMYFUNCTION("""COMPUTED_VALUE"""),45437.34974537037)</f>
        <v>45437.34975</v>
      </c>
      <c r="C1554" s="5" t="str">
        <f>IFERROR(__xludf.DUMMYFUNCTION("""COMPUTED_VALUE"""),"purchase")</f>
        <v>purchase</v>
      </c>
      <c r="D1554" s="10">
        <f t="shared" si="1"/>
        <v>45437</v>
      </c>
      <c r="E1554" s="10">
        <f t="shared" si="2"/>
        <v>45432</v>
      </c>
      <c r="F1554" s="10">
        <f t="shared" si="3"/>
        <v>45413</v>
      </c>
      <c r="G1554" s="11"/>
    </row>
    <row r="1555">
      <c r="A1555" s="5">
        <f>IFERROR(__xludf.DUMMYFUNCTION("""COMPUTED_VALUE"""),1006.0)</f>
        <v>1006</v>
      </c>
      <c r="B1555" s="9">
        <f>IFERROR(__xludf.DUMMYFUNCTION("""COMPUTED_VALUE"""),45437.40965277778)</f>
        <v>45437.40965</v>
      </c>
      <c r="C1555" s="5" t="str">
        <f>IFERROR(__xludf.DUMMYFUNCTION("""COMPUTED_VALUE"""),"purchase")</f>
        <v>purchase</v>
      </c>
      <c r="D1555" s="10">
        <f t="shared" si="1"/>
        <v>45437</v>
      </c>
      <c r="E1555" s="10">
        <f t="shared" si="2"/>
        <v>45432</v>
      </c>
      <c r="F1555" s="10">
        <f t="shared" si="3"/>
        <v>45413</v>
      </c>
      <c r="G1555" s="11"/>
    </row>
    <row r="1556">
      <c r="A1556" s="5">
        <f>IFERROR(__xludf.DUMMYFUNCTION("""COMPUTED_VALUE"""),1540.0)</f>
        <v>1540</v>
      </c>
      <c r="B1556" s="9">
        <f>IFERROR(__xludf.DUMMYFUNCTION("""COMPUTED_VALUE"""),45437.43195601852)</f>
        <v>45437.43196</v>
      </c>
      <c r="C1556" s="5" t="str">
        <f>IFERROR(__xludf.DUMMYFUNCTION("""COMPUTED_VALUE"""),"purchase")</f>
        <v>purchase</v>
      </c>
      <c r="D1556" s="10">
        <f t="shared" si="1"/>
        <v>45437</v>
      </c>
      <c r="E1556" s="10">
        <f t="shared" si="2"/>
        <v>45432</v>
      </c>
      <c r="F1556" s="10">
        <f t="shared" si="3"/>
        <v>45413</v>
      </c>
      <c r="G1556" s="11"/>
    </row>
    <row r="1557">
      <c r="A1557" s="5">
        <f>IFERROR(__xludf.DUMMYFUNCTION("""COMPUTED_VALUE"""),1583.0)</f>
        <v>1583</v>
      </c>
      <c r="B1557" s="9">
        <f>IFERROR(__xludf.DUMMYFUNCTION("""COMPUTED_VALUE"""),45437.44380787037)</f>
        <v>45437.44381</v>
      </c>
      <c r="C1557" s="5" t="str">
        <f>IFERROR(__xludf.DUMMYFUNCTION("""COMPUTED_VALUE"""),"purchase")</f>
        <v>purchase</v>
      </c>
      <c r="D1557" s="10">
        <f t="shared" si="1"/>
        <v>45437</v>
      </c>
      <c r="E1557" s="10">
        <f t="shared" si="2"/>
        <v>45432</v>
      </c>
      <c r="F1557" s="10">
        <f t="shared" si="3"/>
        <v>45413</v>
      </c>
      <c r="G1557" s="11"/>
    </row>
    <row r="1558">
      <c r="A1558" s="5">
        <f>IFERROR(__xludf.DUMMYFUNCTION("""COMPUTED_VALUE"""),2477.0)</f>
        <v>2477</v>
      </c>
      <c r="B1558" s="9">
        <f>IFERROR(__xludf.DUMMYFUNCTION("""COMPUTED_VALUE"""),45437.65667824074)</f>
        <v>45437.65668</v>
      </c>
      <c r="C1558" s="5" t="str">
        <f>IFERROR(__xludf.DUMMYFUNCTION("""COMPUTED_VALUE"""),"purchase")</f>
        <v>purchase</v>
      </c>
      <c r="D1558" s="10">
        <f t="shared" si="1"/>
        <v>45437</v>
      </c>
      <c r="E1558" s="10">
        <f t="shared" si="2"/>
        <v>45432</v>
      </c>
      <c r="F1558" s="10">
        <f t="shared" si="3"/>
        <v>45413</v>
      </c>
      <c r="G1558" s="11"/>
    </row>
    <row r="1559">
      <c r="A1559" s="5">
        <f>IFERROR(__xludf.DUMMYFUNCTION("""COMPUTED_VALUE"""),7942.0)</f>
        <v>7942</v>
      </c>
      <c r="B1559" s="9">
        <f>IFERROR(__xludf.DUMMYFUNCTION("""COMPUTED_VALUE"""),45437.696967592594)</f>
        <v>45437.69697</v>
      </c>
      <c r="C1559" s="5" t="str">
        <f>IFERROR(__xludf.DUMMYFUNCTION("""COMPUTED_VALUE"""),"purchase")</f>
        <v>purchase</v>
      </c>
      <c r="D1559" s="10">
        <f t="shared" si="1"/>
        <v>45437</v>
      </c>
      <c r="E1559" s="10">
        <f t="shared" si="2"/>
        <v>45432</v>
      </c>
      <c r="F1559" s="10">
        <f t="shared" si="3"/>
        <v>45413</v>
      </c>
      <c r="G1559" s="11"/>
    </row>
    <row r="1560">
      <c r="A1560" s="5">
        <f>IFERROR(__xludf.DUMMYFUNCTION("""COMPUTED_VALUE"""),7486.0)</f>
        <v>7486</v>
      </c>
      <c r="B1560" s="9">
        <f>IFERROR(__xludf.DUMMYFUNCTION("""COMPUTED_VALUE"""),45437.728946759256)</f>
        <v>45437.72895</v>
      </c>
      <c r="C1560" s="5" t="str">
        <f>IFERROR(__xludf.DUMMYFUNCTION("""COMPUTED_VALUE"""),"purchase")</f>
        <v>purchase</v>
      </c>
      <c r="D1560" s="10">
        <f t="shared" si="1"/>
        <v>45437</v>
      </c>
      <c r="E1560" s="10">
        <f t="shared" si="2"/>
        <v>45432</v>
      </c>
      <c r="F1560" s="10">
        <f t="shared" si="3"/>
        <v>45413</v>
      </c>
      <c r="G1560" s="11"/>
    </row>
    <row r="1561">
      <c r="A1561" s="5">
        <f>IFERROR(__xludf.DUMMYFUNCTION("""COMPUTED_VALUE"""),232.0)</f>
        <v>232</v>
      </c>
      <c r="B1561" s="9">
        <f>IFERROR(__xludf.DUMMYFUNCTION("""COMPUTED_VALUE"""),45437.735613425924)</f>
        <v>45437.73561</v>
      </c>
      <c r="C1561" s="5" t="str">
        <f>IFERROR(__xludf.DUMMYFUNCTION("""COMPUTED_VALUE"""),"purchase")</f>
        <v>purchase</v>
      </c>
      <c r="D1561" s="10">
        <f t="shared" si="1"/>
        <v>45437</v>
      </c>
      <c r="E1561" s="10">
        <f t="shared" si="2"/>
        <v>45432</v>
      </c>
      <c r="F1561" s="10">
        <f t="shared" si="3"/>
        <v>45413</v>
      </c>
      <c r="G1561" s="11"/>
    </row>
    <row r="1562">
      <c r="A1562" s="5">
        <f>IFERROR(__xludf.DUMMYFUNCTION("""COMPUTED_VALUE"""),4197.0)</f>
        <v>4197</v>
      </c>
      <c r="B1562" s="9">
        <f>IFERROR(__xludf.DUMMYFUNCTION("""COMPUTED_VALUE"""),45437.74725694444)</f>
        <v>45437.74726</v>
      </c>
      <c r="C1562" s="5" t="str">
        <f>IFERROR(__xludf.DUMMYFUNCTION("""COMPUTED_VALUE"""),"purchase")</f>
        <v>purchase</v>
      </c>
      <c r="D1562" s="10">
        <f t="shared" si="1"/>
        <v>45437</v>
      </c>
      <c r="E1562" s="10">
        <f t="shared" si="2"/>
        <v>45432</v>
      </c>
      <c r="F1562" s="10">
        <f t="shared" si="3"/>
        <v>45413</v>
      </c>
      <c r="G1562" s="11"/>
    </row>
    <row r="1563">
      <c r="A1563" s="5">
        <f>IFERROR(__xludf.DUMMYFUNCTION("""COMPUTED_VALUE"""),81.0)</f>
        <v>81</v>
      </c>
      <c r="B1563" s="9">
        <f>IFERROR(__xludf.DUMMYFUNCTION("""COMPUTED_VALUE"""),45437.758101851854)</f>
        <v>45437.7581</v>
      </c>
      <c r="C1563" s="5" t="str">
        <f>IFERROR(__xludf.DUMMYFUNCTION("""COMPUTED_VALUE"""),"purchase")</f>
        <v>purchase</v>
      </c>
      <c r="D1563" s="10">
        <f t="shared" si="1"/>
        <v>45437</v>
      </c>
      <c r="E1563" s="10">
        <f t="shared" si="2"/>
        <v>45432</v>
      </c>
      <c r="F1563" s="10">
        <f t="shared" si="3"/>
        <v>45413</v>
      </c>
      <c r="G1563" s="11"/>
    </row>
    <row r="1564">
      <c r="A1564" s="5">
        <f>IFERROR(__xludf.DUMMYFUNCTION("""COMPUTED_VALUE"""),2571.0)</f>
        <v>2571</v>
      </c>
      <c r="B1564" s="9">
        <f>IFERROR(__xludf.DUMMYFUNCTION("""COMPUTED_VALUE"""),45437.775717592594)</f>
        <v>45437.77572</v>
      </c>
      <c r="C1564" s="5" t="str">
        <f>IFERROR(__xludf.DUMMYFUNCTION("""COMPUTED_VALUE"""),"purchase")</f>
        <v>purchase</v>
      </c>
      <c r="D1564" s="10">
        <f t="shared" si="1"/>
        <v>45437</v>
      </c>
      <c r="E1564" s="10">
        <f t="shared" si="2"/>
        <v>45432</v>
      </c>
      <c r="F1564" s="10">
        <f t="shared" si="3"/>
        <v>45413</v>
      </c>
      <c r="G1564" s="11"/>
    </row>
    <row r="1565">
      <c r="A1565" s="5">
        <f>IFERROR(__xludf.DUMMYFUNCTION("""COMPUTED_VALUE"""),3998.0)</f>
        <v>3998</v>
      </c>
      <c r="B1565" s="9">
        <f>IFERROR(__xludf.DUMMYFUNCTION("""COMPUTED_VALUE"""),45437.780439814815)</f>
        <v>45437.78044</v>
      </c>
      <c r="C1565" s="5" t="str">
        <f>IFERROR(__xludf.DUMMYFUNCTION("""COMPUTED_VALUE"""),"purchase")</f>
        <v>purchase</v>
      </c>
      <c r="D1565" s="10">
        <f t="shared" si="1"/>
        <v>45437</v>
      </c>
      <c r="E1565" s="10">
        <f t="shared" si="2"/>
        <v>45432</v>
      </c>
      <c r="F1565" s="10">
        <f t="shared" si="3"/>
        <v>45413</v>
      </c>
      <c r="G1565" s="11"/>
    </row>
    <row r="1566">
      <c r="A1566" s="5">
        <f>IFERROR(__xludf.DUMMYFUNCTION("""COMPUTED_VALUE"""),4128.0)</f>
        <v>4128</v>
      </c>
      <c r="B1566" s="9">
        <f>IFERROR(__xludf.DUMMYFUNCTION("""COMPUTED_VALUE"""),45437.97797453704)</f>
        <v>45437.97797</v>
      </c>
      <c r="C1566" s="5" t="str">
        <f>IFERROR(__xludf.DUMMYFUNCTION("""COMPUTED_VALUE"""),"purchase")</f>
        <v>purchase</v>
      </c>
      <c r="D1566" s="10">
        <f t="shared" si="1"/>
        <v>45437</v>
      </c>
      <c r="E1566" s="10">
        <f t="shared" si="2"/>
        <v>45432</v>
      </c>
      <c r="F1566" s="10">
        <f t="shared" si="3"/>
        <v>45413</v>
      </c>
      <c r="G1566" s="11"/>
    </row>
    <row r="1567">
      <c r="A1567" s="5">
        <f>IFERROR(__xludf.DUMMYFUNCTION("""COMPUTED_VALUE"""),6959.0)</f>
        <v>6959</v>
      </c>
      <c r="B1567" s="9">
        <f>IFERROR(__xludf.DUMMYFUNCTION("""COMPUTED_VALUE"""),45438.12483796296)</f>
        <v>45438.12484</v>
      </c>
      <c r="C1567" s="5" t="str">
        <f>IFERROR(__xludf.DUMMYFUNCTION("""COMPUTED_VALUE"""),"purchase")</f>
        <v>purchase</v>
      </c>
      <c r="D1567" s="10">
        <f t="shared" si="1"/>
        <v>45438</v>
      </c>
      <c r="E1567" s="10">
        <f t="shared" si="2"/>
        <v>45432</v>
      </c>
      <c r="F1567" s="10">
        <f t="shared" si="3"/>
        <v>45413</v>
      </c>
      <c r="G1567" s="11"/>
    </row>
    <row r="1568">
      <c r="A1568" s="5">
        <f>IFERROR(__xludf.DUMMYFUNCTION("""COMPUTED_VALUE"""),7018.0)</f>
        <v>7018</v>
      </c>
      <c r="B1568" s="9">
        <f>IFERROR(__xludf.DUMMYFUNCTION("""COMPUTED_VALUE"""),45438.13318287037)</f>
        <v>45438.13318</v>
      </c>
      <c r="C1568" s="5" t="str">
        <f>IFERROR(__xludf.DUMMYFUNCTION("""COMPUTED_VALUE"""),"purchase")</f>
        <v>purchase</v>
      </c>
      <c r="D1568" s="10">
        <f t="shared" si="1"/>
        <v>45438</v>
      </c>
      <c r="E1568" s="10">
        <f t="shared" si="2"/>
        <v>45432</v>
      </c>
      <c r="F1568" s="10">
        <f t="shared" si="3"/>
        <v>45413</v>
      </c>
      <c r="G1568" s="11"/>
    </row>
    <row r="1569">
      <c r="A1569" s="5">
        <f>IFERROR(__xludf.DUMMYFUNCTION("""COMPUTED_VALUE"""),1394.0)</f>
        <v>1394</v>
      </c>
      <c r="B1569" s="9">
        <f>IFERROR(__xludf.DUMMYFUNCTION("""COMPUTED_VALUE"""),45438.20181712963)</f>
        <v>45438.20182</v>
      </c>
      <c r="C1569" s="5" t="str">
        <f>IFERROR(__xludf.DUMMYFUNCTION("""COMPUTED_VALUE"""),"purchase")</f>
        <v>purchase</v>
      </c>
      <c r="D1569" s="10">
        <f t="shared" si="1"/>
        <v>45438</v>
      </c>
      <c r="E1569" s="10">
        <f t="shared" si="2"/>
        <v>45432</v>
      </c>
      <c r="F1569" s="10">
        <f t="shared" si="3"/>
        <v>45413</v>
      </c>
      <c r="G1569" s="11"/>
    </row>
    <row r="1570">
      <c r="A1570" s="5">
        <f>IFERROR(__xludf.DUMMYFUNCTION("""COMPUTED_VALUE"""),5175.0)</f>
        <v>5175</v>
      </c>
      <c r="B1570" s="9">
        <f>IFERROR(__xludf.DUMMYFUNCTION("""COMPUTED_VALUE"""),45438.22788194445)</f>
        <v>45438.22788</v>
      </c>
      <c r="C1570" s="5" t="str">
        <f>IFERROR(__xludf.DUMMYFUNCTION("""COMPUTED_VALUE"""),"purchase")</f>
        <v>purchase</v>
      </c>
      <c r="D1570" s="10">
        <f t="shared" si="1"/>
        <v>45438</v>
      </c>
      <c r="E1570" s="10">
        <f t="shared" si="2"/>
        <v>45432</v>
      </c>
      <c r="F1570" s="10">
        <f t="shared" si="3"/>
        <v>45413</v>
      </c>
      <c r="G1570" s="11"/>
    </row>
    <row r="1571">
      <c r="A1571" s="5">
        <f>IFERROR(__xludf.DUMMYFUNCTION("""COMPUTED_VALUE"""),4971.0)</f>
        <v>4971</v>
      </c>
      <c r="B1571" s="9">
        <f>IFERROR(__xludf.DUMMYFUNCTION("""COMPUTED_VALUE"""),45438.25256944444)</f>
        <v>45438.25257</v>
      </c>
      <c r="C1571" s="5" t="str">
        <f>IFERROR(__xludf.DUMMYFUNCTION("""COMPUTED_VALUE"""),"purchase")</f>
        <v>purchase</v>
      </c>
      <c r="D1571" s="10">
        <f t="shared" si="1"/>
        <v>45438</v>
      </c>
      <c r="E1571" s="10">
        <f t="shared" si="2"/>
        <v>45432</v>
      </c>
      <c r="F1571" s="10">
        <f t="shared" si="3"/>
        <v>45413</v>
      </c>
      <c r="G1571" s="11"/>
    </row>
    <row r="1572">
      <c r="A1572" s="5">
        <f>IFERROR(__xludf.DUMMYFUNCTION("""COMPUTED_VALUE"""),3092.0)</f>
        <v>3092</v>
      </c>
      <c r="B1572" s="9">
        <f>IFERROR(__xludf.DUMMYFUNCTION("""COMPUTED_VALUE"""),45438.39498842593)</f>
        <v>45438.39499</v>
      </c>
      <c r="C1572" s="5" t="str">
        <f>IFERROR(__xludf.DUMMYFUNCTION("""COMPUTED_VALUE"""),"purchase")</f>
        <v>purchase</v>
      </c>
      <c r="D1572" s="10">
        <f t="shared" si="1"/>
        <v>45438</v>
      </c>
      <c r="E1572" s="10">
        <f t="shared" si="2"/>
        <v>45432</v>
      </c>
      <c r="F1572" s="10">
        <f t="shared" si="3"/>
        <v>45413</v>
      </c>
      <c r="G1572" s="11"/>
    </row>
    <row r="1573">
      <c r="A1573" s="5">
        <f>IFERROR(__xludf.DUMMYFUNCTION("""COMPUTED_VALUE"""),1881.0)</f>
        <v>1881</v>
      </c>
      <c r="B1573" s="9">
        <f>IFERROR(__xludf.DUMMYFUNCTION("""COMPUTED_VALUE"""),45438.47696759259)</f>
        <v>45438.47697</v>
      </c>
      <c r="C1573" s="5" t="str">
        <f>IFERROR(__xludf.DUMMYFUNCTION("""COMPUTED_VALUE"""),"purchase")</f>
        <v>purchase</v>
      </c>
      <c r="D1573" s="10">
        <f t="shared" si="1"/>
        <v>45438</v>
      </c>
      <c r="E1573" s="10">
        <f t="shared" si="2"/>
        <v>45432</v>
      </c>
      <c r="F1573" s="10">
        <f t="shared" si="3"/>
        <v>45413</v>
      </c>
      <c r="G1573" s="11"/>
    </row>
    <row r="1574">
      <c r="A1574" s="5">
        <f>IFERROR(__xludf.DUMMYFUNCTION("""COMPUTED_VALUE"""),6400.0)</f>
        <v>6400</v>
      </c>
      <c r="B1574" s="9">
        <f>IFERROR(__xludf.DUMMYFUNCTION("""COMPUTED_VALUE"""),45438.54652777778)</f>
        <v>45438.54653</v>
      </c>
      <c r="C1574" s="5" t="str">
        <f>IFERROR(__xludf.DUMMYFUNCTION("""COMPUTED_VALUE"""),"purchase")</f>
        <v>purchase</v>
      </c>
      <c r="D1574" s="10">
        <f t="shared" si="1"/>
        <v>45438</v>
      </c>
      <c r="E1574" s="10">
        <f t="shared" si="2"/>
        <v>45432</v>
      </c>
      <c r="F1574" s="10">
        <f t="shared" si="3"/>
        <v>45413</v>
      </c>
      <c r="G1574" s="11"/>
    </row>
    <row r="1575">
      <c r="A1575" s="5">
        <f>IFERROR(__xludf.DUMMYFUNCTION("""COMPUTED_VALUE"""),1034.0)</f>
        <v>1034</v>
      </c>
      <c r="B1575" s="9">
        <f>IFERROR(__xludf.DUMMYFUNCTION("""COMPUTED_VALUE"""),45438.85372685185)</f>
        <v>45438.85373</v>
      </c>
      <c r="C1575" s="5" t="str">
        <f>IFERROR(__xludf.DUMMYFUNCTION("""COMPUTED_VALUE"""),"purchase")</f>
        <v>purchase</v>
      </c>
      <c r="D1575" s="10">
        <f t="shared" si="1"/>
        <v>45438</v>
      </c>
      <c r="E1575" s="10">
        <f t="shared" si="2"/>
        <v>45432</v>
      </c>
      <c r="F1575" s="10">
        <f t="shared" si="3"/>
        <v>45413</v>
      </c>
      <c r="G1575" s="11"/>
    </row>
    <row r="1576">
      <c r="A1576" s="5">
        <f>IFERROR(__xludf.DUMMYFUNCTION("""COMPUTED_VALUE"""),2841.0)</f>
        <v>2841</v>
      </c>
      <c r="B1576" s="9">
        <f>IFERROR(__xludf.DUMMYFUNCTION("""COMPUTED_VALUE"""),45438.93082175926)</f>
        <v>45438.93082</v>
      </c>
      <c r="C1576" s="5" t="str">
        <f>IFERROR(__xludf.DUMMYFUNCTION("""COMPUTED_VALUE"""),"purchase")</f>
        <v>purchase</v>
      </c>
      <c r="D1576" s="10">
        <f t="shared" si="1"/>
        <v>45438</v>
      </c>
      <c r="E1576" s="10">
        <f t="shared" si="2"/>
        <v>45432</v>
      </c>
      <c r="F1576" s="10">
        <f t="shared" si="3"/>
        <v>45413</v>
      </c>
      <c r="G1576" s="11"/>
    </row>
    <row r="1577">
      <c r="A1577" s="5">
        <f>IFERROR(__xludf.DUMMYFUNCTION("""COMPUTED_VALUE"""),5122.0)</f>
        <v>5122</v>
      </c>
      <c r="B1577" s="9">
        <f>IFERROR(__xludf.DUMMYFUNCTION("""COMPUTED_VALUE"""),45438.96571759259)</f>
        <v>45438.96572</v>
      </c>
      <c r="C1577" s="5" t="str">
        <f>IFERROR(__xludf.DUMMYFUNCTION("""COMPUTED_VALUE"""),"purchase")</f>
        <v>purchase</v>
      </c>
      <c r="D1577" s="10">
        <f t="shared" si="1"/>
        <v>45438</v>
      </c>
      <c r="E1577" s="10">
        <f t="shared" si="2"/>
        <v>45432</v>
      </c>
      <c r="F1577" s="10">
        <f t="shared" si="3"/>
        <v>45413</v>
      </c>
      <c r="G1577" s="11"/>
    </row>
    <row r="1578">
      <c r="A1578" s="5">
        <f>IFERROR(__xludf.DUMMYFUNCTION("""COMPUTED_VALUE"""),1894.0)</f>
        <v>1894</v>
      </c>
      <c r="B1578" s="9">
        <f>IFERROR(__xludf.DUMMYFUNCTION("""COMPUTED_VALUE"""),45439.2625462963)</f>
        <v>45439.26255</v>
      </c>
      <c r="C1578" s="5" t="str">
        <f>IFERROR(__xludf.DUMMYFUNCTION("""COMPUTED_VALUE"""),"purchase")</f>
        <v>purchase</v>
      </c>
      <c r="D1578" s="10">
        <f t="shared" si="1"/>
        <v>45439</v>
      </c>
      <c r="E1578" s="10">
        <f t="shared" si="2"/>
        <v>45439</v>
      </c>
      <c r="F1578" s="10">
        <f t="shared" si="3"/>
        <v>45413</v>
      </c>
      <c r="G1578" s="11"/>
    </row>
    <row r="1579">
      <c r="A1579" s="5">
        <f>IFERROR(__xludf.DUMMYFUNCTION("""COMPUTED_VALUE"""),2759.0)</f>
        <v>2759</v>
      </c>
      <c r="B1579" s="9">
        <f>IFERROR(__xludf.DUMMYFUNCTION("""COMPUTED_VALUE"""),45439.26571759259)</f>
        <v>45439.26572</v>
      </c>
      <c r="C1579" s="5" t="str">
        <f>IFERROR(__xludf.DUMMYFUNCTION("""COMPUTED_VALUE"""),"purchase")</f>
        <v>purchase</v>
      </c>
      <c r="D1579" s="10">
        <f t="shared" si="1"/>
        <v>45439</v>
      </c>
      <c r="E1579" s="10">
        <f t="shared" si="2"/>
        <v>45439</v>
      </c>
      <c r="F1579" s="10">
        <f t="shared" si="3"/>
        <v>45413</v>
      </c>
      <c r="G1579" s="11"/>
    </row>
    <row r="1580">
      <c r="A1580" s="5">
        <f>IFERROR(__xludf.DUMMYFUNCTION("""COMPUTED_VALUE"""),292.0)</f>
        <v>292</v>
      </c>
      <c r="B1580" s="9">
        <f>IFERROR(__xludf.DUMMYFUNCTION("""COMPUTED_VALUE"""),45439.59664351852)</f>
        <v>45439.59664</v>
      </c>
      <c r="C1580" s="5" t="str">
        <f>IFERROR(__xludf.DUMMYFUNCTION("""COMPUTED_VALUE"""),"purchase")</f>
        <v>purchase</v>
      </c>
      <c r="D1580" s="10">
        <f t="shared" si="1"/>
        <v>45439</v>
      </c>
      <c r="E1580" s="10">
        <f t="shared" si="2"/>
        <v>45439</v>
      </c>
      <c r="F1580" s="10">
        <f t="shared" si="3"/>
        <v>45413</v>
      </c>
      <c r="G1580" s="11"/>
    </row>
    <row r="1581">
      <c r="A1581" s="5">
        <f>IFERROR(__xludf.DUMMYFUNCTION("""COMPUTED_VALUE"""),6858.0)</f>
        <v>6858</v>
      </c>
      <c r="B1581" s="9">
        <f>IFERROR(__xludf.DUMMYFUNCTION("""COMPUTED_VALUE"""),45439.84782407407)</f>
        <v>45439.84782</v>
      </c>
      <c r="C1581" s="5" t="str">
        <f>IFERROR(__xludf.DUMMYFUNCTION("""COMPUTED_VALUE"""),"purchase")</f>
        <v>purchase</v>
      </c>
      <c r="D1581" s="10">
        <f t="shared" si="1"/>
        <v>45439</v>
      </c>
      <c r="E1581" s="10">
        <f t="shared" si="2"/>
        <v>45439</v>
      </c>
      <c r="F1581" s="10">
        <f t="shared" si="3"/>
        <v>45413</v>
      </c>
      <c r="G1581" s="11"/>
    </row>
    <row r="1582">
      <c r="A1582" s="5">
        <f>IFERROR(__xludf.DUMMYFUNCTION("""COMPUTED_VALUE"""),4618.0)</f>
        <v>4618</v>
      </c>
      <c r="B1582" s="9">
        <f>IFERROR(__xludf.DUMMYFUNCTION("""COMPUTED_VALUE"""),45439.91997685185)</f>
        <v>45439.91998</v>
      </c>
      <c r="C1582" s="5" t="str">
        <f>IFERROR(__xludf.DUMMYFUNCTION("""COMPUTED_VALUE"""),"purchase")</f>
        <v>purchase</v>
      </c>
      <c r="D1582" s="10">
        <f t="shared" si="1"/>
        <v>45439</v>
      </c>
      <c r="E1582" s="10">
        <f t="shared" si="2"/>
        <v>45439</v>
      </c>
      <c r="F1582" s="10">
        <f t="shared" si="3"/>
        <v>45413</v>
      </c>
      <c r="G1582" s="11"/>
    </row>
    <row r="1583">
      <c r="A1583" s="5">
        <f>IFERROR(__xludf.DUMMYFUNCTION("""COMPUTED_VALUE"""),5543.0)</f>
        <v>5543</v>
      </c>
      <c r="B1583" s="9">
        <f>IFERROR(__xludf.DUMMYFUNCTION("""COMPUTED_VALUE"""),45439.9509375)</f>
        <v>45439.95094</v>
      </c>
      <c r="C1583" s="5" t="str">
        <f>IFERROR(__xludf.DUMMYFUNCTION("""COMPUTED_VALUE"""),"purchase")</f>
        <v>purchase</v>
      </c>
      <c r="D1583" s="10">
        <f t="shared" si="1"/>
        <v>45439</v>
      </c>
      <c r="E1583" s="10">
        <f t="shared" si="2"/>
        <v>45439</v>
      </c>
      <c r="F1583" s="10">
        <f t="shared" si="3"/>
        <v>45413</v>
      </c>
      <c r="G1583" s="11"/>
    </row>
    <row r="1584">
      <c r="A1584" s="5">
        <f>IFERROR(__xludf.DUMMYFUNCTION("""COMPUTED_VALUE"""),2698.0)</f>
        <v>2698</v>
      </c>
      <c r="B1584" s="9">
        <f>IFERROR(__xludf.DUMMYFUNCTION("""COMPUTED_VALUE"""),45439.95788194444)</f>
        <v>45439.95788</v>
      </c>
      <c r="C1584" s="5" t="str">
        <f>IFERROR(__xludf.DUMMYFUNCTION("""COMPUTED_VALUE"""),"purchase")</f>
        <v>purchase</v>
      </c>
      <c r="D1584" s="10">
        <f t="shared" si="1"/>
        <v>45439</v>
      </c>
      <c r="E1584" s="10">
        <f t="shared" si="2"/>
        <v>45439</v>
      </c>
      <c r="F1584" s="10">
        <f t="shared" si="3"/>
        <v>45413</v>
      </c>
      <c r="G1584" s="11"/>
    </row>
    <row r="1585">
      <c r="A1585" s="5">
        <f>IFERROR(__xludf.DUMMYFUNCTION("""COMPUTED_VALUE"""),5191.0)</f>
        <v>5191</v>
      </c>
      <c r="B1585" s="9">
        <f>IFERROR(__xludf.DUMMYFUNCTION("""COMPUTED_VALUE"""),45439.98596064815)</f>
        <v>45439.98596</v>
      </c>
      <c r="C1585" s="5" t="str">
        <f>IFERROR(__xludf.DUMMYFUNCTION("""COMPUTED_VALUE"""),"purchase")</f>
        <v>purchase</v>
      </c>
      <c r="D1585" s="10">
        <f t="shared" si="1"/>
        <v>45439</v>
      </c>
      <c r="E1585" s="10">
        <f t="shared" si="2"/>
        <v>45439</v>
      </c>
      <c r="F1585" s="10">
        <f t="shared" si="3"/>
        <v>45413</v>
      </c>
      <c r="G1585" s="11"/>
    </row>
    <row r="1586">
      <c r="A1586" s="5">
        <f>IFERROR(__xludf.DUMMYFUNCTION("""COMPUTED_VALUE"""),189.0)</f>
        <v>189</v>
      </c>
      <c r="B1586" s="9">
        <f>IFERROR(__xludf.DUMMYFUNCTION("""COMPUTED_VALUE"""),45440.303125)</f>
        <v>45440.30313</v>
      </c>
      <c r="C1586" s="5" t="str">
        <f>IFERROR(__xludf.DUMMYFUNCTION("""COMPUTED_VALUE"""),"purchase")</f>
        <v>purchase</v>
      </c>
      <c r="D1586" s="10">
        <f t="shared" si="1"/>
        <v>45440</v>
      </c>
      <c r="E1586" s="10">
        <f t="shared" si="2"/>
        <v>45439</v>
      </c>
      <c r="F1586" s="10">
        <f t="shared" si="3"/>
        <v>45413</v>
      </c>
      <c r="G1586" s="11"/>
    </row>
    <row r="1587">
      <c r="A1587" s="5">
        <f>IFERROR(__xludf.DUMMYFUNCTION("""COMPUTED_VALUE"""),866.0)</f>
        <v>866</v>
      </c>
      <c r="B1587" s="9">
        <f>IFERROR(__xludf.DUMMYFUNCTION("""COMPUTED_VALUE"""),45440.30872685185)</f>
        <v>45440.30873</v>
      </c>
      <c r="C1587" s="5" t="str">
        <f>IFERROR(__xludf.DUMMYFUNCTION("""COMPUTED_VALUE"""),"purchase")</f>
        <v>purchase</v>
      </c>
      <c r="D1587" s="10">
        <f t="shared" si="1"/>
        <v>45440</v>
      </c>
      <c r="E1587" s="10">
        <f t="shared" si="2"/>
        <v>45439</v>
      </c>
      <c r="F1587" s="10">
        <f t="shared" si="3"/>
        <v>45413</v>
      </c>
      <c r="G1587" s="11"/>
    </row>
    <row r="1588">
      <c r="A1588" s="5">
        <f>IFERROR(__xludf.DUMMYFUNCTION("""COMPUTED_VALUE"""),2338.0)</f>
        <v>2338</v>
      </c>
      <c r="B1588" s="9">
        <f>IFERROR(__xludf.DUMMYFUNCTION("""COMPUTED_VALUE"""),45440.3683912037)</f>
        <v>45440.36839</v>
      </c>
      <c r="C1588" s="5" t="str">
        <f>IFERROR(__xludf.DUMMYFUNCTION("""COMPUTED_VALUE"""),"purchase")</f>
        <v>purchase</v>
      </c>
      <c r="D1588" s="10">
        <f t="shared" si="1"/>
        <v>45440</v>
      </c>
      <c r="E1588" s="10">
        <f t="shared" si="2"/>
        <v>45439</v>
      </c>
      <c r="F1588" s="10">
        <f t="shared" si="3"/>
        <v>45413</v>
      </c>
      <c r="G1588" s="11"/>
    </row>
    <row r="1589">
      <c r="A1589" s="5">
        <f>IFERROR(__xludf.DUMMYFUNCTION("""COMPUTED_VALUE"""),4332.0)</f>
        <v>4332</v>
      </c>
      <c r="B1589" s="9">
        <f>IFERROR(__xludf.DUMMYFUNCTION("""COMPUTED_VALUE"""),45440.44931712963)</f>
        <v>45440.44932</v>
      </c>
      <c r="C1589" s="5" t="str">
        <f>IFERROR(__xludf.DUMMYFUNCTION("""COMPUTED_VALUE"""),"purchase")</f>
        <v>purchase</v>
      </c>
      <c r="D1589" s="10">
        <f t="shared" si="1"/>
        <v>45440</v>
      </c>
      <c r="E1589" s="10">
        <f t="shared" si="2"/>
        <v>45439</v>
      </c>
      <c r="F1589" s="10">
        <f t="shared" si="3"/>
        <v>45413</v>
      </c>
      <c r="G1589" s="11"/>
    </row>
    <row r="1590">
      <c r="A1590" s="5">
        <f>IFERROR(__xludf.DUMMYFUNCTION("""COMPUTED_VALUE"""),3313.0)</f>
        <v>3313</v>
      </c>
      <c r="B1590" s="9">
        <f>IFERROR(__xludf.DUMMYFUNCTION("""COMPUTED_VALUE"""),45440.49203703704)</f>
        <v>45440.49204</v>
      </c>
      <c r="C1590" s="5" t="str">
        <f>IFERROR(__xludf.DUMMYFUNCTION("""COMPUTED_VALUE"""),"purchase")</f>
        <v>purchase</v>
      </c>
      <c r="D1590" s="10">
        <f t="shared" si="1"/>
        <v>45440</v>
      </c>
      <c r="E1590" s="10">
        <f t="shared" si="2"/>
        <v>45439</v>
      </c>
      <c r="F1590" s="10">
        <f t="shared" si="3"/>
        <v>45413</v>
      </c>
      <c r="G1590" s="11"/>
    </row>
    <row r="1591">
      <c r="A1591" s="5">
        <f>IFERROR(__xludf.DUMMYFUNCTION("""COMPUTED_VALUE"""),7774.0)</f>
        <v>7774</v>
      </c>
      <c r="B1591" s="9">
        <f>IFERROR(__xludf.DUMMYFUNCTION("""COMPUTED_VALUE"""),45440.525659722225)</f>
        <v>45440.52566</v>
      </c>
      <c r="C1591" s="5" t="str">
        <f>IFERROR(__xludf.DUMMYFUNCTION("""COMPUTED_VALUE"""),"purchase")</f>
        <v>purchase</v>
      </c>
      <c r="D1591" s="10">
        <f t="shared" si="1"/>
        <v>45440</v>
      </c>
      <c r="E1591" s="10">
        <f t="shared" si="2"/>
        <v>45439</v>
      </c>
      <c r="F1591" s="10">
        <f t="shared" si="3"/>
        <v>45413</v>
      </c>
      <c r="G1591" s="11"/>
    </row>
    <row r="1592">
      <c r="A1592" s="5">
        <f>IFERROR(__xludf.DUMMYFUNCTION("""COMPUTED_VALUE"""),3347.0)</f>
        <v>3347</v>
      </c>
      <c r="B1592" s="9">
        <f>IFERROR(__xludf.DUMMYFUNCTION("""COMPUTED_VALUE"""),45440.83809027778)</f>
        <v>45440.83809</v>
      </c>
      <c r="C1592" s="5" t="str">
        <f>IFERROR(__xludf.DUMMYFUNCTION("""COMPUTED_VALUE"""),"purchase")</f>
        <v>purchase</v>
      </c>
      <c r="D1592" s="10">
        <f t="shared" si="1"/>
        <v>45440</v>
      </c>
      <c r="E1592" s="10">
        <f t="shared" si="2"/>
        <v>45439</v>
      </c>
      <c r="F1592" s="10">
        <f t="shared" si="3"/>
        <v>45413</v>
      </c>
      <c r="G1592" s="11"/>
    </row>
    <row r="1593">
      <c r="A1593" s="5">
        <f>IFERROR(__xludf.DUMMYFUNCTION("""COMPUTED_VALUE"""),6023.0)</f>
        <v>6023</v>
      </c>
      <c r="B1593" s="9">
        <f>IFERROR(__xludf.DUMMYFUNCTION("""COMPUTED_VALUE"""),45440.92356481482)</f>
        <v>45440.92356</v>
      </c>
      <c r="C1593" s="5" t="str">
        <f>IFERROR(__xludf.DUMMYFUNCTION("""COMPUTED_VALUE"""),"purchase")</f>
        <v>purchase</v>
      </c>
      <c r="D1593" s="10">
        <f t="shared" si="1"/>
        <v>45440</v>
      </c>
      <c r="E1593" s="10">
        <f t="shared" si="2"/>
        <v>45439</v>
      </c>
      <c r="F1593" s="10">
        <f t="shared" si="3"/>
        <v>45413</v>
      </c>
      <c r="G1593" s="11"/>
    </row>
    <row r="1594">
      <c r="A1594" s="5">
        <f>IFERROR(__xludf.DUMMYFUNCTION("""COMPUTED_VALUE"""),1871.0)</f>
        <v>1871</v>
      </c>
      <c r="B1594" s="9">
        <f>IFERROR(__xludf.DUMMYFUNCTION("""COMPUTED_VALUE"""),45440.96734953704)</f>
        <v>45440.96735</v>
      </c>
      <c r="C1594" s="5" t="str">
        <f>IFERROR(__xludf.DUMMYFUNCTION("""COMPUTED_VALUE"""),"purchase")</f>
        <v>purchase</v>
      </c>
      <c r="D1594" s="10">
        <f t="shared" si="1"/>
        <v>45440</v>
      </c>
      <c r="E1594" s="10">
        <f t="shared" si="2"/>
        <v>45439</v>
      </c>
      <c r="F1594" s="10">
        <f t="shared" si="3"/>
        <v>45413</v>
      </c>
      <c r="G1594" s="11"/>
    </row>
    <row r="1595">
      <c r="A1595" s="5">
        <f>IFERROR(__xludf.DUMMYFUNCTION("""COMPUTED_VALUE"""),1929.0)</f>
        <v>1929</v>
      </c>
      <c r="B1595" s="9">
        <f>IFERROR(__xludf.DUMMYFUNCTION("""COMPUTED_VALUE"""),45441.005740740744)</f>
        <v>45441.00574</v>
      </c>
      <c r="C1595" s="5" t="str">
        <f>IFERROR(__xludf.DUMMYFUNCTION("""COMPUTED_VALUE"""),"purchase")</f>
        <v>purchase</v>
      </c>
      <c r="D1595" s="10">
        <f t="shared" si="1"/>
        <v>45441</v>
      </c>
      <c r="E1595" s="10">
        <f t="shared" si="2"/>
        <v>45439</v>
      </c>
      <c r="F1595" s="10">
        <f t="shared" si="3"/>
        <v>45413</v>
      </c>
      <c r="G1595" s="11"/>
    </row>
    <row r="1596">
      <c r="A1596" s="5">
        <f>IFERROR(__xludf.DUMMYFUNCTION("""COMPUTED_VALUE"""),2772.0)</f>
        <v>2772</v>
      </c>
      <c r="B1596" s="9">
        <f>IFERROR(__xludf.DUMMYFUNCTION("""COMPUTED_VALUE"""),45441.04163194444)</f>
        <v>45441.04163</v>
      </c>
      <c r="C1596" s="5" t="str">
        <f>IFERROR(__xludf.DUMMYFUNCTION("""COMPUTED_VALUE"""),"purchase")</f>
        <v>purchase</v>
      </c>
      <c r="D1596" s="10">
        <f t="shared" si="1"/>
        <v>45441</v>
      </c>
      <c r="E1596" s="10">
        <f t="shared" si="2"/>
        <v>45439</v>
      </c>
      <c r="F1596" s="10">
        <f t="shared" si="3"/>
        <v>45413</v>
      </c>
      <c r="G1596" s="11"/>
    </row>
    <row r="1597">
      <c r="A1597" s="5">
        <f>IFERROR(__xludf.DUMMYFUNCTION("""COMPUTED_VALUE"""),2830.0)</f>
        <v>2830</v>
      </c>
      <c r="B1597" s="9">
        <f>IFERROR(__xludf.DUMMYFUNCTION("""COMPUTED_VALUE"""),45441.120150462964)</f>
        <v>45441.12015</v>
      </c>
      <c r="C1597" s="5" t="str">
        <f>IFERROR(__xludf.DUMMYFUNCTION("""COMPUTED_VALUE"""),"purchase")</f>
        <v>purchase</v>
      </c>
      <c r="D1597" s="10">
        <f t="shared" si="1"/>
        <v>45441</v>
      </c>
      <c r="E1597" s="10">
        <f t="shared" si="2"/>
        <v>45439</v>
      </c>
      <c r="F1597" s="10">
        <f t="shared" si="3"/>
        <v>45413</v>
      </c>
      <c r="G1597" s="11"/>
    </row>
    <row r="1598">
      <c r="A1598" s="5">
        <f>IFERROR(__xludf.DUMMYFUNCTION("""COMPUTED_VALUE"""),1411.0)</f>
        <v>1411</v>
      </c>
      <c r="B1598" s="9">
        <f>IFERROR(__xludf.DUMMYFUNCTION("""COMPUTED_VALUE"""),45441.136666666665)</f>
        <v>45441.13667</v>
      </c>
      <c r="C1598" s="5" t="str">
        <f>IFERROR(__xludf.DUMMYFUNCTION("""COMPUTED_VALUE"""),"purchase")</f>
        <v>purchase</v>
      </c>
      <c r="D1598" s="10">
        <f t="shared" si="1"/>
        <v>45441</v>
      </c>
      <c r="E1598" s="10">
        <f t="shared" si="2"/>
        <v>45439</v>
      </c>
      <c r="F1598" s="10">
        <f t="shared" si="3"/>
        <v>45413</v>
      </c>
      <c r="G1598" s="11"/>
    </row>
    <row r="1599">
      <c r="A1599" s="5">
        <f>IFERROR(__xludf.DUMMYFUNCTION("""COMPUTED_VALUE"""),548.0)</f>
        <v>548</v>
      </c>
      <c r="B1599" s="9">
        <f>IFERROR(__xludf.DUMMYFUNCTION("""COMPUTED_VALUE"""),45441.24456018519)</f>
        <v>45441.24456</v>
      </c>
      <c r="C1599" s="5" t="str">
        <f>IFERROR(__xludf.DUMMYFUNCTION("""COMPUTED_VALUE"""),"purchase")</f>
        <v>purchase</v>
      </c>
      <c r="D1599" s="10">
        <f t="shared" si="1"/>
        <v>45441</v>
      </c>
      <c r="E1599" s="10">
        <f t="shared" si="2"/>
        <v>45439</v>
      </c>
      <c r="F1599" s="10">
        <f t="shared" si="3"/>
        <v>45413</v>
      </c>
      <c r="G1599" s="11"/>
    </row>
    <row r="1600">
      <c r="A1600" s="5">
        <f>IFERROR(__xludf.DUMMYFUNCTION("""COMPUTED_VALUE"""),7786.0)</f>
        <v>7786</v>
      </c>
      <c r="B1600" s="9">
        <f>IFERROR(__xludf.DUMMYFUNCTION("""COMPUTED_VALUE"""),45441.270208333335)</f>
        <v>45441.27021</v>
      </c>
      <c r="C1600" s="5" t="str">
        <f>IFERROR(__xludf.DUMMYFUNCTION("""COMPUTED_VALUE"""),"purchase")</f>
        <v>purchase</v>
      </c>
      <c r="D1600" s="10">
        <f t="shared" si="1"/>
        <v>45441</v>
      </c>
      <c r="E1600" s="10">
        <f t="shared" si="2"/>
        <v>45439</v>
      </c>
      <c r="F1600" s="10">
        <f t="shared" si="3"/>
        <v>45413</v>
      </c>
      <c r="G1600" s="11"/>
    </row>
    <row r="1601">
      <c r="A1601" s="5">
        <f>IFERROR(__xludf.DUMMYFUNCTION("""COMPUTED_VALUE"""),2222.0)</f>
        <v>2222</v>
      </c>
      <c r="B1601" s="9">
        <f>IFERROR(__xludf.DUMMYFUNCTION("""COMPUTED_VALUE"""),45441.276342592595)</f>
        <v>45441.27634</v>
      </c>
      <c r="C1601" s="5" t="str">
        <f>IFERROR(__xludf.DUMMYFUNCTION("""COMPUTED_VALUE"""),"purchase")</f>
        <v>purchase</v>
      </c>
      <c r="D1601" s="10">
        <f t="shared" si="1"/>
        <v>45441</v>
      </c>
      <c r="E1601" s="10">
        <f t="shared" si="2"/>
        <v>45439</v>
      </c>
      <c r="F1601" s="10">
        <f t="shared" si="3"/>
        <v>45413</v>
      </c>
      <c r="G1601" s="11"/>
    </row>
    <row r="1602">
      <c r="A1602" s="5">
        <f>IFERROR(__xludf.DUMMYFUNCTION("""COMPUTED_VALUE"""),2765.0)</f>
        <v>2765</v>
      </c>
      <c r="B1602" s="9">
        <f>IFERROR(__xludf.DUMMYFUNCTION("""COMPUTED_VALUE"""),45441.417916666665)</f>
        <v>45441.41792</v>
      </c>
      <c r="C1602" s="5" t="str">
        <f>IFERROR(__xludf.DUMMYFUNCTION("""COMPUTED_VALUE"""),"purchase")</f>
        <v>purchase</v>
      </c>
      <c r="D1602" s="10">
        <f t="shared" si="1"/>
        <v>45441</v>
      </c>
      <c r="E1602" s="10">
        <f t="shared" si="2"/>
        <v>45439</v>
      </c>
      <c r="F1602" s="10">
        <f t="shared" si="3"/>
        <v>45413</v>
      </c>
      <c r="G1602" s="11"/>
    </row>
    <row r="1603">
      <c r="A1603" s="5">
        <f>IFERROR(__xludf.DUMMYFUNCTION("""COMPUTED_VALUE"""),5868.0)</f>
        <v>5868</v>
      </c>
      <c r="B1603" s="9">
        <f>IFERROR(__xludf.DUMMYFUNCTION("""COMPUTED_VALUE"""),45441.4221412037)</f>
        <v>45441.42214</v>
      </c>
      <c r="C1603" s="5" t="str">
        <f>IFERROR(__xludf.DUMMYFUNCTION("""COMPUTED_VALUE"""),"purchase")</f>
        <v>purchase</v>
      </c>
      <c r="D1603" s="10">
        <f t="shared" si="1"/>
        <v>45441</v>
      </c>
      <c r="E1603" s="10">
        <f t="shared" si="2"/>
        <v>45439</v>
      </c>
      <c r="F1603" s="10">
        <f t="shared" si="3"/>
        <v>45413</v>
      </c>
      <c r="G1603" s="11"/>
    </row>
    <row r="1604">
      <c r="A1604" s="5">
        <f>IFERROR(__xludf.DUMMYFUNCTION("""COMPUTED_VALUE"""),6655.0)</f>
        <v>6655</v>
      </c>
      <c r="B1604" s="9">
        <f>IFERROR(__xludf.DUMMYFUNCTION("""COMPUTED_VALUE"""),45441.453877314816)</f>
        <v>45441.45388</v>
      </c>
      <c r="C1604" s="5" t="str">
        <f>IFERROR(__xludf.DUMMYFUNCTION("""COMPUTED_VALUE"""),"purchase")</f>
        <v>purchase</v>
      </c>
      <c r="D1604" s="10">
        <f t="shared" si="1"/>
        <v>45441</v>
      </c>
      <c r="E1604" s="10">
        <f t="shared" si="2"/>
        <v>45439</v>
      </c>
      <c r="F1604" s="10">
        <f t="shared" si="3"/>
        <v>45413</v>
      </c>
      <c r="G1604" s="11"/>
    </row>
    <row r="1605">
      <c r="A1605" s="5">
        <f>IFERROR(__xludf.DUMMYFUNCTION("""COMPUTED_VALUE"""),2671.0)</f>
        <v>2671</v>
      </c>
      <c r="B1605" s="9">
        <f>IFERROR(__xludf.DUMMYFUNCTION("""COMPUTED_VALUE"""),45441.51458333333)</f>
        <v>45441.51458</v>
      </c>
      <c r="C1605" s="5" t="str">
        <f>IFERROR(__xludf.DUMMYFUNCTION("""COMPUTED_VALUE"""),"purchase")</f>
        <v>purchase</v>
      </c>
      <c r="D1605" s="10">
        <f t="shared" si="1"/>
        <v>45441</v>
      </c>
      <c r="E1605" s="10">
        <f t="shared" si="2"/>
        <v>45439</v>
      </c>
      <c r="F1605" s="10">
        <f t="shared" si="3"/>
        <v>45413</v>
      </c>
      <c r="G1605" s="11"/>
    </row>
    <row r="1606">
      <c r="A1606" s="5">
        <f>IFERROR(__xludf.DUMMYFUNCTION("""COMPUTED_VALUE"""),5139.0)</f>
        <v>5139</v>
      </c>
      <c r="B1606" s="9">
        <f>IFERROR(__xludf.DUMMYFUNCTION("""COMPUTED_VALUE"""),45441.516064814816)</f>
        <v>45441.51606</v>
      </c>
      <c r="C1606" s="5" t="str">
        <f>IFERROR(__xludf.DUMMYFUNCTION("""COMPUTED_VALUE"""),"purchase")</f>
        <v>purchase</v>
      </c>
      <c r="D1606" s="10">
        <f t="shared" si="1"/>
        <v>45441</v>
      </c>
      <c r="E1606" s="10">
        <f t="shared" si="2"/>
        <v>45439</v>
      </c>
      <c r="F1606" s="10">
        <f t="shared" si="3"/>
        <v>45413</v>
      </c>
      <c r="G1606" s="11"/>
    </row>
    <row r="1607">
      <c r="A1607" s="5">
        <f>IFERROR(__xludf.DUMMYFUNCTION("""COMPUTED_VALUE"""),3207.0)</f>
        <v>3207</v>
      </c>
      <c r="B1607" s="9">
        <f>IFERROR(__xludf.DUMMYFUNCTION("""COMPUTED_VALUE"""),45441.566041666665)</f>
        <v>45441.56604</v>
      </c>
      <c r="C1607" s="5" t="str">
        <f>IFERROR(__xludf.DUMMYFUNCTION("""COMPUTED_VALUE"""),"purchase")</f>
        <v>purchase</v>
      </c>
      <c r="D1607" s="10">
        <f t="shared" si="1"/>
        <v>45441</v>
      </c>
      <c r="E1607" s="10">
        <f t="shared" si="2"/>
        <v>45439</v>
      </c>
      <c r="F1607" s="10">
        <f t="shared" si="3"/>
        <v>45413</v>
      </c>
      <c r="G1607" s="11"/>
    </row>
    <row r="1608">
      <c r="A1608" s="5">
        <f>IFERROR(__xludf.DUMMYFUNCTION("""COMPUTED_VALUE"""),7771.0)</f>
        <v>7771</v>
      </c>
      <c r="B1608" s="9">
        <f>IFERROR(__xludf.DUMMYFUNCTION("""COMPUTED_VALUE"""),45441.68975694444)</f>
        <v>45441.68976</v>
      </c>
      <c r="C1608" s="5" t="str">
        <f>IFERROR(__xludf.DUMMYFUNCTION("""COMPUTED_VALUE"""),"purchase")</f>
        <v>purchase</v>
      </c>
      <c r="D1608" s="10">
        <f t="shared" si="1"/>
        <v>45441</v>
      </c>
      <c r="E1608" s="10">
        <f t="shared" si="2"/>
        <v>45439</v>
      </c>
      <c r="F1608" s="10">
        <f t="shared" si="3"/>
        <v>45413</v>
      </c>
      <c r="G1608" s="11"/>
    </row>
    <row r="1609">
      <c r="A1609" s="5">
        <f>IFERROR(__xludf.DUMMYFUNCTION("""COMPUTED_VALUE"""),4744.0)</f>
        <v>4744</v>
      </c>
      <c r="B1609" s="9">
        <f>IFERROR(__xludf.DUMMYFUNCTION("""COMPUTED_VALUE"""),45441.935949074075)</f>
        <v>45441.93595</v>
      </c>
      <c r="C1609" s="5" t="str">
        <f>IFERROR(__xludf.DUMMYFUNCTION("""COMPUTED_VALUE"""),"purchase")</f>
        <v>purchase</v>
      </c>
      <c r="D1609" s="10">
        <f t="shared" si="1"/>
        <v>45441</v>
      </c>
      <c r="E1609" s="10">
        <f t="shared" si="2"/>
        <v>45439</v>
      </c>
      <c r="F1609" s="10">
        <f t="shared" si="3"/>
        <v>45413</v>
      </c>
      <c r="G1609" s="11"/>
    </row>
    <row r="1610">
      <c r="A1610" s="5">
        <f>IFERROR(__xludf.DUMMYFUNCTION("""COMPUTED_VALUE"""),5994.0)</f>
        <v>5994</v>
      </c>
      <c r="B1610" s="9">
        <f>IFERROR(__xludf.DUMMYFUNCTION("""COMPUTED_VALUE"""),45442.093125)</f>
        <v>45442.09313</v>
      </c>
      <c r="C1610" s="5" t="str">
        <f>IFERROR(__xludf.DUMMYFUNCTION("""COMPUTED_VALUE"""),"purchase")</f>
        <v>purchase</v>
      </c>
      <c r="D1610" s="10">
        <f t="shared" si="1"/>
        <v>45442</v>
      </c>
      <c r="E1610" s="10">
        <f t="shared" si="2"/>
        <v>45439</v>
      </c>
      <c r="F1610" s="10">
        <f t="shared" si="3"/>
        <v>45413</v>
      </c>
      <c r="G1610" s="11"/>
    </row>
    <row r="1611">
      <c r="A1611" s="5">
        <f>IFERROR(__xludf.DUMMYFUNCTION("""COMPUTED_VALUE"""),6850.0)</f>
        <v>6850</v>
      </c>
      <c r="B1611" s="9">
        <f>IFERROR(__xludf.DUMMYFUNCTION("""COMPUTED_VALUE"""),45442.10585648148)</f>
        <v>45442.10586</v>
      </c>
      <c r="C1611" s="5" t="str">
        <f>IFERROR(__xludf.DUMMYFUNCTION("""COMPUTED_VALUE"""),"purchase")</f>
        <v>purchase</v>
      </c>
      <c r="D1611" s="10">
        <f t="shared" si="1"/>
        <v>45442</v>
      </c>
      <c r="E1611" s="10">
        <f t="shared" si="2"/>
        <v>45439</v>
      </c>
      <c r="F1611" s="10">
        <f t="shared" si="3"/>
        <v>45413</v>
      </c>
      <c r="G1611" s="11"/>
    </row>
    <row r="1612">
      <c r="A1612" s="5">
        <f>IFERROR(__xludf.DUMMYFUNCTION("""COMPUTED_VALUE"""),1721.0)</f>
        <v>1721</v>
      </c>
      <c r="B1612" s="9">
        <f>IFERROR(__xludf.DUMMYFUNCTION("""COMPUTED_VALUE"""),45442.16342592592)</f>
        <v>45442.16343</v>
      </c>
      <c r="C1612" s="5" t="str">
        <f>IFERROR(__xludf.DUMMYFUNCTION("""COMPUTED_VALUE"""),"purchase")</f>
        <v>purchase</v>
      </c>
      <c r="D1612" s="10">
        <f t="shared" si="1"/>
        <v>45442</v>
      </c>
      <c r="E1612" s="10">
        <f t="shared" si="2"/>
        <v>45439</v>
      </c>
      <c r="F1612" s="10">
        <f t="shared" si="3"/>
        <v>45413</v>
      </c>
      <c r="G1612" s="11"/>
    </row>
    <row r="1613">
      <c r="A1613" s="5">
        <f>IFERROR(__xludf.DUMMYFUNCTION("""COMPUTED_VALUE"""),2274.0)</f>
        <v>2274</v>
      </c>
      <c r="B1613" s="9">
        <f>IFERROR(__xludf.DUMMYFUNCTION("""COMPUTED_VALUE"""),45442.17233796296)</f>
        <v>45442.17234</v>
      </c>
      <c r="C1613" s="5" t="str">
        <f>IFERROR(__xludf.DUMMYFUNCTION("""COMPUTED_VALUE"""),"purchase")</f>
        <v>purchase</v>
      </c>
      <c r="D1613" s="10">
        <f t="shared" si="1"/>
        <v>45442</v>
      </c>
      <c r="E1613" s="10">
        <f t="shared" si="2"/>
        <v>45439</v>
      </c>
      <c r="F1613" s="10">
        <f t="shared" si="3"/>
        <v>45413</v>
      </c>
      <c r="G1613" s="11"/>
    </row>
    <row r="1614">
      <c r="A1614" s="5">
        <f>IFERROR(__xludf.DUMMYFUNCTION("""COMPUTED_VALUE"""),2064.0)</f>
        <v>2064</v>
      </c>
      <c r="B1614" s="9">
        <f>IFERROR(__xludf.DUMMYFUNCTION("""COMPUTED_VALUE"""),45442.53739583334)</f>
        <v>45442.5374</v>
      </c>
      <c r="C1614" s="5" t="str">
        <f>IFERROR(__xludf.DUMMYFUNCTION("""COMPUTED_VALUE"""),"purchase")</f>
        <v>purchase</v>
      </c>
      <c r="D1614" s="10">
        <f t="shared" si="1"/>
        <v>45442</v>
      </c>
      <c r="E1614" s="10">
        <f t="shared" si="2"/>
        <v>45439</v>
      </c>
      <c r="F1614" s="10">
        <f t="shared" si="3"/>
        <v>45413</v>
      </c>
      <c r="G1614" s="11"/>
    </row>
    <row r="1615">
      <c r="A1615" s="5">
        <f>IFERROR(__xludf.DUMMYFUNCTION("""COMPUTED_VALUE"""),1039.0)</f>
        <v>1039</v>
      </c>
      <c r="B1615" s="9">
        <f>IFERROR(__xludf.DUMMYFUNCTION("""COMPUTED_VALUE"""),45442.798622685186)</f>
        <v>45442.79862</v>
      </c>
      <c r="C1615" s="5" t="str">
        <f>IFERROR(__xludf.DUMMYFUNCTION("""COMPUTED_VALUE"""),"purchase")</f>
        <v>purchase</v>
      </c>
      <c r="D1615" s="10">
        <f t="shared" si="1"/>
        <v>45442</v>
      </c>
      <c r="E1615" s="10">
        <f t="shared" si="2"/>
        <v>45439</v>
      </c>
      <c r="F1615" s="10">
        <f t="shared" si="3"/>
        <v>45413</v>
      </c>
      <c r="G1615" s="11"/>
    </row>
    <row r="1616">
      <c r="A1616" s="5">
        <f>IFERROR(__xludf.DUMMYFUNCTION("""COMPUTED_VALUE"""),7362.0)</f>
        <v>7362</v>
      </c>
      <c r="B1616" s="9">
        <f>IFERROR(__xludf.DUMMYFUNCTION("""COMPUTED_VALUE"""),45442.971180555556)</f>
        <v>45442.97118</v>
      </c>
      <c r="C1616" s="5" t="str">
        <f>IFERROR(__xludf.DUMMYFUNCTION("""COMPUTED_VALUE"""),"purchase")</f>
        <v>purchase</v>
      </c>
      <c r="D1616" s="10">
        <f t="shared" si="1"/>
        <v>45442</v>
      </c>
      <c r="E1616" s="10">
        <f t="shared" si="2"/>
        <v>45439</v>
      </c>
      <c r="F1616" s="10">
        <f t="shared" si="3"/>
        <v>45413</v>
      </c>
      <c r="G1616" s="11"/>
    </row>
    <row r="1617">
      <c r="A1617" s="5">
        <f>IFERROR(__xludf.DUMMYFUNCTION("""COMPUTED_VALUE"""),3208.0)</f>
        <v>3208</v>
      </c>
      <c r="B1617" s="9">
        <f>IFERROR(__xludf.DUMMYFUNCTION("""COMPUTED_VALUE"""),45443.0171875)</f>
        <v>45443.01719</v>
      </c>
      <c r="C1617" s="5" t="str">
        <f>IFERROR(__xludf.DUMMYFUNCTION("""COMPUTED_VALUE"""),"purchase")</f>
        <v>purchase</v>
      </c>
      <c r="D1617" s="10">
        <f t="shared" si="1"/>
        <v>45443</v>
      </c>
      <c r="E1617" s="10">
        <f t="shared" si="2"/>
        <v>45439</v>
      </c>
      <c r="F1617" s="10">
        <f t="shared" si="3"/>
        <v>45413</v>
      </c>
      <c r="G1617" s="11"/>
    </row>
    <row r="1618">
      <c r="A1618" s="5">
        <f>IFERROR(__xludf.DUMMYFUNCTION("""COMPUTED_VALUE"""),836.0)</f>
        <v>836</v>
      </c>
      <c r="B1618" s="9">
        <f>IFERROR(__xludf.DUMMYFUNCTION("""COMPUTED_VALUE"""),45443.034097222226)</f>
        <v>45443.0341</v>
      </c>
      <c r="C1618" s="5" t="str">
        <f>IFERROR(__xludf.DUMMYFUNCTION("""COMPUTED_VALUE"""),"purchase")</f>
        <v>purchase</v>
      </c>
      <c r="D1618" s="10">
        <f t="shared" si="1"/>
        <v>45443</v>
      </c>
      <c r="E1618" s="10">
        <f t="shared" si="2"/>
        <v>45439</v>
      </c>
      <c r="F1618" s="10">
        <f t="shared" si="3"/>
        <v>45413</v>
      </c>
      <c r="G1618" s="11"/>
    </row>
    <row r="1619">
      <c r="A1619" s="5">
        <f>IFERROR(__xludf.DUMMYFUNCTION("""COMPUTED_VALUE"""),1731.0)</f>
        <v>1731</v>
      </c>
      <c r="B1619" s="9">
        <f>IFERROR(__xludf.DUMMYFUNCTION("""COMPUTED_VALUE"""),45443.06854166667)</f>
        <v>45443.06854</v>
      </c>
      <c r="C1619" s="5" t="str">
        <f>IFERROR(__xludf.DUMMYFUNCTION("""COMPUTED_VALUE"""),"purchase")</f>
        <v>purchase</v>
      </c>
      <c r="D1619" s="10">
        <f t="shared" si="1"/>
        <v>45443</v>
      </c>
      <c r="E1619" s="10">
        <f t="shared" si="2"/>
        <v>45439</v>
      </c>
      <c r="F1619" s="10">
        <f t="shared" si="3"/>
        <v>45413</v>
      </c>
      <c r="G1619" s="11"/>
    </row>
    <row r="1620">
      <c r="A1620" s="5">
        <f>IFERROR(__xludf.DUMMYFUNCTION("""COMPUTED_VALUE"""),2693.0)</f>
        <v>2693</v>
      </c>
      <c r="B1620" s="9">
        <f>IFERROR(__xludf.DUMMYFUNCTION("""COMPUTED_VALUE"""),45443.39252314815)</f>
        <v>45443.39252</v>
      </c>
      <c r="C1620" s="5" t="str">
        <f>IFERROR(__xludf.DUMMYFUNCTION("""COMPUTED_VALUE"""),"purchase")</f>
        <v>purchase</v>
      </c>
      <c r="D1620" s="10">
        <f t="shared" si="1"/>
        <v>45443</v>
      </c>
      <c r="E1620" s="10">
        <f t="shared" si="2"/>
        <v>45439</v>
      </c>
      <c r="F1620" s="10">
        <f t="shared" si="3"/>
        <v>45413</v>
      </c>
      <c r="G1620" s="11"/>
    </row>
    <row r="1621">
      <c r="A1621" s="5">
        <f>IFERROR(__xludf.DUMMYFUNCTION("""COMPUTED_VALUE"""),5479.0)</f>
        <v>5479</v>
      </c>
      <c r="B1621" s="9">
        <f>IFERROR(__xludf.DUMMYFUNCTION("""COMPUTED_VALUE"""),45443.40010416666)</f>
        <v>45443.4001</v>
      </c>
      <c r="C1621" s="5" t="str">
        <f>IFERROR(__xludf.DUMMYFUNCTION("""COMPUTED_VALUE"""),"purchase")</f>
        <v>purchase</v>
      </c>
      <c r="D1621" s="10">
        <f t="shared" si="1"/>
        <v>45443</v>
      </c>
      <c r="E1621" s="10">
        <f t="shared" si="2"/>
        <v>45439</v>
      </c>
      <c r="F1621" s="10">
        <f t="shared" si="3"/>
        <v>45413</v>
      </c>
      <c r="G1621" s="11"/>
    </row>
    <row r="1622">
      <c r="A1622" s="5">
        <f>IFERROR(__xludf.DUMMYFUNCTION("""COMPUTED_VALUE"""),7504.0)</f>
        <v>7504</v>
      </c>
      <c r="B1622" s="9">
        <f>IFERROR(__xludf.DUMMYFUNCTION("""COMPUTED_VALUE"""),45443.53765046296)</f>
        <v>45443.53765</v>
      </c>
      <c r="C1622" s="5" t="str">
        <f>IFERROR(__xludf.DUMMYFUNCTION("""COMPUTED_VALUE"""),"purchase")</f>
        <v>purchase</v>
      </c>
      <c r="D1622" s="10">
        <f t="shared" si="1"/>
        <v>45443</v>
      </c>
      <c r="E1622" s="10">
        <f t="shared" si="2"/>
        <v>45439</v>
      </c>
      <c r="F1622" s="10">
        <f t="shared" si="3"/>
        <v>45413</v>
      </c>
      <c r="G1622" s="11"/>
    </row>
    <row r="1623">
      <c r="A1623" s="5">
        <f>IFERROR(__xludf.DUMMYFUNCTION("""COMPUTED_VALUE"""),3194.0)</f>
        <v>3194</v>
      </c>
      <c r="B1623" s="9">
        <f>IFERROR(__xludf.DUMMYFUNCTION("""COMPUTED_VALUE"""),45443.63502314815)</f>
        <v>45443.63502</v>
      </c>
      <c r="C1623" s="5" t="str">
        <f>IFERROR(__xludf.DUMMYFUNCTION("""COMPUTED_VALUE"""),"purchase")</f>
        <v>purchase</v>
      </c>
      <c r="D1623" s="10">
        <f t="shared" si="1"/>
        <v>45443</v>
      </c>
      <c r="E1623" s="10">
        <f t="shared" si="2"/>
        <v>45439</v>
      </c>
      <c r="F1623" s="10">
        <f t="shared" si="3"/>
        <v>45413</v>
      </c>
      <c r="G1623" s="11"/>
    </row>
    <row r="1624">
      <c r="A1624" s="5">
        <f>IFERROR(__xludf.DUMMYFUNCTION("""COMPUTED_VALUE"""),4510.0)</f>
        <v>4510</v>
      </c>
      <c r="B1624" s="9">
        <f>IFERROR(__xludf.DUMMYFUNCTION("""COMPUTED_VALUE"""),45443.68017361111)</f>
        <v>45443.68017</v>
      </c>
      <c r="C1624" s="5" t="str">
        <f>IFERROR(__xludf.DUMMYFUNCTION("""COMPUTED_VALUE"""),"purchase")</f>
        <v>purchase</v>
      </c>
      <c r="D1624" s="10">
        <f t="shared" si="1"/>
        <v>45443</v>
      </c>
      <c r="E1624" s="10">
        <f t="shared" si="2"/>
        <v>45439</v>
      </c>
      <c r="F1624" s="10">
        <f t="shared" si="3"/>
        <v>45413</v>
      </c>
      <c r="G1624" s="11"/>
    </row>
    <row r="1625">
      <c r="A1625" s="5">
        <f>IFERROR(__xludf.DUMMYFUNCTION("""COMPUTED_VALUE"""),3455.0)</f>
        <v>3455</v>
      </c>
      <c r="B1625" s="9">
        <f>IFERROR(__xludf.DUMMYFUNCTION("""COMPUTED_VALUE"""),45443.828738425924)</f>
        <v>45443.82874</v>
      </c>
      <c r="C1625" s="5" t="str">
        <f>IFERROR(__xludf.DUMMYFUNCTION("""COMPUTED_VALUE"""),"purchase")</f>
        <v>purchase</v>
      </c>
      <c r="D1625" s="10">
        <f t="shared" si="1"/>
        <v>45443</v>
      </c>
      <c r="E1625" s="10">
        <f t="shared" si="2"/>
        <v>45439</v>
      </c>
      <c r="F1625" s="10">
        <f t="shared" si="3"/>
        <v>45413</v>
      </c>
      <c r="G1625" s="11"/>
    </row>
    <row r="1626">
      <c r="A1626" s="5">
        <f>IFERROR(__xludf.DUMMYFUNCTION("""COMPUTED_VALUE"""),3593.0)</f>
        <v>3593</v>
      </c>
      <c r="B1626" s="9">
        <f>IFERROR(__xludf.DUMMYFUNCTION("""COMPUTED_VALUE"""),45443.869363425925)</f>
        <v>45443.86936</v>
      </c>
      <c r="C1626" s="5" t="str">
        <f>IFERROR(__xludf.DUMMYFUNCTION("""COMPUTED_VALUE"""),"purchase")</f>
        <v>purchase</v>
      </c>
      <c r="D1626" s="10">
        <f t="shared" si="1"/>
        <v>45443</v>
      </c>
      <c r="E1626" s="10">
        <f t="shared" si="2"/>
        <v>45439</v>
      </c>
      <c r="F1626" s="10">
        <f t="shared" si="3"/>
        <v>45413</v>
      </c>
      <c r="G1626" s="11"/>
    </row>
    <row r="1627">
      <c r="A1627" s="5">
        <f>IFERROR(__xludf.DUMMYFUNCTION("""COMPUTED_VALUE"""),2489.0)</f>
        <v>2489</v>
      </c>
      <c r="B1627" s="9">
        <f>IFERROR(__xludf.DUMMYFUNCTION("""COMPUTED_VALUE"""),45444.054710648146)</f>
        <v>45444.05471</v>
      </c>
      <c r="C1627" s="5" t="str">
        <f>IFERROR(__xludf.DUMMYFUNCTION("""COMPUTED_VALUE"""),"purchase")</f>
        <v>purchase</v>
      </c>
      <c r="D1627" s="10">
        <f t="shared" si="1"/>
        <v>45444</v>
      </c>
      <c r="E1627" s="10">
        <f t="shared" si="2"/>
        <v>45439</v>
      </c>
      <c r="F1627" s="10">
        <f t="shared" si="3"/>
        <v>45444</v>
      </c>
      <c r="G1627" s="11"/>
    </row>
    <row r="1628">
      <c r="A1628" s="5">
        <f>IFERROR(__xludf.DUMMYFUNCTION("""COMPUTED_VALUE"""),1091.0)</f>
        <v>1091</v>
      </c>
      <c r="B1628" s="9">
        <f>IFERROR(__xludf.DUMMYFUNCTION("""COMPUTED_VALUE"""),45444.06413194445)</f>
        <v>45444.06413</v>
      </c>
      <c r="C1628" s="5" t="str">
        <f>IFERROR(__xludf.DUMMYFUNCTION("""COMPUTED_VALUE"""),"purchase")</f>
        <v>purchase</v>
      </c>
      <c r="D1628" s="10">
        <f t="shared" si="1"/>
        <v>45444</v>
      </c>
      <c r="E1628" s="10">
        <f t="shared" si="2"/>
        <v>45439</v>
      </c>
      <c r="F1628" s="10">
        <f t="shared" si="3"/>
        <v>45444</v>
      </c>
      <c r="G1628" s="11"/>
    </row>
    <row r="1629">
      <c r="A1629" s="5">
        <f>IFERROR(__xludf.DUMMYFUNCTION("""COMPUTED_VALUE"""),1318.0)</f>
        <v>1318</v>
      </c>
      <c r="B1629" s="9">
        <f>IFERROR(__xludf.DUMMYFUNCTION("""COMPUTED_VALUE"""),45444.09956018518)</f>
        <v>45444.09956</v>
      </c>
      <c r="C1629" s="5" t="str">
        <f>IFERROR(__xludf.DUMMYFUNCTION("""COMPUTED_VALUE"""),"purchase")</f>
        <v>purchase</v>
      </c>
      <c r="D1629" s="10">
        <f t="shared" si="1"/>
        <v>45444</v>
      </c>
      <c r="E1629" s="10">
        <f t="shared" si="2"/>
        <v>45439</v>
      </c>
      <c r="F1629" s="10">
        <f t="shared" si="3"/>
        <v>45444</v>
      </c>
      <c r="G1629" s="11"/>
    </row>
    <row r="1630">
      <c r="A1630" s="5">
        <f>IFERROR(__xludf.DUMMYFUNCTION("""COMPUTED_VALUE"""),7160.0)</f>
        <v>7160</v>
      </c>
      <c r="B1630" s="9">
        <f>IFERROR(__xludf.DUMMYFUNCTION("""COMPUTED_VALUE"""),45444.126435185186)</f>
        <v>45444.12644</v>
      </c>
      <c r="C1630" s="5" t="str">
        <f>IFERROR(__xludf.DUMMYFUNCTION("""COMPUTED_VALUE"""),"purchase")</f>
        <v>purchase</v>
      </c>
      <c r="D1630" s="10">
        <f t="shared" si="1"/>
        <v>45444</v>
      </c>
      <c r="E1630" s="10">
        <f t="shared" si="2"/>
        <v>45439</v>
      </c>
      <c r="F1630" s="10">
        <f t="shared" si="3"/>
        <v>45444</v>
      </c>
      <c r="G1630" s="11"/>
    </row>
    <row r="1631">
      <c r="A1631" s="5">
        <f>IFERROR(__xludf.DUMMYFUNCTION("""COMPUTED_VALUE"""),6621.0)</f>
        <v>6621</v>
      </c>
      <c r="B1631" s="9">
        <f>IFERROR(__xludf.DUMMYFUNCTION("""COMPUTED_VALUE"""),45444.31953703704)</f>
        <v>45444.31954</v>
      </c>
      <c r="C1631" s="5" t="str">
        <f>IFERROR(__xludf.DUMMYFUNCTION("""COMPUTED_VALUE"""),"purchase")</f>
        <v>purchase</v>
      </c>
      <c r="D1631" s="10">
        <f t="shared" si="1"/>
        <v>45444</v>
      </c>
      <c r="E1631" s="10">
        <f t="shared" si="2"/>
        <v>45439</v>
      </c>
      <c r="F1631" s="10">
        <f t="shared" si="3"/>
        <v>45444</v>
      </c>
      <c r="G1631" s="11"/>
    </row>
    <row r="1632">
      <c r="A1632" s="5">
        <f>IFERROR(__xludf.DUMMYFUNCTION("""COMPUTED_VALUE"""),7220.0)</f>
        <v>7220</v>
      </c>
      <c r="B1632" s="9">
        <f>IFERROR(__xludf.DUMMYFUNCTION("""COMPUTED_VALUE"""),45444.451365740744)</f>
        <v>45444.45137</v>
      </c>
      <c r="C1632" s="5" t="str">
        <f>IFERROR(__xludf.DUMMYFUNCTION("""COMPUTED_VALUE"""),"purchase")</f>
        <v>purchase</v>
      </c>
      <c r="D1632" s="10">
        <f t="shared" si="1"/>
        <v>45444</v>
      </c>
      <c r="E1632" s="10">
        <f t="shared" si="2"/>
        <v>45439</v>
      </c>
      <c r="F1632" s="10">
        <f t="shared" si="3"/>
        <v>45444</v>
      </c>
      <c r="G1632" s="11"/>
    </row>
    <row r="1633">
      <c r="A1633" s="5">
        <f>IFERROR(__xludf.DUMMYFUNCTION("""COMPUTED_VALUE"""),3306.0)</f>
        <v>3306</v>
      </c>
      <c r="B1633" s="9">
        <f>IFERROR(__xludf.DUMMYFUNCTION("""COMPUTED_VALUE"""),45444.50005787037)</f>
        <v>45444.50006</v>
      </c>
      <c r="C1633" s="5" t="str">
        <f>IFERROR(__xludf.DUMMYFUNCTION("""COMPUTED_VALUE"""),"purchase")</f>
        <v>purchase</v>
      </c>
      <c r="D1633" s="10">
        <f t="shared" si="1"/>
        <v>45444</v>
      </c>
      <c r="E1633" s="10">
        <f t="shared" si="2"/>
        <v>45439</v>
      </c>
      <c r="F1633" s="10">
        <f t="shared" si="3"/>
        <v>45444</v>
      </c>
      <c r="G1633" s="11"/>
    </row>
    <row r="1634">
      <c r="A1634" s="5">
        <f>IFERROR(__xludf.DUMMYFUNCTION("""COMPUTED_VALUE"""),7785.0)</f>
        <v>7785</v>
      </c>
      <c r="B1634" s="9">
        <f>IFERROR(__xludf.DUMMYFUNCTION("""COMPUTED_VALUE"""),45444.620717592596)</f>
        <v>45444.62072</v>
      </c>
      <c r="C1634" s="5" t="str">
        <f>IFERROR(__xludf.DUMMYFUNCTION("""COMPUTED_VALUE"""),"purchase")</f>
        <v>purchase</v>
      </c>
      <c r="D1634" s="10">
        <f t="shared" si="1"/>
        <v>45444</v>
      </c>
      <c r="E1634" s="10">
        <f t="shared" si="2"/>
        <v>45439</v>
      </c>
      <c r="F1634" s="10">
        <f t="shared" si="3"/>
        <v>45444</v>
      </c>
      <c r="G1634" s="11"/>
    </row>
    <row r="1635">
      <c r="A1635" s="5">
        <f>IFERROR(__xludf.DUMMYFUNCTION("""COMPUTED_VALUE"""),4102.0)</f>
        <v>4102</v>
      </c>
      <c r="B1635" s="9">
        <f>IFERROR(__xludf.DUMMYFUNCTION("""COMPUTED_VALUE"""),45444.63943287037)</f>
        <v>45444.63943</v>
      </c>
      <c r="C1635" s="5" t="str">
        <f>IFERROR(__xludf.DUMMYFUNCTION("""COMPUTED_VALUE"""),"purchase")</f>
        <v>purchase</v>
      </c>
      <c r="D1635" s="10">
        <f t="shared" si="1"/>
        <v>45444</v>
      </c>
      <c r="E1635" s="10">
        <f t="shared" si="2"/>
        <v>45439</v>
      </c>
      <c r="F1635" s="10">
        <f t="shared" si="3"/>
        <v>45444</v>
      </c>
      <c r="G1635" s="11"/>
    </row>
    <row r="1636">
      <c r="A1636" s="5">
        <f>IFERROR(__xludf.DUMMYFUNCTION("""COMPUTED_VALUE"""),7443.0)</f>
        <v>7443</v>
      </c>
      <c r="B1636" s="9">
        <f>IFERROR(__xludf.DUMMYFUNCTION("""COMPUTED_VALUE"""),45444.688796296294)</f>
        <v>45444.6888</v>
      </c>
      <c r="C1636" s="5" t="str">
        <f>IFERROR(__xludf.DUMMYFUNCTION("""COMPUTED_VALUE"""),"purchase")</f>
        <v>purchase</v>
      </c>
      <c r="D1636" s="10">
        <f t="shared" si="1"/>
        <v>45444</v>
      </c>
      <c r="E1636" s="10">
        <f t="shared" si="2"/>
        <v>45439</v>
      </c>
      <c r="F1636" s="10">
        <f t="shared" si="3"/>
        <v>45444</v>
      </c>
      <c r="G1636" s="11"/>
    </row>
    <row r="1637">
      <c r="A1637" s="5">
        <f>IFERROR(__xludf.DUMMYFUNCTION("""COMPUTED_VALUE"""),6553.0)</f>
        <v>6553</v>
      </c>
      <c r="B1637" s="9">
        <f>IFERROR(__xludf.DUMMYFUNCTION("""COMPUTED_VALUE"""),45444.73039351852)</f>
        <v>45444.73039</v>
      </c>
      <c r="C1637" s="5" t="str">
        <f>IFERROR(__xludf.DUMMYFUNCTION("""COMPUTED_VALUE"""),"purchase")</f>
        <v>purchase</v>
      </c>
      <c r="D1637" s="10">
        <f t="shared" si="1"/>
        <v>45444</v>
      </c>
      <c r="E1637" s="10">
        <f t="shared" si="2"/>
        <v>45439</v>
      </c>
      <c r="F1637" s="10">
        <f t="shared" si="3"/>
        <v>45444</v>
      </c>
      <c r="G1637" s="11"/>
    </row>
    <row r="1638">
      <c r="A1638" s="5">
        <f>IFERROR(__xludf.DUMMYFUNCTION("""COMPUTED_VALUE"""),2019.0)</f>
        <v>2019</v>
      </c>
      <c r="B1638" s="9">
        <f>IFERROR(__xludf.DUMMYFUNCTION("""COMPUTED_VALUE"""),45444.75577546296)</f>
        <v>45444.75578</v>
      </c>
      <c r="C1638" s="5" t="str">
        <f>IFERROR(__xludf.DUMMYFUNCTION("""COMPUTED_VALUE"""),"purchase")</f>
        <v>purchase</v>
      </c>
      <c r="D1638" s="10">
        <f t="shared" si="1"/>
        <v>45444</v>
      </c>
      <c r="E1638" s="10">
        <f t="shared" si="2"/>
        <v>45439</v>
      </c>
      <c r="F1638" s="10">
        <f t="shared" si="3"/>
        <v>45444</v>
      </c>
      <c r="G1638" s="11"/>
    </row>
    <row r="1639">
      <c r="A1639" s="5">
        <f>IFERROR(__xludf.DUMMYFUNCTION("""COMPUTED_VALUE"""),5708.0)</f>
        <v>5708</v>
      </c>
      <c r="B1639" s="9">
        <f>IFERROR(__xludf.DUMMYFUNCTION("""COMPUTED_VALUE"""),45444.77127314815)</f>
        <v>45444.77127</v>
      </c>
      <c r="C1639" s="5" t="str">
        <f>IFERROR(__xludf.DUMMYFUNCTION("""COMPUTED_VALUE"""),"purchase")</f>
        <v>purchase</v>
      </c>
      <c r="D1639" s="10">
        <f t="shared" si="1"/>
        <v>45444</v>
      </c>
      <c r="E1639" s="10">
        <f t="shared" si="2"/>
        <v>45439</v>
      </c>
      <c r="F1639" s="10">
        <f t="shared" si="3"/>
        <v>45444</v>
      </c>
      <c r="G1639" s="11"/>
    </row>
    <row r="1640">
      <c r="A1640" s="5">
        <f>IFERROR(__xludf.DUMMYFUNCTION("""COMPUTED_VALUE"""),3071.0)</f>
        <v>3071</v>
      </c>
      <c r="B1640" s="9">
        <f>IFERROR(__xludf.DUMMYFUNCTION("""COMPUTED_VALUE"""),45445.076631944445)</f>
        <v>45445.07663</v>
      </c>
      <c r="C1640" s="5" t="str">
        <f>IFERROR(__xludf.DUMMYFUNCTION("""COMPUTED_VALUE"""),"purchase")</f>
        <v>purchase</v>
      </c>
      <c r="D1640" s="10">
        <f t="shared" si="1"/>
        <v>45445</v>
      </c>
      <c r="E1640" s="10">
        <f t="shared" si="2"/>
        <v>45439</v>
      </c>
      <c r="F1640" s="10">
        <f t="shared" si="3"/>
        <v>45444</v>
      </c>
      <c r="G1640" s="11"/>
    </row>
    <row r="1641">
      <c r="A1641" s="5">
        <f>IFERROR(__xludf.DUMMYFUNCTION("""COMPUTED_VALUE"""),51.0)</f>
        <v>51</v>
      </c>
      <c r="B1641" s="9">
        <f>IFERROR(__xludf.DUMMYFUNCTION("""COMPUTED_VALUE"""),45445.29555555555)</f>
        <v>45445.29556</v>
      </c>
      <c r="C1641" s="5" t="str">
        <f>IFERROR(__xludf.DUMMYFUNCTION("""COMPUTED_VALUE"""),"purchase")</f>
        <v>purchase</v>
      </c>
      <c r="D1641" s="10">
        <f t="shared" si="1"/>
        <v>45445</v>
      </c>
      <c r="E1641" s="10">
        <f t="shared" si="2"/>
        <v>45439</v>
      </c>
      <c r="F1641" s="10">
        <f t="shared" si="3"/>
        <v>45444</v>
      </c>
      <c r="G1641" s="11"/>
    </row>
    <row r="1642">
      <c r="A1642" s="5">
        <f>IFERROR(__xludf.DUMMYFUNCTION("""COMPUTED_VALUE"""),6277.0)</f>
        <v>6277</v>
      </c>
      <c r="B1642" s="9">
        <f>IFERROR(__xludf.DUMMYFUNCTION("""COMPUTED_VALUE"""),45445.5421412037)</f>
        <v>45445.54214</v>
      </c>
      <c r="C1642" s="5" t="str">
        <f>IFERROR(__xludf.DUMMYFUNCTION("""COMPUTED_VALUE"""),"purchase")</f>
        <v>purchase</v>
      </c>
      <c r="D1642" s="10">
        <f t="shared" si="1"/>
        <v>45445</v>
      </c>
      <c r="E1642" s="10">
        <f t="shared" si="2"/>
        <v>45439</v>
      </c>
      <c r="F1642" s="10">
        <f t="shared" si="3"/>
        <v>45444</v>
      </c>
      <c r="G1642" s="11"/>
    </row>
    <row r="1643">
      <c r="A1643" s="5">
        <f>IFERROR(__xludf.DUMMYFUNCTION("""COMPUTED_VALUE"""),1500.0)</f>
        <v>1500</v>
      </c>
      <c r="B1643" s="9">
        <f>IFERROR(__xludf.DUMMYFUNCTION("""COMPUTED_VALUE"""),45445.56070601852)</f>
        <v>45445.56071</v>
      </c>
      <c r="C1643" s="5" t="str">
        <f>IFERROR(__xludf.DUMMYFUNCTION("""COMPUTED_VALUE"""),"purchase")</f>
        <v>purchase</v>
      </c>
      <c r="D1643" s="10">
        <f t="shared" si="1"/>
        <v>45445</v>
      </c>
      <c r="E1643" s="10">
        <f t="shared" si="2"/>
        <v>45439</v>
      </c>
      <c r="F1643" s="10">
        <f t="shared" si="3"/>
        <v>45444</v>
      </c>
      <c r="G1643" s="11"/>
    </row>
    <row r="1644">
      <c r="A1644" s="5">
        <f>IFERROR(__xludf.DUMMYFUNCTION("""COMPUTED_VALUE"""),4348.0)</f>
        <v>4348</v>
      </c>
      <c r="B1644" s="9">
        <f>IFERROR(__xludf.DUMMYFUNCTION("""COMPUTED_VALUE"""),45445.58625)</f>
        <v>45445.58625</v>
      </c>
      <c r="C1644" s="5" t="str">
        <f>IFERROR(__xludf.DUMMYFUNCTION("""COMPUTED_VALUE"""),"purchase")</f>
        <v>purchase</v>
      </c>
      <c r="D1644" s="10">
        <f t="shared" si="1"/>
        <v>45445</v>
      </c>
      <c r="E1644" s="10">
        <f t="shared" si="2"/>
        <v>45439</v>
      </c>
      <c r="F1644" s="10">
        <f t="shared" si="3"/>
        <v>45444</v>
      </c>
      <c r="G1644" s="11"/>
    </row>
    <row r="1645">
      <c r="A1645" s="5">
        <f>IFERROR(__xludf.DUMMYFUNCTION("""COMPUTED_VALUE"""),3555.0)</f>
        <v>3555</v>
      </c>
      <c r="B1645" s="9">
        <f>IFERROR(__xludf.DUMMYFUNCTION("""COMPUTED_VALUE"""),45445.598229166666)</f>
        <v>45445.59823</v>
      </c>
      <c r="C1645" s="5" t="str">
        <f>IFERROR(__xludf.DUMMYFUNCTION("""COMPUTED_VALUE"""),"purchase")</f>
        <v>purchase</v>
      </c>
      <c r="D1645" s="10">
        <f t="shared" si="1"/>
        <v>45445</v>
      </c>
      <c r="E1645" s="10">
        <f t="shared" si="2"/>
        <v>45439</v>
      </c>
      <c r="F1645" s="10">
        <f t="shared" si="3"/>
        <v>45444</v>
      </c>
      <c r="G1645" s="11"/>
    </row>
    <row r="1646">
      <c r="A1646" s="5">
        <f>IFERROR(__xludf.DUMMYFUNCTION("""COMPUTED_VALUE"""),1243.0)</f>
        <v>1243</v>
      </c>
      <c r="B1646" s="9">
        <f>IFERROR(__xludf.DUMMYFUNCTION("""COMPUTED_VALUE"""),45445.75828703704)</f>
        <v>45445.75829</v>
      </c>
      <c r="C1646" s="5" t="str">
        <f>IFERROR(__xludf.DUMMYFUNCTION("""COMPUTED_VALUE"""),"purchase")</f>
        <v>purchase</v>
      </c>
      <c r="D1646" s="10">
        <f t="shared" si="1"/>
        <v>45445</v>
      </c>
      <c r="E1646" s="10">
        <f t="shared" si="2"/>
        <v>45439</v>
      </c>
      <c r="F1646" s="10">
        <f t="shared" si="3"/>
        <v>45444</v>
      </c>
      <c r="G1646" s="11"/>
    </row>
    <row r="1647">
      <c r="A1647" s="5">
        <f>IFERROR(__xludf.DUMMYFUNCTION("""COMPUTED_VALUE"""),7136.0)</f>
        <v>7136</v>
      </c>
      <c r="B1647" s="9">
        <f>IFERROR(__xludf.DUMMYFUNCTION("""COMPUTED_VALUE"""),45445.855671296296)</f>
        <v>45445.85567</v>
      </c>
      <c r="C1647" s="5" t="str">
        <f>IFERROR(__xludf.DUMMYFUNCTION("""COMPUTED_VALUE"""),"purchase")</f>
        <v>purchase</v>
      </c>
      <c r="D1647" s="10">
        <f t="shared" si="1"/>
        <v>45445</v>
      </c>
      <c r="E1647" s="10">
        <f t="shared" si="2"/>
        <v>45439</v>
      </c>
      <c r="F1647" s="10">
        <f t="shared" si="3"/>
        <v>45444</v>
      </c>
      <c r="G1647" s="11"/>
    </row>
    <row r="1648">
      <c r="A1648" s="5">
        <f>IFERROR(__xludf.DUMMYFUNCTION("""COMPUTED_VALUE"""),2628.0)</f>
        <v>2628</v>
      </c>
      <c r="B1648" s="9">
        <f>IFERROR(__xludf.DUMMYFUNCTION("""COMPUTED_VALUE"""),45446.03261574074)</f>
        <v>45446.03262</v>
      </c>
      <c r="C1648" s="5" t="str">
        <f>IFERROR(__xludf.DUMMYFUNCTION("""COMPUTED_VALUE"""),"purchase")</f>
        <v>purchase</v>
      </c>
      <c r="D1648" s="10">
        <f t="shared" si="1"/>
        <v>45446</v>
      </c>
      <c r="E1648" s="10">
        <f t="shared" si="2"/>
        <v>45446</v>
      </c>
      <c r="F1648" s="10">
        <f t="shared" si="3"/>
        <v>45444</v>
      </c>
      <c r="G1648" s="11"/>
    </row>
    <row r="1649">
      <c r="A1649" s="5">
        <f>IFERROR(__xludf.DUMMYFUNCTION("""COMPUTED_VALUE"""),4819.0)</f>
        <v>4819</v>
      </c>
      <c r="B1649" s="9">
        <f>IFERROR(__xludf.DUMMYFUNCTION("""COMPUTED_VALUE"""),45446.21173611111)</f>
        <v>45446.21174</v>
      </c>
      <c r="C1649" s="5" t="str">
        <f>IFERROR(__xludf.DUMMYFUNCTION("""COMPUTED_VALUE"""),"purchase")</f>
        <v>purchase</v>
      </c>
      <c r="D1649" s="10">
        <f t="shared" si="1"/>
        <v>45446</v>
      </c>
      <c r="E1649" s="10">
        <f t="shared" si="2"/>
        <v>45446</v>
      </c>
      <c r="F1649" s="10">
        <f t="shared" si="3"/>
        <v>45444</v>
      </c>
      <c r="G1649" s="11"/>
    </row>
    <row r="1650">
      <c r="A1650" s="5">
        <f>IFERROR(__xludf.DUMMYFUNCTION("""COMPUTED_VALUE"""),7940.0)</f>
        <v>7940</v>
      </c>
      <c r="B1650" s="9">
        <f>IFERROR(__xludf.DUMMYFUNCTION("""COMPUTED_VALUE"""),45446.2143287037)</f>
        <v>45446.21433</v>
      </c>
      <c r="C1650" s="5" t="str">
        <f>IFERROR(__xludf.DUMMYFUNCTION("""COMPUTED_VALUE"""),"purchase")</f>
        <v>purchase</v>
      </c>
      <c r="D1650" s="10">
        <f t="shared" si="1"/>
        <v>45446</v>
      </c>
      <c r="E1650" s="10">
        <f t="shared" si="2"/>
        <v>45446</v>
      </c>
      <c r="F1650" s="10">
        <f t="shared" si="3"/>
        <v>45444</v>
      </c>
      <c r="G1650" s="11"/>
    </row>
    <row r="1651">
      <c r="A1651" s="5">
        <f>IFERROR(__xludf.DUMMYFUNCTION("""COMPUTED_VALUE"""),6563.0)</f>
        <v>6563</v>
      </c>
      <c r="B1651" s="9">
        <f>IFERROR(__xludf.DUMMYFUNCTION("""COMPUTED_VALUE"""),45446.502592592595)</f>
        <v>45446.50259</v>
      </c>
      <c r="C1651" s="5" t="str">
        <f>IFERROR(__xludf.DUMMYFUNCTION("""COMPUTED_VALUE"""),"purchase")</f>
        <v>purchase</v>
      </c>
      <c r="D1651" s="10">
        <f t="shared" si="1"/>
        <v>45446</v>
      </c>
      <c r="E1651" s="10">
        <f t="shared" si="2"/>
        <v>45446</v>
      </c>
      <c r="F1651" s="10">
        <f t="shared" si="3"/>
        <v>45444</v>
      </c>
      <c r="G1651" s="11"/>
    </row>
    <row r="1652">
      <c r="A1652" s="5">
        <f>IFERROR(__xludf.DUMMYFUNCTION("""COMPUTED_VALUE"""),5762.0)</f>
        <v>5762</v>
      </c>
      <c r="B1652" s="9">
        <f>IFERROR(__xludf.DUMMYFUNCTION("""COMPUTED_VALUE"""),45446.683854166666)</f>
        <v>45446.68385</v>
      </c>
      <c r="C1652" s="5" t="str">
        <f>IFERROR(__xludf.DUMMYFUNCTION("""COMPUTED_VALUE"""),"purchase")</f>
        <v>purchase</v>
      </c>
      <c r="D1652" s="10">
        <f t="shared" si="1"/>
        <v>45446</v>
      </c>
      <c r="E1652" s="10">
        <f t="shared" si="2"/>
        <v>45446</v>
      </c>
      <c r="F1652" s="10">
        <f t="shared" si="3"/>
        <v>45444</v>
      </c>
      <c r="G1652" s="11"/>
    </row>
    <row r="1653">
      <c r="A1653" s="5">
        <f>IFERROR(__xludf.DUMMYFUNCTION("""COMPUTED_VALUE"""),7479.0)</f>
        <v>7479</v>
      </c>
      <c r="B1653" s="9">
        <f>IFERROR(__xludf.DUMMYFUNCTION("""COMPUTED_VALUE"""),45446.69388888889)</f>
        <v>45446.69389</v>
      </c>
      <c r="C1653" s="5" t="str">
        <f>IFERROR(__xludf.DUMMYFUNCTION("""COMPUTED_VALUE"""),"purchase")</f>
        <v>purchase</v>
      </c>
      <c r="D1653" s="10">
        <f t="shared" si="1"/>
        <v>45446</v>
      </c>
      <c r="E1653" s="10">
        <f t="shared" si="2"/>
        <v>45446</v>
      </c>
      <c r="F1653" s="10">
        <f t="shared" si="3"/>
        <v>45444</v>
      </c>
      <c r="G1653" s="11"/>
    </row>
    <row r="1654">
      <c r="A1654" s="5">
        <f>IFERROR(__xludf.DUMMYFUNCTION("""COMPUTED_VALUE"""),454.0)</f>
        <v>454</v>
      </c>
      <c r="B1654" s="9">
        <f>IFERROR(__xludf.DUMMYFUNCTION("""COMPUTED_VALUE"""),45446.76833333333)</f>
        <v>45446.76833</v>
      </c>
      <c r="C1654" s="5" t="str">
        <f>IFERROR(__xludf.DUMMYFUNCTION("""COMPUTED_VALUE"""),"purchase")</f>
        <v>purchase</v>
      </c>
      <c r="D1654" s="10">
        <f t="shared" si="1"/>
        <v>45446</v>
      </c>
      <c r="E1654" s="10">
        <f t="shared" si="2"/>
        <v>45446</v>
      </c>
      <c r="F1654" s="10">
        <f t="shared" si="3"/>
        <v>45444</v>
      </c>
      <c r="G1654" s="11"/>
    </row>
    <row r="1655">
      <c r="A1655" s="5">
        <f>IFERROR(__xludf.DUMMYFUNCTION("""COMPUTED_VALUE"""),2317.0)</f>
        <v>2317</v>
      </c>
      <c r="B1655" s="9">
        <f>IFERROR(__xludf.DUMMYFUNCTION("""COMPUTED_VALUE"""),45446.90175925926)</f>
        <v>45446.90176</v>
      </c>
      <c r="C1655" s="5" t="str">
        <f>IFERROR(__xludf.DUMMYFUNCTION("""COMPUTED_VALUE"""),"purchase")</f>
        <v>purchase</v>
      </c>
      <c r="D1655" s="10">
        <f t="shared" si="1"/>
        <v>45446</v>
      </c>
      <c r="E1655" s="10">
        <f t="shared" si="2"/>
        <v>45446</v>
      </c>
      <c r="F1655" s="10">
        <f t="shared" si="3"/>
        <v>45444</v>
      </c>
      <c r="G1655" s="11"/>
    </row>
    <row r="1656">
      <c r="A1656" s="5">
        <f>IFERROR(__xludf.DUMMYFUNCTION("""COMPUTED_VALUE"""),5988.0)</f>
        <v>5988</v>
      </c>
      <c r="B1656" s="9">
        <f>IFERROR(__xludf.DUMMYFUNCTION("""COMPUTED_VALUE"""),45447.124976851854)</f>
        <v>45447.12498</v>
      </c>
      <c r="C1656" s="5" t="str">
        <f>IFERROR(__xludf.DUMMYFUNCTION("""COMPUTED_VALUE"""),"purchase")</f>
        <v>purchase</v>
      </c>
      <c r="D1656" s="10">
        <f t="shared" si="1"/>
        <v>45447</v>
      </c>
      <c r="E1656" s="10">
        <f t="shared" si="2"/>
        <v>45446</v>
      </c>
      <c r="F1656" s="10">
        <f t="shared" si="3"/>
        <v>45444</v>
      </c>
      <c r="G1656" s="11"/>
    </row>
    <row r="1657">
      <c r="A1657" s="5">
        <f>IFERROR(__xludf.DUMMYFUNCTION("""COMPUTED_VALUE"""),158.0)</f>
        <v>158</v>
      </c>
      <c r="B1657" s="9">
        <f>IFERROR(__xludf.DUMMYFUNCTION("""COMPUTED_VALUE"""),45447.13984953704)</f>
        <v>45447.13985</v>
      </c>
      <c r="C1657" s="5" t="str">
        <f>IFERROR(__xludf.DUMMYFUNCTION("""COMPUTED_VALUE"""),"purchase")</f>
        <v>purchase</v>
      </c>
      <c r="D1657" s="10">
        <f t="shared" si="1"/>
        <v>45447</v>
      </c>
      <c r="E1657" s="10">
        <f t="shared" si="2"/>
        <v>45446</v>
      </c>
      <c r="F1657" s="10">
        <f t="shared" si="3"/>
        <v>45444</v>
      </c>
      <c r="G1657" s="11"/>
    </row>
    <row r="1658">
      <c r="A1658" s="5">
        <f>IFERROR(__xludf.DUMMYFUNCTION("""COMPUTED_VALUE"""),3734.0)</f>
        <v>3734</v>
      </c>
      <c r="B1658" s="9">
        <f>IFERROR(__xludf.DUMMYFUNCTION("""COMPUTED_VALUE"""),45447.18622685185)</f>
        <v>45447.18623</v>
      </c>
      <c r="C1658" s="5" t="str">
        <f>IFERROR(__xludf.DUMMYFUNCTION("""COMPUTED_VALUE"""),"purchase")</f>
        <v>purchase</v>
      </c>
      <c r="D1658" s="10">
        <f t="shared" si="1"/>
        <v>45447</v>
      </c>
      <c r="E1658" s="10">
        <f t="shared" si="2"/>
        <v>45446</v>
      </c>
      <c r="F1658" s="10">
        <f t="shared" si="3"/>
        <v>45444</v>
      </c>
      <c r="G1658" s="11"/>
    </row>
    <row r="1659">
      <c r="A1659" s="5">
        <f>IFERROR(__xludf.DUMMYFUNCTION("""COMPUTED_VALUE"""),3429.0)</f>
        <v>3429</v>
      </c>
      <c r="B1659" s="9">
        <f>IFERROR(__xludf.DUMMYFUNCTION("""COMPUTED_VALUE"""),45447.320555555554)</f>
        <v>45447.32056</v>
      </c>
      <c r="C1659" s="5" t="str">
        <f>IFERROR(__xludf.DUMMYFUNCTION("""COMPUTED_VALUE"""),"purchase")</f>
        <v>purchase</v>
      </c>
      <c r="D1659" s="10">
        <f t="shared" si="1"/>
        <v>45447</v>
      </c>
      <c r="E1659" s="10">
        <f t="shared" si="2"/>
        <v>45446</v>
      </c>
      <c r="F1659" s="10">
        <f t="shared" si="3"/>
        <v>45444</v>
      </c>
      <c r="G1659" s="11"/>
    </row>
    <row r="1660">
      <c r="A1660" s="5">
        <f>IFERROR(__xludf.DUMMYFUNCTION("""COMPUTED_VALUE"""),6596.0)</f>
        <v>6596</v>
      </c>
      <c r="B1660" s="9">
        <f>IFERROR(__xludf.DUMMYFUNCTION("""COMPUTED_VALUE"""),45447.34201388889)</f>
        <v>45447.34201</v>
      </c>
      <c r="C1660" s="5" t="str">
        <f>IFERROR(__xludf.DUMMYFUNCTION("""COMPUTED_VALUE"""),"purchase")</f>
        <v>purchase</v>
      </c>
      <c r="D1660" s="10">
        <f t="shared" si="1"/>
        <v>45447</v>
      </c>
      <c r="E1660" s="10">
        <f t="shared" si="2"/>
        <v>45446</v>
      </c>
      <c r="F1660" s="10">
        <f t="shared" si="3"/>
        <v>45444</v>
      </c>
      <c r="G1660" s="11"/>
    </row>
    <row r="1661">
      <c r="A1661" s="5">
        <f>IFERROR(__xludf.DUMMYFUNCTION("""COMPUTED_VALUE"""),119.0)</f>
        <v>119</v>
      </c>
      <c r="B1661" s="9">
        <f>IFERROR(__xludf.DUMMYFUNCTION("""COMPUTED_VALUE"""),45447.38905092593)</f>
        <v>45447.38905</v>
      </c>
      <c r="C1661" s="5" t="str">
        <f>IFERROR(__xludf.DUMMYFUNCTION("""COMPUTED_VALUE"""),"purchase")</f>
        <v>purchase</v>
      </c>
      <c r="D1661" s="10">
        <f t="shared" si="1"/>
        <v>45447</v>
      </c>
      <c r="E1661" s="10">
        <f t="shared" si="2"/>
        <v>45446</v>
      </c>
      <c r="F1661" s="10">
        <f t="shared" si="3"/>
        <v>45444</v>
      </c>
      <c r="G1661" s="11"/>
    </row>
    <row r="1662">
      <c r="A1662" s="5">
        <f>IFERROR(__xludf.DUMMYFUNCTION("""COMPUTED_VALUE"""),1836.0)</f>
        <v>1836</v>
      </c>
      <c r="B1662" s="9">
        <f>IFERROR(__xludf.DUMMYFUNCTION("""COMPUTED_VALUE"""),45447.451215277775)</f>
        <v>45447.45122</v>
      </c>
      <c r="C1662" s="5" t="str">
        <f>IFERROR(__xludf.DUMMYFUNCTION("""COMPUTED_VALUE"""),"purchase")</f>
        <v>purchase</v>
      </c>
      <c r="D1662" s="10">
        <f t="shared" si="1"/>
        <v>45447</v>
      </c>
      <c r="E1662" s="10">
        <f t="shared" si="2"/>
        <v>45446</v>
      </c>
      <c r="F1662" s="10">
        <f t="shared" si="3"/>
        <v>45444</v>
      </c>
      <c r="G1662" s="11"/>
    </row>
    <row r="1663">
      <c r="A1663" s="5">
        <f>IFERROR(__xludf.DUMMYFUNCTION("""COMPUTED_VALUE"""),7540.0)</f>
        <v>7540</v>
      </c>
      <c r="B1663" s="9">
        <f>IFERROR(__xludf.DUMMYFUNCTION("""COMPUTED_VALUE"""),45447.52082175926)</f>
        <v>45447.52082</v>
      </c>
      <c r="C1663" s="5" t="str">
        <f>IFERROR(__xludf.DUMMYFUNCTION("""COMPUTED_VALUE"""),"purchase")</f>
        <v>purchase</v>
      </c>
      <c r="D1663" s="10">
        <f t="shared" si="1"/>
        <v>45447</v>
      </c>
      <c r="E1663" s="10">
        <f t="shared" si="2"/>
        <v>45446</v>
      </c>
      <c r="F1663" s="10">
        <f t="shared" si="3"/>
        <v>45444</v>
      </c>
      <c r="G1663" s="11"/>
    </row>
    <row r="1664">
      <c r="A1664" s="5">
        <f>IFERROR(__xludf.DUMMYFUNCTION("""COMPUTED_VALUE"""),7659.0)</f>
        <v>7659</v>
      </c>
      <c r="B1664" s="9">
        <f>IFERROR(__xludf.DUMMYFUNCTION("""COMPUTED_VALUE"""),45447.567395833335)</f>
        <v>45447.5674</v>
      </c>
      <c r="C1664" s="5" t="str">
        <f>IFERROR(__xludf.DUMMYFUNCTION("""COMPUTED_VALUE"""),"purchase")</f>
        <v>purchase</v>
      </c>
      <c r="D1664" s="10">
        <f t="shared" si="1"/>
        <v>45447</v>
      </c>
      <c r="E1664" s="10">
        <f t="shared" si="2"/>
        <v>45446</v>
      </c>
      <c r="F1664" s="10">
        <f t="shared" si="3"/>
        <v>45444</v>
      </c>
      <c r="G1664" s="11"/>
    </row>
    <row r="1665">
      <c r="A1665" s="5">
        <f>IFERROR(__xludf.DUMMYFUNCTION("""COMPUTED_VALUE"""),1298.0)</f>
        <v>1298</v>
      </c>
      <c r="B1665" s="9">
        <f>IFERROR(__xludf.DUMMYFUNCTION("""COMPUTED_VALUE"""),45447.614965277775)</f>
        <v>45447.61497</v>
      </c>
      <c r="C1665" s="5" t="str">
        <f>IFERROR(__xludf.DUMMYFUNCTION("""COMPUTED_VALUE"""),"purchase")</f>
        <v>purchase</v>
      </c>
      <c r="D1665" s="10">
        <f t="shared" si="1"/>
        <v>45447</v>
      </c>
      <c r="E1665" s="10">
        <f t="shared" si="2"/>
        <v>45446</v>
      </c>
      <c r="F1665" s="10">
        <f t="shared" si="3"/>
        <v>45444</v>
      </c>
      <c r="G1665" s="11"/>
    </row>
    <row r="1666">
      <c r="A1666" s="5">
        <f>IFERROR(__xludf.DUMMYFUNCTION("""COMPUTED_VALUE"""),2848.0)</f>
        <v>2848</v>
      </c>
      <c r="B1666" s="9">
        <f>IFERROR(__xludf.DUMMYFUNCTION("""COMPUTED_VALUE"""),45447.669594907406)</f>
        <v>45447.66959</v>
      </c>
      <c r="C1666" s="5" t="str">
        <f>IFERROR(__xludf.DUMMYFUNCTION("""COMPUTED_VALUE"""),"purchase")</f>
        <v>purchase</v>
      </c>
      <c r="D1666" s="10">
        <f t="shared" si="1"/>
        <v>45447</v>
      </c>
      <c r="E1666" s="10">
        <f t="shared" si="2"/>
        <v>45446</v>
      </c>
      <c r="F1666" s="10">
        <f t="shared" si="3"/>
        <v>45444</v>
      </c>
      <c r="G1666" s="11"/>
    </row>
    <row r="1667">
      <c r="A1667" s="5">
        <f>IFERROR(__xludf.DUMMYFUNCTION("""COMPUTED_VALUE"""),5598.0)</f>
        <v>5598</v>
      </c>
      <c r="B1667" s="9">
        <f>IFERROR(__xludf.DUMMYFUNCTION("""COMPUTED_VALUE"""),45447.67230324074)</f>
        <v>45447.6723</v>
      </c>
      <c r="C1667" s="5" t="str">
        <f>IFERROR(__xludf.DUMMYFUNCTION("""COMPUTED_VALUE"""),"purchase")</f>
        <v>purchase</v>
      </c>
      <c r="D1667" s="10">
        <f t="shared" si="1"/>
        <v>45447</v>
      </c>
      <c r="E1667" s="10">
        <f t="shared" si="2"/>
        <v>45446</v>
      </c>
      <c r="F1667" s="10">
        <f t="shared" si="3"/>
        <v>45444</v>
      </c>
      <c r="G1667" s="11"/>
    </row>
    <row r="1668">
      <c r="A1668" s="5">
        <f>IFERROR(__xludf.DUMMYFUNCTION("""COMPUTED_VALUE"""),102.0)</f>
        <v>102</v>
      </c>
      <c r="B1668" s="9">
        <f>IFERROR(__xludf.DUMMYFUNCTION("""COMPUTED_VALUE"""),45447.78039351852)</f>
        <v>45447.78039</v>
      </c>
      <c r="C1668" s="5" t="str">
        <f>IFERROR(__xludf.DUMMYFUNCTION("""COMPUTED_VALUE"""),"purchase")</f>
        <v>purchase</v>
      </c>
      <c r="D1668" s="10">
        <f t="shared" si="1"/>
        <v>45447</v>
      </c>
      <c r="E1668" s="10">
        <f t="shared" si="2"/>
        <v>45446</v>
      </c>
      <c r="F1668" s="10">
        <f t="shared" si="3"/>
        <v>45444</v>
      </c>
      <c r="G1668" s="11"/>
    </row>
    <row r="1669">
      <c r="A1669" s="5">
        <f>IFERROR(__xludf.DUMMYFUNCTION("""COMPUTED_VALUE"""),4889.0)</f>
        <v>4889</v>
      </c>
      <c r="B1669" s="9">
        <f>IFERROR(__xludf.DUMMYFUNCTION("""COMPUTED_VALUE"""),45447.78493055556)</f>
        <v>45447.78493</v>
      </c>
      <c r="C1669" s="5" t="str">
        <f>IFERROR(__xludf.DUMMYFUNCTION("""COMPUTED_VALUE"""),"purchase")</f>
        <v>purchase</v>
      </c>
      <c r="D1669" s="10">
        <f t="shared" si="1"/>
        <v>45447</v>
      </c>
      <c r="E1669" s="10">
        <f t="shared" si="2"/>
        <v>45446</v>
      </c>
      <c r="F1669" s="10">
        <f t="shared" si="3"/>
        <v>45444</v>
      </c>
      <c r="G1669" s="11"/>
    </row>
    <row r="1670">
      <c r="A1670" s="5">
        <f>IFERROR(__xludf.DUMMYFUNCTION("""COMPUTED_VALUE"""),643.0)</f>
        <v>643</v>
      </c>
      <c r="B1670" s="9">
        <f>IFERROR(__xludf.DUMMYFUNCTION("""COMPUTED_VALUE"""),45447.84809027778)</f>
        <v>45447.84809</v>
      </c>
      <c r="C1670" s="5" t="str">
        <f>IFERROR(__xludf.DUMMYFUNCTION("""COMPUTED_VALUE"""),"purchase")</f>
        <v>purchase</v>
      </c>
      <c r="D1670" s="10">
        <f t="shared" si="1"/>
        <v>45447</v>
      </c>
      <c r="E1670" s="10">
        <f t="shared" si="2"/>
        <v>45446</v>
      </c>
      <c r="F1670" s="10">
        <f t="shared" si="3"/>
        <v>45444</v>
      </c>
      <c r="G1670" s="11"/>
    </row>
    <row r="1671">
      <c r="A1671" s="5">
        <f>IFERROR(__xludf.DUMMYFUNCTION("""COMPUTED_VALUE"""),2998.0)</f>
        <v>2998</v>
      </c>
      <c r="B1671" s="9">
        <f>IFERROR(__xludf.DUMMYFUNCTION("""COMPUTED_VALUE"""),45447.861979166664)</f>
        <v>45447.86198</v>
      </c>
      <c r="C1671" s="5" t="str">
        <f>IFERROR(__xludf.DUMMYFUNCTION("""COMPUTED_VALUE"""),"purchase")</f>
        <v>purchase</v>
      </c>
      <c r="D1671" s="10">
        <f t="shared" si="1"/>
        <v>45447</v>
      </c>
      <c r="E1671" s="10">
        <f t="shared" si="2"/>
        <v>45446</v>
      </c>
      <c r="F1671" s="10">
        <f t="shared" si="3"/>
        <v>45444</v>
      </c>
      <c r="G1671" s="11"/>
    </row>
    <row r="1672">
      <c r="A1672" s="5">
        <f>IFERROR(__xludf.DUMMYFUNCTION("""COMPUTED_VALUE"""),4339.0)</f>
        <v>4339</v>
      </c>
      <c r="B1672" s="9">
        <f>IFERROR(__xludf.DUMMYFUNCTION("""COMPUTED_VALUE"""),45447.92607638889)</f>
        <v>45447.92608</v>
      </c>
      <c r="C1672" s="5" t="str">
        <f>IFERROR(__xludf.DUMMYFUNCTION("""COMPUTED_VALUE"""),"purchase")</f>
        <v>purchase</v>
      </c>
      <c r="D1672" s="10">
        <f t="shared" si="1"/>
        <v>45447</v>
      </c>
      <c r="E1672" s="10">
        <f t="shared" si="2"/>
        <v>45446</v>
      </c>
      <c r="F1672" s="10">
        <f t="shared" si="3"/>
        <v>45444</v>
      </c>
      <c r="G1672" s="11"/>
    </row>
    <row r="1673">
      <c r="A1673" s="5">
        <f>IFERROR(__xludf.DUMMYFUNCTION("""COMPUTED_VALUE"""),4210.0)</f>
        <v>4210</v>
      </c>
      <c r="B1673" s="9">
        <f>IFERROR(__xludf.DUMMYFUNCTION("""COMPUTED_VALUE"""),45447.948530092595)</f>
        <v>45447.94853</v>
      </c>
      <c r="C1673" s="5" t="str">
        <f>IFERROR(__xludf.DUMMYFUNCTION("""COMPUTED_VALUE"""),"purchase")</f>
        <v>purchase</v>
      </c>
      <c r="D1673" s="10">
        <f t="shared" si="1"/>
        <v>45447</v>
      </c>
      <c r="E1673" s="10">
        <f t="shared" si="2"/>
        <v>45446</v>
      </c>
      <c r="F1673" s="10">
        <f t="shared" si="3"/>
        <v>45444</v>
      </c>
      <c r="G1673" s="11"/>
    </row>
    <row r="1674">
      <c r="A1674" s="5">
        <f>IFERROR(__xludf.DUMMYFUNCTION("""COMPUTED_VALUE"""),593.0)</f>
        <v>593</v>
      </c>
      <c r="B1674" s="9">
        <f>IFERROR(__xludf.DUMMYFUNCTION("""COMPUTED_VALUE"""),45448.009988425925)</f>
        <v>45448.00999</v>
      </c>
      <c r="C1674" s="5" t="str">
        <f>IFERROR(__xludf.DUMMYFUNCTION("""COMPUTED_VALUE"""),"purchase")</f>
        <v>purchase</v>
      </c>
      <c r="D1674" s="10">
        <f t="shared" si="1"/>
        <v>45448</v>
      </c>
      <c r="E1674" s="10">
        <f t="shared" si="2"/>
        <v>45446</v>
      </c>
      <c r="F1674" s="10">
        <f t="shared" si="3"/>
        <v>45444</v>
      </c>
      <c r="G1674" s="11"/>
    </row>
    <row r="1675">
      <c r="A1675" s="5">
        <f>IFERROR(__xludf.DUMMYFUNCTION("""COMPUTED_VALUE"""),3028.0)</f>
        <v>3028</v>
      </c>
      <c r="B1675" s="9">
        <f>IFERROR(__xludf.DUMMYFUNCTION("""COMPUTED_VALUE"""),45448.03618055556)</f>
        <v>45448.03618</v>
      </c>
      <c r="C1675" s="5" t="str">
        <f>IFERROR(__xludf.DUMMYFUNCTION("""COMPUTED_VALUE"""),"purchase")</f>
        <v>purchase</v>
      </c>
      <c r="D1675" s="10">
        <f t="shared" si="1"/>
        <v>45448</v>
      </c>
      <c r="E1675" s="10">
        <f t="shared" si="2"/>
        <v>45446</v>
      </c>
      <c r="F1675" s="10">
        <f t="shared" si="3"/>
        <v>45444</v>
      </c>
      <c r="G1675" s="11"/>
    </row>
    <row r="1676">
      <c r="A1676" s="5">
        <f>IFERROR(__xludf.DUMMYFUNCTION("""COMPUTED_VALUE"""),1884.0)</f>
        <v>1884</v>
      </c>
      <c r="B1676" s="9">
        <f>IFERROR(__xludf.DUMMYFUNCTION("""COMPUTED_VALUE"""),45448.32622685185)</f>
        <v>45448.32623</v>
      </c>
      <c r="C1676" s="5" t="str">
        <f>IFERROR(__xludf.DUMMYFUNCTION("""COMPUTED_VALUE"""),"purchase")</f>
        <v>purchase</v>
      </c>
      <c r="D1676" s="10">
        <f t="shared" si="1"/>
        <v>45448</v>
      </c>
      <c r="E1676" s="10">
        <f t="shared" si="2"/>
        <v>45446</v>
      </c>
      <c r="F1676" s="10">
        <f t="shared" si="3"/>
        <v>45444</v>
      </c>
      <c r="G1676" s="11"/>
    </row>
    <row r="1677">
      <c r="A1677" s="5">
        <f>IFERROR(__xludf.DUMMYFUNCTION("""COMPUTED_VALUE"""),5815.0)</f>
        <v>5815</v>
      </c>
      <c r="B1677" s="9">
        <f>IFERROR(__xludf.DUMMYFUNCTION("""COMPUTED_VALUE"""),45448.39461805556)</f>
        <v>45448.39462</v>
      </c>
      <c r="C1677" s="5" t="str">
        <f>IFERROR(__xludf.DUMMYFUNCTION("""COMPUTED_VALUE"""),"purchase")</f>
        <v>purchase</v>
      </c>
      <c r="D1677" s="10">
        <f t="shared" si="1"/>
        <v>45448</v>
      </c>
      <c r="E1677" s="10">
        <f t="shared" si="2"/>
        <v>45446</v>
      </c>
      <c r="F1677" s="10">
        <f t="shared" si="3"/>
        <v>45444</v>
      </c>
      <c r="G1677" s="11"/>
    </row>
    <row r="1678">
      <c r="A1678" s="5">
        <f>IFERROR(__xludf.DUMMYFUNCTION("""COMPUTED_VALUE"""),928.0)</f>
        <v>928</v>
      </c>
      <c r="B1678" s="9">
        <f>IFERROR(__xludf.DUMMYFUNCTION("""COMPUTED_VALUE"""),45448.4015162037)</f>
        <v>45448.40152</v>
      </c>
      <c r="C1678" s="5" t="str">
        <f>IFERROR(__xludf.DUMMYFUNCTION("""COMPUTED_VALUE"""),"purchase")</f>
        <v>purchase</v>
      </c>
      <c r="D1678" s="10">
        <f t="shared" si="1"/>
        <v>45448</v>
      </c>
      <c r="E1678" s="10">
        <f t="shared" si="2"/>
        <v>45446</v>
      </c>
      <c r="F1678" s="10">
        <f t="shared" si="3"/>
        <v>45444</v>
      </c>
      <c r="G1678" s="11"/>
    </row>
    <row r="1679">
      <c r="A1679" s="5">
        <f>IFERROR(__xludf.DUMMYFUNCTION("""COMPUTED_VALUE"""),4199.0)</f>
        <v>4199</v>
      </c>
      <c r="B1679" s="9">
        <f>IFERROR(__xludf.DUMMYFUNCTION("""COMPUTED_VALUE"""),45448.54189814815)</f>
        <v>45448.5419</v>
      </c>
      <c r="C1679" s="5" t="str">
        <f>IFERROR(__xludf.DUMMYFUNCTION("""COMPUTED_VALUE"""),"purchase")</f>
        <v>purchase</v>
      </c>
      <c r="D1679" s="10">
        <f t="shared" si="1"/>
        <v>45448</v>
      </c>
      <c r="E1679" s="10">
        <f t="shared" si="2"/>
        <v>45446</v>
      </c>
      <c r="F1679" s="10">
        <f t="shared" si="3"/>
        <v>45444</v>
      </c>
      <c r="G1679" s="11"/>
    </row>
    <row r="1680">
      <c r="A1680" s="5">
        <f>IFERROR(__xludf.DUMMYFUNCTION("""COMPUTED_VALUE"""),4127.0)</f>
        <v>4127</v>
      </c>
      <c r="B1680" s="9">
        <f>IFERROR(__xludf.DUMMYFUNCTION("""COMPUTED_VALUE"""),45448.679293981484)</f>
        <v>45448.67929</v>
      </c>
      <c r="C1680" s="5" t="str">
        <f>IFERROR(__xludf.DUMMYFUNCTION("""COMPUTED_VALUE"""),"purchase")</f>
        <v>purchase</v>
      </c>
      <c r="D1680" s="10">
        <f t="shared" si="1"/>
        <v>45448</v>
      </c>
      <c r="E1680" s="10">
        <f t="shared" si="2"/>
        <v>45446</v>
      </c>
      <c r="F1680" s="10">
        <f t="shared" si="3"/>
        <v>45444</v>
      </c>
      <c r="G1680" s="11"/>
    </row>
    <row r="1681">
      <c r="A1681" s="5">
        <f>IFERROR(__xludf.DUMMYFUNCTION("""COMPUTED_VALUE"""),2942.0)</f>
        <v>2942</v>
      </c>
      <c r="B1681" s="9">
        <f>IFERROR(__xludf.DUMMYFUNCTION("""COMPUTED_VALUE"""),45448.68952546296)</f>
        <v>45448.68953</v>
      </c>
      <c r="C1681" s="5" t="str">
        <f>IFERROR(__xludf.DUMMYFUNCTION("""COMPUTED_VALUE"""),"purchase")</f>
        <v>purchase</v>
      </c>
      <c r="D1681" s="10">
        <f t="shared" si="1"/>
        <v>45448</v>
      </c>
      <c r="E1681" s="10">
        <f t="shared" si="2"/>
        <v>45446</v>
      </c>
      <c r="F1681" s="10">
        <f t="shared" si="3"/>
        <v>45444</v>
      </c>
      <c r="G1681" s="11"/>
    </row>
    <row r="1682">
      <c r="A1682" s="5">
        <f>IFERROR(__xludf.DUMMYFUNCTION("""COMPUTED_VALUE"""),2030.0)</f>
        <v>2030</v>
      </c>
      <c r="B1682" s="9">
        <f>IFERROR(__xludf.DUMMYFUNCTION("""COMPUTED_VALUE"""),45448.88340277778)</f>
        <v>45448.8834</v>
      </c>
      <c r="C1682" s="5" t="str">
        <f>IFERROR(__xludf.DUMMYFUNCTION("""COMPUTED_VALUE"""),"purchase")</f>
        <v>purchase</v>
      </c>
      <c r="D1682" s="10">
        <f t="shared" si="1"/>
        <v>45448</v>
      </c>
      <c r="E1682" s="10">
        <f t="shared" si="2"/>
        <v>45446</v>
      </c>
      <c r="F1682" s="10">
        <f t="shared" si="3"/>
        <v>45444</v>
      </c>
      <c r="G1682" s="11"/>
    </row>
    <row r="1683">
      <c r="A1683" s="5">
        <f>IFERROR(__xludf.DUMMYFUNCTION("""COMPUTED_VALUE"""),5396.0)</f>
        <v>5396</v>
      </c>
      <c r="B1683" s="9">
        <f>IFERROR(__xludf.DUMMYFUNCTION("""COMPUTED_VALUE"""),45448.91662037037)</f>
        <v>45448.91662</v>
      </c>
      <c r="C1683" s="5" t="str">
        <f>IFERROR(__xludf.DUMMYFUNCTION("""COMPUTED_VALUE"""),"purchase")</f>
        <v>purchase</v>
      </c>
      <c r="D1683" s="10">
        <f t="shared" si="1"/>
        <v>45448</v>
      </c>
      <c r="E1683" s="10">
        <f t="shared" si="2"/>
        <v>45446</v>
      </c>
      <c r="F1683" s="10">
        <f t="shared" si="3"/>
        <v>45444</v>
      </c>
      <c r="G1683" s="11"/>
    </row>
    <row r="1684">
      <c r="A1684" s="5">
        <f>IFERROR(__xludf.DUMMYFUNCTION("""COMPUTED_VALUE"""),1733.0)</f>
        <v>1733</v>
      </c>
      <c r="B1684" s="9">
        <f>IFERROR(__xludf.DUMMYFUNCTION("""COMPUTED_VALUE"""),45448.97053240741)</f>
        <v>45448.97053</v>
      </c>
      <c r="C1684" s="5" t="str">
        <f>IFERROR(__xludf.DUMMYFUNCTION("""COMPUTED_VALUE"""),"purchase")</f>
        <v>purchase</v>
      </c>
      <c r="D1684" s="10">
        <f t="shared" si="1"/>
        <v>45448</v>
      </c>
      <c r="E1684" s="10">
        <f t="shared" si="2"/>
        <v>45446</v>
      </c>
      <c r="F1684" s="10">
        <f t="shared" si="3"/>
        <v>45444</v>
      </c>
      <c r="G1684" s="11"/>
    </row>
    <row r="1685">
      <c r="A1685" s="5">
        <f>IFERROR(__xludf.DUMMYFUNCTION("""COMPUTED_VALUE"""),3334.0)</f>
        <v>3334</v>
      </c>
      <c r="B1685" s="9">
        <f>IFERROR(__xludf.DUMMYFUNCTION("""COMPUTED_VALUE"""),45448.97961805556)</f>
        <v>45448.97962</v>
      </c>
      <c r="C1685" s="5" t="str">
        <f>IFERROR(__xludf.DUMMYFUNCTION("""COMPUTED_VALUE"""),"purchase")</f>
        <v>purchase</v>
      </c>
      <c r="D1685" s="10">
        <f t="shared" si="1"/>
        <v>45448</v>
      </c>
      <c r="E1685" s="10">
        <f t="shared" si="2"/>
        <v>45446</v>
      </c>
      <c r="F1685" s="10">
        <f t="shared" si="3"/>
        <v>45444</v>
      </c>
      <c r="G1685" s="11"/>
    </row>
    <row r="1686">
      <c r="A1686" s="5">
        <f>IFERROR(__xludf.DUMMYFUNCTION("""COMPUTED_VALUE"""),3681.0)</f>
        <v>3681</v>
      </c>
      <c r="B1686" s="9">
        <f>IFERROR(__xludf.DUMMYFUNCTION("""COMPUTED_VALUE"""),45449.0702662037)</f>
        <v>45449.07027</v>
      </c>
      <c r="C1686" s="5" t="str">
        <f>IFERROR(__xludf.DUMMYFUNCTION("""COMPUTED_VALUE"""),"purchase")</f>
        <v>purchase</v>
      </c>
      <c r="D1686" s="10">
        <f t="shared" si="1"/>
        <v>45449</v>
      </c>
      <c r="E1686" s="10">
        <f t="shared" si="2"/>
        <v>45446</v>
      </c>
      <c r="F1686" s="10">
        <f t="shared" si="3"/>
        <v>45444</v>
      </c>
      <c r="G1686" s="11"/>
    </row>
    <row r="1687">
      <c r="A1687" s="5">
        <f>IFERROR(__xludf.DUMMYFUNCTION("""COMPUTED_VALUE"""),7809.0)</f>
        <v>7809</v>
      </c>
      <c r="B1687" s="9">
        <f>IFERROR(__xludf.DUMMYFUNCTION("""COMPUTED_VALUE"""),45449.32679398148)</f>
        <v>45449.32679</v>
      </c>
      <c r="C1687" s="5" t="str">
        <f>IFERROR(__xludf.DUMMYFUNCTION("""COMPUTED_VALUE"""),"purchase")</f>
        <v>purchase</v>
      </c>
      <c r="D1687" s="10">
        <f t="shared" si="1"/>
        <v>45449</v>
      </c>
      <c r="E1687" s="10">
        <f t="shared" si="2"/>
        <v>45446</v>
      </c>
      <c r="F1687" s="10">
        <f t="shared" si="3"/>
        <v>45444</v>
      </c>
      <c r="G1687" s="11"/>
    </row>
    <row r="1688">
      <c r="A1688" s="5">
        <f>IFERROR(__xludf.DUMMYFUNCTION("""COMPUTED_VALUE"""),2670.0)</f>
        <v>2670</v>
      </c>
      <c r="B1688" s="9">
        <f>IFERROR(__xludf.DUMMYFUNCTION("""COMPUTED_VALUE"""),45449.34228009259)</f>
        <v>45449.34228</v>
      </c>
      <c r="C1688" s="5" t="str">
        <f>IFERROR(__xludf.DUMMYFUNCTION("""COMPUTED_VALUE"""),"purchase")</f>
        <v>purchase</v>
      </c>
      <c r="D1688" s="10">
        <f t="shared" si="1"/>
        <v>45449</v>
      </c>
      <c r="E1688" s="10">
        <f t="shared" si="2"/>
        <v>45446</v>
      </c>
      <c r="F1688" s="10">
        <f t="shared" si="3"/>
        <v>45444</v>
      </c>
      <c r="G1688" s="11"/>
    </row>
    <row r="1689">
      <c r="A1689" s="5">
        <f>IFERROR(__xludf.DUMMYFUNCTION("""COMPUTED_VALUE"""),1129.0)</f>
        <v>1129</v>
      </c>
      <c r="B1689" s="9">
        <f>IFERROR(__xludf.DUMMYFUNCTION("""COMPUTED_VALUE"""),45449.43861111111)</f>
        <v>45449.43861</v>
      </c>
      <c r="C1689" s="5" t="str">
        <f>IFERROR(__xludf.DUMMYFUNCTION("""COMPUTED_VALUE"""),"purchase")</f>
        <v>purchase</v>
      </c>
      <c r="D1689" s="10">
        <f t="shared" si="1"/>
        <v>45449</v>
      </c>
      <c r="E1689" s="10">
        <f t="shared" si="2"/>
        <v>45446</v>
      </c>
      <c r="F1689" s="10">
        <f t="shared" si="3"/>
        <v>45444</v>
      </c>
      <c r="G1689" s="11"/>
    </row>
    <row r="1690">
      <c r="A1690" s="5">
        <f>IFERROR(__xludf.DUMMYFUNCTION("""COMPUTED_VALUE"""),1747.0)</f>
        <v>1747</v>
      </c>
      <c r="B1690" s="9">
        <f>IFERROR(__xludf.DUMMYFUNCTION("""COMPUTED_VALUE"""),45449.45391203704)</f>
        <v>45449.45391</v>
      </c>
      <c r="C1690" s="5" t="str">
        <f>IFERROR(__xludf.DUMMYFUNCTION("""COMPUTED_VALUE"""),"purchase")</f>
        <v>purchase</v>
      </c>
      <c r="D1690" s="10">
        <f t="shared" si="1"/>
        <v>45449</v>
      </c>
      <c r="E1690" s="10">
        <f t="shared" si="2"/>
        <v>45446</v>
      </c>
      <c r="F1690" s="10">
        <f t="shared" si="3"/>
        <v>45444</v>
      </c>
      <c r="G1690" s="11"/>
    </row>
    <row r="1691">
      <c r="A1691" s="5">
        <f>IFERROR(__xludf.DUMMYFUNCTION("""COMPUTED_VALUE"""),2822.0)</f>
        <v>2822</v>
      </c>
      <c r="B1691" s="9">
        <f>IFERROR(__xludf.DUMMYFUNCTION("""COMPUTED_VALUE"""),45449.52217592593)</f>
        <v>45449.52218</v>
      </c>
      <c r="C1691" s="5" t="str">
        <f>IFERROR(__xludf.DUMMYFUNCTION("""COMPUTED_VALUE"""),"purchase")</f>
        <v>purchase</v>
      </c>
      <c r="D1691" s="10">
        <f t="shared" si="1"/>
        <v>45449</v>
      </c>
      <c r="E1691" s="10">
        <f t="shared" si="2"/>
        <v>45446</v>
      </c>
      <c r="F1691" s="10">
        <f t="shared" si="3"/>
        <v>45444</v>
      </c>
      <c r="G1691" s="11"/>
    </row>
    <row r="1692">
      <c r="A1692" s="5">
        <f>IFERROR(__xludf.DUMMYFUNCTION("""COMPUTED_VALUE"""),5245.0)</f>
        <v>5245</v>
      </c>
      <c r="B1692" s="9">
        <f>IFERROR(__xludf.DUMMYFUNCTION("""COMPUTED_VALUE"""),45449.76945601852)</f>
        <v>45449.76946</v>
      </c>
      <c r="C1692" s="5" t="str">
        <f>IFERROR(__xludf.DUMMYFUNCTION("""COMPUTED_VALUE"""),"purchase")</f>
        <v>purchase</v>
      </c>
      <c r="D1692" s="10">
        <f t="shared" si="1"/>
        <v>45449</v>
      </c>
      <c r="E1692" s="10">
        <f t="shared" si="2"/>
        <v>45446</v>
      </c>
      <c r="F1692" s="10">
        <f t="shared" si="3"/>
        <v>45444</v>
      </c>
      <c r="G1692" s="11"/>
    </row>
    <row r="1693">
      <c r="A1693" s="5">
        <f>IFERROR(__xludf.DUMMYFUNCTION("""COMPUTED_VALUE"""),4938.0)</f>
        <v>4938</v>
      </c>
      <c r="B1693" s="9">
        <f>IFERROR(__xludf.DUMMYFUNCTION("""COMPUTED_VALUE"""),45449.79855324074)</f>
        <v>45449.79855</v>
      </c>
      <c r="C1693" s="5" t="str">
        <f>IFERROR(__xludf.DUMMYFUNCTION("""COMPUTED_VALUE"""),"purchase")</f>
        <v>purchase</v>
      </c>
      <c r="D1693" s="10">
        <f t="shared" si="1"/>
        <v>45449</v>
      </c>
      <c r="E1693" s="10">
        <f t="shared" si="2"/>
        <v>45446</v>
      </c>
      <c r="F1693" s="10">
        <f t="shared" si="3"/>
        <v>45444</v>
      </c>
      <c r="G1693" s="11"/>
    </row>
    <row r="1694">
      <c r="A1694" s="5">
        <f>IFERROR(__xludf.DUMMYFUNCTION("""COMPUTED_VALUE"""),2442.0)</f>
        <v>2442</v>
      </c>
      <c r="B1694" s="9">
        <f>IFERROR(__xludf.DUMMYFUNCTION("""COMPUTED_VALUE"""),45450.36314814815)</f>
        <v>45450.36315</v>
      </c>
      <c r="C1694" s="5" t="str">
        <f>IFERROR(__xludf.DUMMYFUNCTION("""COMPUTED_VALUE"""),"purchase")</f>
        <v>purchase</v>
      </c>
      <c r="D1694" s="10">
        <f t="shared" si="1"/>
        <v>45450</v>
      </c>
      <c r="E1694" s="10">
        <f t="shared" si="2"/>
        <v>45446</v>
      </c>
      <c r="F1694" s="10">
        <f t="shared" si="3"/>
        <v>45444</v>
      </c>
      <c r="G1694" s="11"/>
    </row>
    <row r="1695">
      <c r="A1695" s="5">
        <f>IFERROR(__xludf.DUMMYFUNCTION("""COMPUTED_VALUE"""),4020.0)</f>
        <v>4020</v>
      </c>
      <c r="B1695" s="9">
        <f>IFERROR(__xludf.DUMMYFUNCTION("""COMPUTED_VALUE"""),45450.37766203703)</f>
        <v>45450.37766</v>
      </c>
      <c r="C1695" s="5" t="str">
        <f>IFERROR(__xludf.DUMMYFUNCTION("""COMPUTED_VALUE"""),"purchase")</f>
        <v>purchase</v>
      </c>
      <c r="D1695" s="10">
        <f t="shared" si="1"/>
        <v>45450</v>
      </c>
      <c r="E1695" s="10">
        <f t="shared" si="2"/>
        <v>45446</v>
      </c>
      <c r="F1695" s="10">
        <f t="shared" si="3"/>
        <v>45444</v>
      </c>
      <c r="G1695" s="11"/>
    </row>
    <row r="1696">
      <c r="A1696" s="5">
        <f>IFERROR(__xludf.DUMMYFUNCTION("""COMPUTED_VALUE"""),813.0)</f>
        <v>813</v>
      </c>
      <c r="B1696" s="9">
        <f>IFERROR(__xludf.DUMMYFUNCTION("""COMPUTED_VALUE"""),45450.4790162037)</f>
        <v>45450.47902</v>
      </c>
      <c r="C1696" s="5" t="str">
        <f>IFERROR(__xludf.DUMMYFUNCTION("""COMPUTED_VALUE"""),"purchase")</f>
        <v>purchase</v>
      </c>
      <c r="D1696" s="10">
        <f t="shared" si="1"/>
        <v>45450</v>
      </c>
      <c r="E1696" s="10">
        <f t="shared" si="2"/>
        <v>45446</v>
      </c>
      <c r="F1696" s="10">
        <f t="shared" si="3"/>
        <v>45444</v>
      </c>
      <c r="G1696" s="11"/>
    </row>
    <row r="1697">
      <c r="A1697" s="5">
        <f>IFERROR(__xludf.DUMMYFUNCTION("""COMPUTED_VALUE"""),5442.0)</f>
        <v>5442</v>
      </c>
      <c r="B1697" s="9">
        <f>IFERROR(__xludf.DUMMYFUNCTION("""COMPUTED_VALUE"""),45450.52287037037)</f>
        <v>45450.52287</v>
      </c>
      <c r="C1697" s="5" t="str">
        <f>IFERROR(__xludf.DUMMYFUNCTION("""COMPUTED_VALUE"""),"purchase")</f>
        <v>purchase</v>
      </c>
      <c r="D1697" s="10">
        <f t="shared" si="1"/>
        <v>45450</v>
      </c>
      <c r="E1697" s="10">
        <f t="shared" si="2"/>
        <v>45446</v>
      </c>
      <c r="F1697" s="10">
        <f t="shared" si="3"/>
        <v>45444</v>
      </c>
      <c r="G1697" s="11"/>
    </row>
    <row r="1698">
      <c r="A1698" s="5">
        <f>IFERROR(__xludf.DUMMYFUNCTION("""COMPUTED_VALUE"""),2875.0)</f>
        <v>2875</v>
      </c>
      <c r="B1698" s="9">
        <f>IFERROR(__xludf.DUMMYFUNCTION("""COMPUTED_VALUE"""),45450.6280787037)</f>
        <v>45450.62808</v>
      </c>
      <c r="C1698" s="5" t="str">
        <f>IFERROR(__xludf.DUMMYFUNCTION("""COMPUTED_VALUE"""),"purchase")</f>
        <v>purchase</v>
      </c>
      <c r="D1698" s="10">
        <f t="shared" si="1"/>
        <v>45450</v>
      </c>
      <c r="E1698" s="10">
        <f t="shared" si="2"/>
        <v>45446</v>
      </c>
      <c r="F1698" s="10">
        <f t="shared" si="3"/>
        <v>45444</v>
      </c>
      <c r="G1698" s="11"/>
    </row>
    <row r="1699">
      <c r="A1699" s="5">
        <f>IFERROR(__xludf.DUMMYFUNCTION("""COMPUTED_VALUE"""),602.0)</f>
        <v>602</v>
      </c>
      <c r="B1699" s="9">
        <f>IFERROR(__xludf.DUMMYFUNCTION("""COMPUTED_VALUE"""),45450.662083333336)</f>
        <v>45450.66208</v>
      </c>
      <c r="C1699" s="5" t="str">
        <f>IFERROR(__xludf.DUMMYFUNCTION("""COMPUTED_VALUE"""),"purchase")</f>
        <v>purchase</v>
      </c>
      <c r="D1699" s="10">
        <f t="shared" si="1"/>
        <v>45450</v>
      </c>
      <c r="E1699" s="10">
        <f t="shared" si="2"/>
        <v>45446</v>
      </c>
      <c r="F1699" s="10">
        <f t="shared" si="3"/>
        <v>45444</v>
      </c>
      <c r="G1699" s="11"/>
    </row>
    <row r="1700">
      <c r="A1700" s="5">
        <f>IFERROR(__xludf.DUMMYFUNCTION("""COMPUTED_VALUE"""),648.0)</f>
        <v>648</v>
      </c>
      <c r="B1700" s="9">
        <f>IFERROR(__xludf.DUMMYFUNCTION("""COMPUTED_VALUE"""),45450.74511574074)</f>
        <v>45450.74512</v>
      </c>
      <c r="C1700" s="5" t="str">
        <f>IFERROR(__xludf.DUMMYFUNCTION("""COMPUTED_VALUE"""),"purchase")</f>
        <v>purchase</v>
      </c>
      <c r="D1700" s="10">
        <f t="shared" si="1"/>
        <v>45450</v>
      </c>
      <c r="E1700" s="10">
        <f t="shared" si="2"/>
        <v>45446</v>
      </c>
      <c r="F1700" s="10">
        <f t="shared" si="3"/>
        <v>45444</v>
      </c>
      <c r="G1700" s="11"/>
    </row>
    <row r="1701">
      <c r="A1701" s="5">
        <f>IFERROR(__xludf.DUMMYFUNCTION("""COMPUTED_VALUE"""),304.0)</f>
        <v>304</v>
      </c>
      <c r="B1701" s="9">
        <f>IFERROR(__xludf.DUMMYFUNCTION("""COMPUTED_VALUE"""),45451.21005787037)</f>
        <v>45451.21006</v>
      </c>
      <c r="C1701" s="5" t="str">
        <f>IFERROR(__xludf.DUMMYFUNCTION("""COMPUTED_VALUE"""),"purchase")</f>
        <v>purchase</v>
      </c>
      <c r="D1701" s="10">
        <f t="shared" si="1"/>
        <v>45451</v>
      </c>
      <c r="E1701" s="10">
        <f t="shared" si="2"/>
        <v>45446</v>
      </c>
      <c r="F1701" s="10">
        <f t="shared" si="3"/>
        <v>45444</v>
      </c>
      <c r="G1701" s="11"/>
    </row>
    <row r="1702">
      <c r="A1702" s="5">
        <f>IFERROR(__xludf.DUMMYFUNCTION("""COMPUTED_VALUE"""),3615.0)</f>
        <v>3615</v>
      </c>
      <c r="B1702" s="9">
        <f>IFERROR(__xludf.DUMMYFUNCTION("""COMPUTED_VALUE"""),45451.33888888889)</f>
        <v>45451.33889</v>
      </c>
      <c r="C1702" s="5" t="str">
        <f>IFERROR(__xludf.DUMMYFUNCTION("""COMPUTED_VALUE"""),"purchase")</f>
        <v>purchase</v>
      </c>
      <c r="D1702" s="10">
        <f t="shared" si="1"/>
        <v>45451</v>
      </c>
      <c r="E1702" s="10">
        <f t="shared" si="2"/>
        <v>45446</v>
      </c>
      <c r="F1702" s="10">
        <f t="shared" si="3"/>
        <v>45444</v>
      </c>
      <c r="G1702" s="11"/>
    </row>
    <row r="1703">
      <c r="A1703" s="5">
        <f>IFERROR(__xludf.DUMMYFUNCTION("""COMPUTED_VALUE"""),6318.0)</f>
        <v>6318</v>
      </c>
      <c r="B1703" s="9">
        <f>IFERROR(__xludf.DUMMYFUNCTION("""COMPUTED_VALUE"""),45451.42741898148)</f>
        <v>45451.42742</v>
      </c>
      <c r="C1703" s="5" t="str">
        <f>IFERROR(__xludf.DUMMYFUNCTION("""COMPUTED_VALUE"""),"purchase")</f>
        <v>purchase</v>
      </c>
      <c r="D1703" s="10">
        <f t="shared" si="1"/>
        <v>45451</v>
      </c>
      <c r="E1703" s="10">
        <f t="shared" si="2"/>
        <v>45446</v>
      </c>
      <c r="F1703" s="10">
        <f t="shared" si="3"/>
        <v>45444</v>
      </c>
      <c r="G1703" s="11"/>
    </row>
    <row r="1704">
      <c r="A1704" s="5">
        <f>IFERROR(__xludf.DUMMYFUNCTION("""COMPUTED_VALUE"""),3146.0)</f>
        <v>3146</v>
      </c>
      <c r="B1704" s="9">
        <f>IFERROR(__xludf.DUMMYFUNCTION("""COMPUTED_VALUE"""),45451.48846064815)</f>
        <v>45451.48846</v>
      </c>
      <c r="C1704" s="5" t="str">
        <f>IFERROR(__xludf.DUMMYFUNCTION("""COMPUTED_VALUE"""),"purchase")</f>
        <v>purchase</v>
      </c>
      <c r="D1704" s="10">
        <f t="shared" si="1"/>
        <v>45451</v>
      </c>
      <c r="E1704" s="10">
        <f t="shared" si="2"/>
        <v>45446</v>
      </c>
      <c r="F1704" s="10">
        <f t="shared" si="3"/>
        <v>45444</v>
      </c>
      <c r="G1704" s="11"/>
    </row>
    <row r="1705">
      <c r="A1705" s="5">
        <f>IFERROR(__xludf.DUMMYFUNCTION("""COMPUTED_VALUE"""),2116.0)</f>
        <v>2116</v>
      </c>
      <c r="B1705" s="9">
        <f>IFERROR(__xludf.DUMMYFUNCTION("""COMPUTED_VALUE"""),45451.60021990741)</f>
        <v>45451.60022</v>
      </c>
      <c r="C1705" s="5" t="str">
        <f>IFERROR(__xludf.DUMMYFUNCTION("""COMPUTED_VALUE"""),"purchase")</f>
        <v>purchase</v>
      </c>
      <c r="D1705" s="10">
        <f t="shared" si="1"/>
        <v>45451</v>
      </c>
      <c r="E1705" s="10">
        <f t="shared" si="2"/>
        <v>45446</v>
      </c>
      <c r="F1705" s="10">
        <f t="shared" si="3"/>
        <v>45444</v>
      </c>
      <c r="G1705" s="11"/>
    </row>
    <row r="1706">
      <c r="A1706" s="5">
        <f>IFERROR(__xludf.DUMMYFUNCTION("""COMPUTED_VALUE"""),7696.0)</f>
        <v>7696</v>
      </c>
      <c r="B1706" s="9">
        <f>IFERROR(__xludf.DUMMYFUNCTION("""COMPUTED_VALUE"""),45451.68204861111)</f>
        <v>45451.68205</v>
      </c>
      <c r="C1706" s="5" t="str">
        <f>IFERROR(__xludf.DUMMYFUNCTION("""COMPUTED_VALUE"""),"purchase")</f>
        <v>purchase</v>
      </c>
      <c r="D1706" s="10">
        <f t="shared" si="1"/>
        <v>45451</v>
      </c>
      <c r="E1706" s="10">
        <f t="shared" si="2"/>
        <v>45446</v>
      </c>
      <c r="F1706" s="10">
        <f t="shared" si="3"/>
        <v>45444</v>
      </c>
      <c r="G1706" s="11"/>
    </row>
    <row r="1707">
      <c r="A1707" s="5">
        <f>IFERROR(__xludf.DUMMYFUNCTION("""COMPUTED_VALUE"""),7872.0)</f>
        <v>7872</v>
      </c>
      <c r="B1707" s="9">
        <f>IFERROR(__xludf.DUMMYFUNCTION("""COMPUTED_VALUE"""),45451.723958333336)</f>
        <v>45451.72396</v>
      </c>
      <c r="C1707" s="5" t="str">
        <f>IFERROR(__xludf.DUMMYFUNCTION("""COMPUTED_VALUE"""),"purchase")</f>
        <v>purchase</v>
      </c>
      <c r="D1707" s="10">
        <f t="shared" si="1"/>
        <v>45451</v>
      </c>
      <c r="E1707" s="10">
        <f t="shared" si="2"/>
        <v>45446</v>
      </c>
      <c r="F1707" s="10">
        <f t="shared" si="3"/>
        <v>45444</v>
      </c>
      <c r="G1707" s="11"/>
    </row>
    <row r="1708">
      <c r="A1708" s="5">
        <f>IFERROR(__xludf.DUMMYFUNCTION("""COMPUTED_VALUE"""),1946.0)</f>
        <v>1946</v>
      </c>
      <c r="B1708" s="9">
        <f>IFERROR(__xludf.DUMMYFUNCTION("""COMPUTED_VALUE"""),45451.742476851854)</f>
        <v>45451.74248</v>
      </c>
      <c r="C1708" s="5" t="str">
        <f>IFERROR(__xludf.DUMMYFUNCTION("""COMPUTED_VALUE"""),"purchase")</f>
        <v>purchase</v>
      </c>
      <c r="D1708" s="10">
        <f t="shared" si="1"/>
        <v>45451</v>
      </c>
      <c r="E1708" s="10">
        <f t="shared" si="2"/>
        <v>45446</v>
      </c>
      <c r="F1708" s="10">
        <f t="shared" si="3"/>
        <v>45444</v>
      </c>
      <c r="G1708" s="11"/>
    </row>
    <row r="1709">
      <c r="A1709" s="5">
        <f>IFERROR(__xludf.DUMMYFUNCTION("""COMPUTED_VALUE"""),6694.0)</f>
        <v>6694</v>
      </c>
      <c r="B1709" s="9">
        <f>IFERROR(__xludf.DUMMYFUNCTION("""COMPUTED_VALUE"""),45451.818703703706)</f>
        <v>45451.8187</v>
      </c>
      <c r="C1709" s="5" t="str">
        <f>IFERROR(__xludf.DUMMYFUNCTION("""COMPUTED_VALUE"""),"purchase")</f>
        <v>purchase</v>
      </c>
      <c r="D1709" s="10">
        <f t="shared" si="1"/>
        <v>45451</v>
      </c>
      <c r="E1709" s="10">
        <f t="shared" si="2"/>
        <v>45446</v>
      </c>
      <c r="F1709" s="10">
        <f t="shared" si="3"/>
        <v>45444</v>
      </c>
      <c r="G1709" s="11"/>
    </row>
    <row r="1710">
      <c r="A1710" s="5">
        <f>IFERROR(__xludf.DUMMYFUNCTION("""COMPUTED_VALUE"""),7285.0)</f>
        <v>7285</v>
      </c>
      <c r="B1710" s="9">
        <f>IFERROR(__xludf.DUMMYFUNCTION("""COMPUTED_VALUE"""),45451.819699074076)</f>
        <v>45451.8197</v>
      </c>
      <c r="C1710" s="5" t="str">
        <f>IFERROR(__xludf.DUMMYFUNCTION("""COMPUTED_VALUE"""),"purchase")</f>
        <v>purchase</v>
      </c>
      <c r="D1710" s="10">
        <f t="shared" si="1"/>
        <v>45451</v>
      </c>
      <c r="E1710" s="10">
        <f t="shared" si="2"/>
        <v>45446</v>
      </c>
      <c r="F1710" s="10">
        <f t="shared" si="3"/>
        <v>45444</v>
      </c>
      <c r="G1710" s="11"/>
    </row>
    <row r="1711">
      <c r="A1711" s="5">
        <f>IFERROR(__xludf.DUMMYFUNCTION("""COMPUTED_VALUE"""),4994.0)</f>
        <v>4994</v>
      </c>
      <c r="B1711" s="9">
        <f>IFERROR(__xludf.DUMMYFUNCTION("""COMPUTED_VALUE"""),45451.896782407406)</f>
        <v>45451.89678</v>
      </c>
      <c r="C1711" s="5" t="str">
        <f>IFERROR(__xludf.DUMMYFUNCTION("""COMPUTED_VALUE"""),"purchase")</f>
        <v>purchase</v>
      </c>
      <c r="D1711" s="10">
        <f t="shared" si="1"/>
        <v>45451</v>
      </c>
      <c r="E1711" s="10">
        <f t="shared" si="2"/>
        <v>45446</v>
      </c>
      <c r="F1711" s="10">
        <f t="shared" si="3"/>
        <v>45444</v>
      </c>
      <c r="G1711" s="11"/>
    </row>
    <row r="1712">
      <c r="A1712" s="5">
        <f>IFERROR(__xludf.DUMMYFUNCTION("""COMPUTED_VALUE"""),3612.0)</f>
        <v>3612</v>
      </c>
      <c r="B1712" s="9">
        <f>IFERROR(__xludf.DUMMYFUNCTION("""COMPUTED_VALUE"""),45452.00546296296)</f>
        <v>45452.00546</v>
      </c>
      <c r="C1712" s="5" t="str">
        <f>IFERROR(__xludf.DUMMYFUNCTION("""COMPUTED_VALUE"""),"purchase")</f>
        <v>purchase</v>
      </c>
      <c r="D1712" s="10">
        <f t="shared" si="1"/>
        <v>45452</v>
      </c>
      <c r="E1712" s="10">
        <f t="shared" si="2"/>
        <v>45446</v>
      </c>
      <c r="F1712" s="10">
        <f t="shared" si="3"/>
        <v>45444</v>
      </c>
      <c r="G1712" s="11"/>
    </row>
    <row r="1713">
      <c r="A1713" s="5">
        <f>IFERROR(__xludf.DUMMYFUNCTION("""COMPUTED_VALUE"""),2329.0)</f>
        <v>2329</v>
      </c>
      <c r="B1713" s="9">
        <f>IFERROR(__xludf.DUMMYFUNCTION("""COMPUTED_VALUE"""),45452.01391203704)</f>
        <v>45452.01391</v>
      </c>
      <c r="C1713" s="5" t="str">
        <f>IFERROR(__xludf.DUMMYFUNCTION("""COMPUTED_VALUE"""),"purchase")</f>
        <v>purchase</v>
      </c>
      <c r="D1713" s="10">
        <f t="shared" si="1"/>
        <v>45452</v>
      </c>
      <c r="E1713" s="10">
        <f t="shared" si="2"/>
        <v>45446</v>
      </c>
      <c r="F1713" s="10">
        <f t="shared" si="3"/>
        <v>45444</v>
      </c>
      <c r="G1713" s="11"/>
    </row>
    <row r="1714">
      <c r="A1714" s="5">
        <f>IFERROR(__xludf.DUMMYFUNCTION("""COMPUTED_VALUE"""),3476.0)</f>
        <v>3476</v>
      </c>
      <c r="B1714" s="9">
        <f>IFERROR(__xludf.DUMMYFUNCTION("""COMPUTED_VALUE"""),45452.129745370374)</f>
        <v>45452.12975</v>
      </c>
      <c r="C1714" s="5" t="str">
        <f>IFERROR(__xludf.DUMMYFUNCTION("""COMPUTED_VALUE"""),"purchase")</f>
        <v>purchase</v>
      </c>
      <c r="D1714" s="10">
        <f t="shared" si="1"/>
        <v>45452</v>
      </c>
      <c r="E1714" s="10">
        <f t="shared" si="2"/>
        <v>45446</v>
      </c>
      <c r="F1714" s="10">
        <f t="shared" si="3"/>
        <v>45444</v>
      </c>
      <c r="G1714" s="11"/>
    </row>
    <row r="1715">
      <c r="A1715" s="5">
        <f>IFERROR(__xludf.DUMMYFUNCTION("""COMPUTED_VALUE"""),5426.0)</f>
        <v>5426</v>
      </c>
      <c r="B1715" s="9">
        <f>IFERROR(__xludf.DUMMYFUNCTION("""COMPUTED_VALUE"""),45452.36990740741)</f>
        <v>45452.36991</v>
      </c>
      <c r="C1715" s="5" t="str">
        <f>IFERROR(__xludf.DUMMYFUNCTION("""COMPUTED_VALUE"""),"purchase")</f>
        <v>purchase</v>
      </c>
      <c r="D1715" s="10">
        <f t="shared" si="1"/>
        <v>45452</v>
      </c>
      <c r="E1715" s="10">
        <f t="shared" si="2"/>
        <v>45446</v>
      </c>
      <c r="F1715" s="10">
        <f t="shared" si="3"/>
        <v>45444</v>
      </c>
      <c r="G1715" s="11"/>
    </row>
    <row r="1716">
      <c r="A1716" s="5">
        <f>IFERROR(__xludf.DUMMYFUNCTION("""COMPUTED_VALUE"""),96.0)</f>
        <v>96</v>
      </c>
      <c r="B1716" s="9">
        <f>IFERROR(__xludf.DUMMYFUNCTION("""COMPUTED_VALUE"""),45452.434652777774)</f>
        <v>45452.43465</v>
      </c>
      <c r="C1716" s="5" t="str">
        <f>IFERROR(__xludf.DUMMYFUNCTION("""COMPUTED_VALUE"""),"purchase")</f>
        <v>purchase</v>
      </c>
      <c r="D1716" s="10">
        <f t="shared" si="1"/>
        <v>45452</v>
      </c>
      <c r="E1716" s="10">
        <f t="shared" si="2"/>
        <v>45446</v>
      </c>
      <c r="F1716" s="10">
        <f t="shared" si="3"/>
        <v>45444</v>
      </c>
      <c r="G1716" s="11"/>
    </row>
    <row r="1717">
      <c r="A1717" s="5">
        <f>IFERROR(__xludf.DUMMYFUNCTION("""COMPUTED_VALUE"""),7163.0)</f>
        <v>7163</v>
      </c>
      <c r="B1717" s="9">
        <f>IFERROR(__xludf.DUMMYFUNCTION("""COMPUTED_VALUE"""),45452.71313657407)</f>
        <v>45452.71314</v>
      </c>
      <c r="C1717" s="5" t="str">
        <f>IFERROR(__xludf.DUMMYFUNCTION("""COMPUTED_VALUE"""),"purchase")</f>
        <v>purchase</v>
      </c>
      <c r="D1717" s="10">
        <f t="shared" si="1"/>
        <v>45452</v>
      </c>
      <c r="E1717" s="10">
        <f t="shared" si="2"/>
        <v>45446</v>
      </c>
      <c r="F1717" s="10">
        <f t="shared" si="3"/>
        <v>45444</v>
      </c>
      <c r="G1717" s="11"/>
    </row>
    <row r="1718">
      <c r="A1718" s="5">
        <f>IFERROR(__xludf.DUMMYFUNCTION("""COMPUTED_VALUE"""),7398.0)</f>
        <v>7398</v>
      </c>
      <c r="B1718" s="9">
        <f>IFERROR(__xludf.DUMMYFUNCTION("""COMPUTED_VALUE"""),45452.91664351852)</f>
        <v>45452.91664</v>
      </c>
      <c r="C1718" s="5" t="str">
        <f>IFERROR(__xludf.DUMMYFUNCTION("""COMPUTED_VALUE"""),"purchase")</f>
        <v>purchase</v>
      </c>
      <c r="D1718" s="10">
        <f t="shared" si="1"/>
        <v>45452</v>
      </c>
      <c r="E1718" s="10">
        <f t="shared" si="2"/>
        <v>45446</v>
      </c>
      <c r="F1718" s="10">
        <f t="shared" si="3"/>
        <v>45444</v>
      </c>
      <c r="G1718" s="11"/>
    </row>
    <row r="1719">
      <c r="A1719" s="5">
        <f>IFERROR(__xludf.DUMMYFUNCTION("""COMPUTED_VALUE"""),4114.0)</f>
        <v>4114</v>
      </c>
      <c r="B1719" s="9">
        <f>IFERROR(__xludf.DUMMYFUNCTION("""COMPUTED_VALUE"""),45453.194189814814)</f>
        <v>45453.19419</v>
      </c>
      <c r="C1719" s="5" t="str">
        <f>IFERROR(__xludf.DUMMYFUNCTION("""COMPUTED_VALUE"""),"purchase")</f>
        <v>purchase</v>
      </c>
      <c r="D1719" s="10">
        <f t="shared" si="1"/>
        <v>45453</v>
      </c>
      <c r="E1719" s="10">
        <f t="shared" si="2"/>
        <v>45453</v>
      </c>
      <c r="F1719" s="10">
        <f t="shared" si="3"/>
        <v>45444</v>
      </c>
      <c r="G1719" s="11"/>
    </row>
    <row r="1720">
      <c r="A1720" s="5">
        <f>IFERROR(__xludf.DUMMYFUNCTION("""COMPUTED_VALUE"""),3878.0)</f>
        <v>3878</v>
      </c>
      <c r="B1720" s="9">
        <f>IFERROR(__xludf.DUMMYFUNCTION("""COMPUTED_VALUE"""),45453.30194444444)</f>
        <v>45453.30194</v>
      </c>
      <c r="C1720" s="5" t="str">
        <f>IFERROR(__xludf.DUMMYFUNCTION("""COMPUTED_VALUE"""),"purchase")</f>
        <v>purchase</v>
      </c>
      <c r="D1720" s="10">
        <f t="shared" si="1"/>
        <v>45453</v>
      </c>
      <c r="E1720" s="10">
        <f t="shared" si="2"/>
        <v>45453</v>
      </c>
      <c r="F1720" s="10">
        <f t="shared" si="3"/>
        <v>45444</v>
      </c>
      <c r="G1720" s="11"/>
    </row>
    <row r="1721">
      <c r="A1721" s="5">
        <f>IFERROR(__xludf.DUMMYFUNCTION("""COMPUTED_VALUE"""),7279.0)</f>
        <v>7279</v>
      </c>
      <c r="B1721" s="9">
        <f>IFERROR(__xludf.DUMMYFUNCTION("""COMPUTED_VALUE"""),45453.34546296296)</f>
        <v>45453.34546</v>
      </c>
      <c r="C1721" s="5" t="str">
        <f>IFERROR(__xludf.DUMMYFUNCTION("""COMPUTED_VALUE"""),"purchase")</f>
        <v>purchase</v>
      </c>
      <c r="D1721" s="10">
        <f t="shared" si="1"/>
        <v>45453</v>
      </c>
      <c r="E1721" s="10">
        <f t="shared" si="2"/>
        <v>45453</v>
      </c>
      <c r="F1721" s="10">
        <f t="shared" si="3"/>
        <v>45444</v>
      </c>
      <c r="G1721" s="11"/>
    </row>
    <row r="1722">
      <c r="A1722" s="5">
        <f>IFERROR(__xludf.DUMMYFUNCTION("""COMPUTED_VALUE"""),6728.0)</f>
        <v>6728</v>
      </c>
      <c r="B1722" s="9">
        <f>IFERROR(__xludf.DUMMYFUNCTION("""COMPUTED_VALUE"""),45453.398888888885)</f>
        <v>45453.39889</v>
      </c>
      <c r="C1722" s="5" t="str">
        <f>IFERROR(__xludf.DUMMYFUNCTION("""COMPUTED_VALUE"""),"purchase")</f>
        <v>purchase</v>
      </c>
      <c r="D1722" s="10">
        <f t="shared" si="1"/>
        <v>45453</v>
      </c>
      <c r="E1722" s="10">
        <f t="shared" si="2"/>
        <v>45453</v>
      </c>
      <c r="F1722" s="10">
        <f t="shared" si="3"/>
        <v>45444</v>
      </c>
      <c r="G1722" s="11"/>
    </row>
    <row r="1723">
      <c r="A1723" s="5">
        <f>IFERROR(__xludf.DUMMYFUNCTION("""COMPUTED_VALUE"""),5441.0)</f>
        <v>5441</v>
      </c>
      <c r="B1723" s="9">
        <f>IFERROR(__xludf.DUMMYFUNCTION("""COMPUTED_VALUE"""),45453.466840277775)</f>
        <v>45453.46684</v>
      </c>
      <c r="C1723" s="5" t="str">
        <f>IFERROR(__xludf.DUMMYFUNCTION("""COMPUTED_VALUE"""),"purchase")</f>
        <v>purchase</v>
      </c>
      <c r="D1723" s="10">
        <f t="shared" si="1"/>
        <v>45453</v>
      </c>
      <c r="E1723" s="10">
        <f t="shared" si="2"/>
        <v>45453</v>
      </c>
      <c r="F1723" s="10">
        <f t="shared" si="3"/>
        <v>45444</v>
      </c>
      <c r="G1723" s="11"/>
    </row>
    <row r="1724">
      <c r="A1724" s="5">
        <f>IFERROR(__xludf.DUMMYFUNCTION("""COMPUTED_VALUE"""),2025.0)</f>
        <v>2025</v>
      </c>
      <c r="B1724" s="9">
        <f>IFERROR(__xludf.DUMMYFUNCTION("""COMPUTED_VALUE"""),45453.560011574074)</f>
        <v>45453.56001</v>
      </c>
      <c r="C1724" s="5" t="str">
        <f>IFERROR(__xludf.DUMMYFUNCTION("""COMPUTED_VALUE"""),"purchase")</f>
        <v>purchase</v>
      </c>
      <c r="D1724" s="10">
        <f t="shared" si="1"/>
        <v>45453</v>
      </c>
      <c r="E1724" s="10">
        <f t="shared" si="2"/>
        <v>45453</v>
      </c>
      <c r="F1724" s="10">
        <f t="shared" si="3"/>
        <v>45444</v>
      </c>
      <c r="G1724" s="11"/>
    </row>
    <row r="1725">
      <c r="A1725" s="5">
        <f>IFERROR(__xludf.DUMMYFUNCTION("""COMPUTED_VALUE"""),6631.0)</f>
        <v>6631</v>
      </c>
      <c r="B1725" s="9">
        <f>IFERROR(__xludf.DUMMYFUNCTION("""COMPUTED_VALUE"""),45453.644641203704)</f>
        <v>45453.64464</v>
      </c>
      <c r="C1725" s="5" t="str">
        <f>IFERROR(__xludf.DUMMYFUNCTION("""COMPUTED_VALUE"""),"purchase")</f>
        <v>purchase</v>
      </c>
      <c r="D1725" s="10">
        <f t="shared" si="1"/>
        <v>45453</v>
      </c>
      <c r="E1725" s="10">
        <f t="shared" si="2"/>
        <v>45453</v>
      </c>
      <c r="F1725" s="10">
        <f t="shared" si="3"/>
        <v>45444</v>
      </c>
      <c r="G1725" s="11"/>
    </row>
    <row r="1726">
      <c r="A1726" s="5">
        <f>IFERROR(__xludf.DUMMYFUNCTION("""COMPUTED_VALUE"""),6166.0)</f>
        <v>6166</v>
      </c>
      <c r="B1726" s="9">
        <f>IFERROR(__xludf.DUMMYFUNCTION("""COMPUTED_VALUE"""),45453.81511574074)</f>
        <v>45453.81512</v>
      </c>
      <c r="C1726" s="5" t="str">
        <f>IFERROR(__xludf.DUMMYFUNCTION("""COMPUTED_VALUE"""),"purchase")</f>
        <v>purchase</v>
      </c>
      <c r="D1726" s="10">
        <f t="shared" si="1"/>
        <v>45453</v>
      </c>
      <c r="E1726" s="10">
        <f t="shared" si="2"/>
        <v>45453</v>
      </c>
      <c r="F1726" s="10">
        <f t="shared" si="3"/>
        <v>45444</v>
      </c>
      <c r="G1726" s="11"/>
    </row>
    <row r="1727">
      <c r="A1727" s="5">
        <f>IFERROR(__xludf.DUMMYFUNCTION("""COMPUTED_VALUE"""),1624.0)</f>
        <v>1624</v>
      </c>
      <c r="B1727" s="9">
        <f>IFERROR(__xludf.DUMMYFUNCTION("""COMPUTED_VALUE"""),45453.94640046296)</f>
        <v>45453.9464</v>
      </c>
      <c r="C1727" s="5" t="str">
        <f>IFERROR(__xludf.DUMMYFUNCTION("""COMPUTED_VALUE"""),"purchase")</f>
        <v>purchase</v>
      </c>
      <c r="D1727" s="10">
        <f t="shared" si="1"/>
        <v>45453</v>
      </c>
      <c r="E1727" s="10">
        <f t="shared" si="2"/>
        <v>45453</v>
      </c>
      <c r="F1727" s="10">
        <f t="shared" si="3"/>
        <v>45444</v>
      </c>
      <c r="G1727" s="11"/>
    </row>
    <row r="1728">
      <c r="A1728" s="5">
        <f>IFERROR(__xludf.DUMMYFUNCTION("""COMPUTED_VALUE"""),966.0)</f>
        <v>966</v>
      </c>
      <c r="B1728" s="9">
        <f>IFERROR(__xludf.DUMMYFUNCTION("""COMPUTED_VALUE"""),45453.97340277778)</f>
        <v>45453.9734</v>
      </c>
      <c r="C1728" s="5" t="str">
        <f>IFERROR(__xludf.DUMMYFUNCTION("""COMPUTED_VALUE"""),"purchase")</f>
        <v>purchase</v>
      </c>
      <c r="D1728" s="10">
        <f t="shared" si="1"/>
        <v>45453</v>
      </c>
      <c r="E1728" s="10">
        <f t="shared" si="2"/>
        <v>45453</v>
      </c>
      <c r="F1728" s="10">
        <f t="shared" si="3"/>
        <v>45444</v>
      </c>
      <c r="G1728" s="11"/>
    </row>
    <row r="1729">
      <c r="A1729" s="5">
        <f>IFERROR(__xludf.DUMMYFUNCTION("""COMPUTED_VALUE"""),4814.0)</f>
        <v>4814</v>
      </c>
      <c r="B1729" s="9">
        <f>IFERROR(__xludf.DUMMYFUNCTION("""COMPUTED_VALUE"""),45454.04634259259)</f>
        <v>45454.04634</v>
      </c>
      <c r="C1729" s="5" t="str">
        <f>IFERROR(__xludf.DUMMYFUNCTION("""COMPUTED_VALUE"""),"purchase")</f>
        <v>purchase</v>
      </c>
      <c r="D1729" s="10">
        <f t="shared" si="1"/>
        <v>45454</v>
      </c>
      <c r="E1729" s="10">
        <f t="shared" si="2"/>
        <v>45453</v>
      </c>
      <c r="F1729" s="10">
        <f t="shared" si="3"/>
        <v>45444</v>
      </c>
      <c r="G1729" s="11"/>
    </row>
    <row r="1730">
      <c r="A1730" s="5">
        <f>IFERROR(__xludf.DUMMYFUNCTION("""COMPUTED_VALUE"""),3516.0)</f>
        <v>3516</v>
      </c>
      <c r="B1730" s="9">
        <f>IFERROR(__xludf.DUMMYFUNCTION("""COMPUTED_VALUE"""),45454.17152777778)</f>
        <v>45454.17153</v>
      </c>
      <c r="C1730" s="5" t="str">
        <f>IFERROR(__xludf.DUMMYFUNCTION("""COMPUTED_VALUE"""),"purchase")</f>
        <v>purchase</v>
      </c>
      <c r="D1730" s="10">
        <f t="shared" si="1"/>
        <v>45454</v>
      </c>
      <c r="E1730" s="10">
        <f t="shared" si="2"/>
        <v>45453</v>
      </c>
      <c r="F1730" s="10">
        <f t="shared" si="3"/>
        <v>45444</v>
      </c>
      <c r="G1730" s="11"/>
    </row>
    <row r="1731">
      <c r="A1731" s="5">
        <f>IFERROR(__xludf.DUMMYFUNCTION("""COMPUTED_VALUE"""),555.0)</f>
        <v>555</v>
      </c>
      <c r="B1731" s="9">
        <f>IFERROR(__xludf.DUMMYFUNCTION("""COMPUTED_VALUE"""),45454.36194444444)</f>
        <v>45454.36194</v>
      </c>
      <c r="C1731" s="5" t="str">
        <f>IFERROR(__xludf.DUMMYFUNCTION("""COMPUTED_VALUE"""),"purchase")</f>
        <v>purchase</v>
      </c>
      <c r="D1731" s="10">
        <f t="shared" si="1"/>
        <v>45454</v>
      </c>
      <c r="E1731" s="10">
        <f t="shared" si="2"/>
        <v>45453</v>
      </c>
      <c r="F1731" s="10">
        <f t="shared" si="3"/>
        <v>45444</v>
      </c>
      <c r="G1731" s="11"/>
    </row>
    <row r="1732">
      <c r="A1732" s="5">
        <f>IFERROR(__xludf.DUMMYFUNCTION("""COMPUTED_VALUE"""),5431.0)</f>
        <v>5431</v>
      </c>
      <c r="B1732" s="9">
        <f>IFERROR(__xludf.DUMMYFUNCTION("""COMPUTED_VALUE"""),45454.404594907406)</f>
        <v>45454.40459</v>
      </c>
      <c r="C1732" s="5" t="str">
        <f>IFERROR(__xludf.DUMMYFUNCTION("""COMPUTED_VALUE"""),"purchase")</f>
        <v>purchase</v>
      </c>
      <c r="D1732" s="10">
        <f t="shared" si="1"/>
        <v>45454</v>
      </c>
      <c r="E1732" s="10">
        <f t="shared" si="2"/>
        <v>45453</v>
      </c>
      <c r="F1732" s="10">
        <f t="shared" si="3"/>
        <v>45444</v>
      </c>
      <c r="G1732" s="11"/>
    </row>
    <row r="1733">
      <c r="A1733" s="5">
        <f>IFERROR(__xludf.DUMMYFUNCTION("""COMPUTED_VALUE"""),6056.0)</f>
        <v>6056</v>
      </c>
      <c r="B1733" s="9">
        <f>IFERROR(__xludf.DUMMYFUNCTION("""COMPUTED_VALUE"""),45454.40809027778)</f>
        <v>45454.40809</v>
      </c>
      <c r="C1733" s="5" t="str">
        <f>IFERROR(__xludf.DUMMYFUNCTION("""COMPUTED_VALUE"""),"purchase")</f>
        <v>purchase</v>
      </c>
      <c r="D1733" s="10">
        <f t="shared" si="1"/>
        <v>45454</v>
      </c>
      <c r="E1733" s="10">
        <f t="shared" si="2"/>
        <v>45453</v>
      </c>
      <c r="F1733" s="10">
        <f t="shared" si="3"/>
        <v>45444</v>
      </c>
      <c r="G1733" s="11"/>
    </row>
    <row r="1734">
      <c r="A1734" s="5">
        <f>IFERROR(__xludf.DUMMYFUNCTION("""COMPUTED_VALUE"""),4302.0)</f>
        <v>4302</v>
      </c>
      <c r="B1734" s="9">
        <f>IFERROR(__xludf.DUMMYFUNCTION("""COMPUTED_VALUE"""),45454.4275)</f>
        <v>45454.4275</v>
      </c>
      <c r="C1734" s="5" t="str">
        <f>IFERROR(__xludf.DUMMYFUNCTION("""COMPUTED_VALUE"""),"purchase")</f>
        <v>purchase</v>
      </c>
      <c r="D1734" s="10">
        <f t="shared" si="1"/>
        <v>45454</v>
      </c>
      <c r="E1734" s="10">
        <f t="shared" si="2"/>
        <v>45453</v>
      </c>
      <c r="F1734" s="10">
        <f t="shared" si="3"/>
        <v>45444</v>
      </c>
      <c r="G1734" s="11"/>
    </row>
    <row r="1735">
      <c r="A1735" s="5">
        <f>IFERROR(__xludf.DUMMYFUNCTION("""COMPUTED_VALUE"""),4353.0)</f>
        <v>4353</v>
      </c>
      <c r="B1735" s="9">
        <f>IFERROR(__xludf.DUMMYFUNCTION("""COMPUTED_VALUE"""),45454.49459490741)</f>
        <v>45454.49459</v>
      </c>
      <c r="C1735" s="5" t="str">
        <f>IFERROR(__xludf.DUMMYFUNCTION("""COMPUTED_VALUE"""),"purchase")</f>
        <v>purchase</v>
      </c>
      <c r="D1735" s="10">
        <f t="shared" si="1"/>
        <v>45454</v>
      </c>
      <c r="E1735" s="10">
        <f t="shared" si="2"/>
        <v>45453</v>
      </c>
      <c r="F1735" s="10">
        <f t="shared" si="3"/>
        <v>45444</v>
      </c>
      <c r="G1735" s="11"/>
    </row>
    <row r="1736">
      <c r="A1736" s="5">
        <f>IFERROR(__xludf.DUMMYFUNCTION("""COMPUTED_VALUE"""),5459.0)</f>
        <v>5459</v>
      </c>
      <c r="B1736" s="9">
        <f>IFERROR(__xludf.DUMMYFUNCTION("""COMPUTED_VALUE"""),45454.67061342593)</f>
        <v>45454.67061</v>
      </c>
      <c r="C1736" s="5" t="str">
        <f>IFERROR(__xludf.DUMMYFUNCTION("""COMPUTED_VALUE"""),"purchase")</f>
        <v>purchase</v>
      </c>
      <c r="D1736" s="10">
        <f t="shared" si="1"/>
        <v>45454</v>
      </c>
      <c r="E1736" s="10">
        <f t="shared" si="2"/>
        <v>45453</v>
      </c>
      <c r="F1736" s="10">
        <f t="shared" si="3"/>
        <v>45444</v>
      </c>
      <c r="G1736" s="11"/>
    </row>
    <row r="1737">
      <c r="A1737" s="5">
        <f>IFERROR(__xludf.DUMMYFUNCTION("""COMPUTED_VALUE"""),2165.0)</f>
        <v>2165</v>
      </c>
      <c r="B1737" s="9">
        <f>IFERROR(__xludf.DUMMYFUNCTION("""COMPUTED_VALUE"""),45454.73049768519)</f>
        <v>45454.7305</v>
      </c>
      <c r="C1737" s="5" t="str">
        <f>IFERROR(__xludf.DUMMYFUNCTION("""COMPUTED_VALUE"""),"purchase")</f>
        <v>purchase</v>
      </c>
      <c r="D1737" s="10">
        <f t="shared" si="1"/>
        <v>45454</v>
      </c>
      <c r="E1737" s="10">
        <f t="shared" si="2"/>
        <v>45453</v>
      </c>
      <c r="F1737" s="10">
        <f t="shared" si="3"/>
        <v>45444</v>
      </c>
      <c r="G1737" s="11"/>
    </row>
    <row r="1738">
      <c r="A1738" s="5">
        <f>IFERROR(__xludf.DUMMYFUNCTION("""COMPUTED_VALUE"""),1551.0)</f>
        <v>1551</v>
      </c>
      <c r="B1738" s="9">
        <f>IFERROR(__xludf.DUMMYFUNCTION("""COMPUTED_VALUE"""),45454.81513888889)</f>
        <v>45454.81514</v>
      </c>
      <c r="C1738" s="5" t="str">
        <f>IFERROR(__xludf.DUMMYFUNCTION("""COMPUTED_VALUE"""),"purchase")</f>
        <v>purchase</v>
      </c>
      <c r="D1738" s="10">
        <f t="shared" si="1"/>
        <v>45454</v>
      </c>
      <c r="E1738" s="10">
        <f t="shared" si="2"/>
        <v>45453</v>
      </c>
      <c r="F1738" s="10">
        <f t="shared" si="3"/>
        <v>45444</v>
      </c>
      <c r="G1738" s="11"/>
    </row>
    <row r="1739">
      <c r="A1739" s="5">
        <f>IFERROR(__xludf.DUMMYFUNCTION("""COMPUTED_VALUE"""),843.0)</f>
        <v>843</v>
      </c>
      <c r="B1739" s="9">
        <f>IFERROR(__xludf.DUMMYFUNCTION("""COMPUTED_VALUE"""),45454.83005787037)</f>
        <v>45454.83006</v>
      </c>
      <c r="C1739" s="5" t="str">
        <f>IFERROR(__xludf.DUMMYFUNCTION("""COMPUTED_VALUE"""),"purchase")</f>
        <v>purchase</v>
      </c>
      <c r="D1739" s="10">
        <f t="shared" si="1"/>
        <v>45454</v>
      </c>
      <c r="E1739" s="10">
        <f t="shared" si="2"/>
        <v>45453</v>
      </c>
      <c r="F1739" s="10">
        <f t="shared" si="3"/>
        <v>45444</v>
      </c>
      <c r="G1739" s="11"/>
    </row>
    <row r="1740">
      <c r="A1740" s="5">
        <f>IFERROR(__xludf.DUMMYFUNCTION("""COMPUTED_VALUE"""),3405.0)</f>
        <v>3405</v>
      </c>
      <c r="B1740" s="9">
        <f>IFERROR(__xludf.DUMMYFUNCTION("""COMPUTED_VALUE"""),45454.89949074074)</f>
        <v>45454.89949</v>
      </c>
      <c r="C1740" s="5" t="str">
        <f>IFERROR(__xludf.DUMMYFUNCTION("""COMPUTED_VALUE"""),"purchase")</f>
        <v>purchase</v>
      </c>
      <c r="D1740" s="10">
        <f t="shared" si="1"/>
        <v>45454</v>
      </c>
      <c r="E1740" s="10">
        <f t="shared" si="2"/>
        <v>45453</v>
      </c>
      <c r="F1740" s="10">
        <f t="shared" si="3"/>
        <v>45444</v>
      </c>
      <c r="G1740" s="11"/>
    </row>
    <row r="1741">
      <c r="A1741" s="5">
        <f>IFERROR(__xludf.DUMMYFUNCTION("""COMPUTED_VALUE"""),4982.0)</f>
        <v>4982</v>
      </c>
      <c r="B1741" s="9">
        <f>IFERROR(__xludf.DUMMYFUNCTION("""COMPUTED_VALUE"""),45455.061886574076)</f>
        <v>45455.06189</v>
      </c>
      <c r="C1741" s="5" t="str">
        <f>IFERROR(__xludf.DUMMYFUNCTION("""COMPUTED_VALUE"""),"purchase")</f>
        <v>purchase</v>
      </c>
      <c r="D1741" s="10">
        <f t="shared" si="1"/>
        <v>45455</v>
      </c>
      <c r="E1741" s="10">
        <f t="shared" si="2"/>
        <v>45453</v>
      </c>
      <c r="F1741" s="10">
        <f t="shared" si="3"/>
        <v>45444</v>
      </c>
      <c r="G1741" s="11"/>
    </row>
    <row r="1742">
      <c r="A1742" s="5">
        <f>IFERROR(__xludf.DUMMYFUNCTION("""COMPUTED_VALUE"""),6211.0)</f>
        <v>6211</v>
      </c>
      <c r="B1742" s="9">
        <f>IFERROR(__xludf.DUMMYFUNCTION("""COMPUTED_VALUE"""),45455.18368055556)</f>
        <v>45455.18368</v>
      </c>
      <c r="C1742" s="5" t="str">
        <f>IFERROR(__xludf.DUMMYFUNCTION("""COMPUTED_VALUE"""),"purchase")</f>
        <v>purchase</v>
      </c>
      <c r="D1742" s="10">
        <f t="shared" si="1"/>
        <v>45455</v>
      </c>
      <c r="E1742" s="10">
        <f t="shared" si="2"/>
        <v>45453</v>
      </c>
      <c r="F1742" s="10">
        <f t="shared" si="3"/>
        <v>45444</v>
      </c>
      <c r="G1742" s="11"/>
    </row>
    <row r="1743">
      <c r="A1743" s="5">
        <f>IFERROR(__xludf.DUMMYFUNCTION("""COMPUTED_VALUE"""),6077.0)</f>
        <v>6077</v>
      </c>
      <c r="B1743" s="9">
        <f>IFERROR(__xludf.DUMMYFUNCTION("""COMPUTED_VALUE"""),45455.36363425926)</f>
        <v>45455.36363</v>
      </c>
      <c r="C1743" s="5" t="str">
        <f>IFERROR(__xludf.DUMMYFUNCTION("""COMPUTED_VALUE"""),"purchase")</f>
        <v>purchase</v>
      </c>
      <c r="D1743" s="10">
        <f t="shared" si="1"/>
        <v>45455</v>
      </c>
      <c r="E1743" s="10">
        <f t="shared" si="2"/>
        <v>45453</v>
      </c>
      <c r="F1743" s="10">
        <f t="shared" si="3"/>
        <v>45444</v>
      </c>
      <c r="G1743" s="11"/>
    </row>
    <row r="1744">
      <c r="A1744" s="5">
        <f>IFERROR(__xludf.DUMMYFUNCTION("""COMPUTED_VALUE"""),4103.0)</f>
        <v>4103</v>
      </c>
      <c r="B1744" s="9">
        <f>IFERROR(__xludf.DUMMYFUNCTION("""COMPUTED_VALUE"""),45455.385034722225)</f>
        <v>45455.38503</v>
      </c>
      <c r="C1744" s="5" t="str">
        <f>IFERROR(__xludf.DUMMYFUNCTION("""COMPUTED_VALUE"""),"purchase")</f>
        <v>purchase</v>
      </c>
      <c r="D1744" s="10">
        <f t="shared" si="1"/>
        <v>45455</v>
      </c>
      <c r="E1744" s="10">
        <f t="shared" si="2"/>
        <v>45453</v>
      </c>
      <c r="F1744" s="10">
        <f t="shared" si="3"/>
        <v>45444</v>
      </c>
      <c r="G1744" s="11"/>
    </row>
    <row r="1745">
      <c r="A1745" s="5">
        <f>IFERROR(__xludf.DUMMYFUNCTION("""COMPUTED_VALUE"""),5966.0)</f>
        <v>5966</v>
      </c>
      <c r="B1745" s="9">
        <f>IFERROR(__xludf.DUMMYFUNCTION("""COMPUTED_VALUE"""),45455.410844907405)</f>
        <v>45455.41084</v>
      </c>
      <c r="C1745" s="5" t="str">
        <f>IFERROR(__xludf.DUMMYFUNCTION("""COMPUTED_VALUE"""),"purchase")</f>
        <v>purchase</v>
      </c>
      <c r="D1745" s="10">
        <f t="shared" si="1"/>
        <v>45455</v>
      </c>
      <c r="E1745" s="10">
        <f t="shared" si="2"/>
        <v>45453</v>
      </c>
      <c r="F1745" s="10">
        <f t="shared" si="3"/>
        <v>45444</v>
      </c>
      <c r="G1745" s="11"/>
    </row>
    <row r="1746">
      <c r="A1746" s="5">
        <f>IFERROR(__xludf.DUMMYFUNCTION("""COMPUTED_VALUE"""),6423.0)</f>
        <v>6423</v>
      </c>
      <c r="B1746" s="9">
        <f>IFERROR(__xludf.DUMMYFUNCTION("""COMPUTED_VALUE"""),45455.456354166665)</f>
        <v>45455.45635</v>
      </c>
      <c r="C1746" s="5" t="str">
        <f>IFERROR(__xludf.DUMMYFUNCTION("""COMPUTED_VALUE"""),"purchase")</f>
        <v>purchase</v>
      </c>
      <c r="D1746" s="10">
        <f t="shared" si="1"/>
        <v>45455</v>
      </c>
      <c r="E1746" s="10">
        <f t="shared" si="2"/>
        <v>45453</v>
      </c>
      <c r="F1746" s="10">
        <f t="shared" si="3"/>
        <v>45444</v>
      </c>
      <c r="G1746" s="11"/>
    </row>
    <row r="1747">
      <c r="A1747" s="5">
        <f>IFERROR(__xludf.DUMMYFUNCTION("""COMPUTED_VALUE"""),3045.0)</f>
        <v>3045</v>
      </c>
      <c r="B1747" s="9">
        <f>IFERROR(__xludf.DUMMYFUNCTION("""COMPUTED_VALUE"""),45455.49465277778)</f>
        <v>45455.49465</v>
      </c>
      <c r="C1747" s="5" t="str">
        <f>IFERROR(__xludf.DUMMYFUNCTION("""COMPUTED_VALUE"""),"purchase")</f>
        <v>purchase</v>
      </c>
      <c r="D1747" s="10">
        <f t="shared" si="1"/>
        <v>45455</v>
      </c>
      <c r="E1747" s="10">
        <f t="shared" si="2"/>
        <v>45453</v>
      </c>
      <c r="F1747" s="10">
        <f t="shared" si="3"/>
        <v>45444</v>
      </c>
      <c r="G1747" s="11"/>
    </row>
    <row r="1748">
      <c r="A1748" s="5">
        <f>IFERROR(__xludf.DUMMYFUNCTION("""COMPUTED_VALUE"""),5220.0)</f>
        <v>5220</v>
      </c>
      <c r="B1748" s="9">
        <f>IFERROR(__xludf.DUMMYFUNCTION("""COMPUTED_VALUE"""),45455.607777777775)</f>
        <v>45455.60778</v>
      </c>
      <c r="C1748" s="5" t="str">
        <f>IFERROR(__xludf.DUMMYFUNCTION("""COMPUTED_VALUE"""),"purchase")</f>
        <v>purchase</v>
      </c>
      <c r="D1748" s="10">
        <f t="shared" si="1"/>
        <v>45455</v>
      </c>
      <c r="E1748" s="10">
        <f t="shared" si="2"/>
        <v>45453</v>
      </c>
      <c r="F1748" s="10">
        <f t="shared" si="3"/>
        <v>45444</v>
      </c>
      <c r="G1748" s="11"/>
    </row>
    <row r="1749">
      <c r="A1749" s="5">
        <f>IFERROR(__xludf.DUMMYFUNCTION("""COMPUTED_VALUE"""),6324.0)</f>
        <v>6324</v>
      </c>
      <c r="B1749" s="9">
        <f>IFERROR(__xludf.DUMMYFUNCTION("""COMPUTED_VALUE"""),45455.68329861111)</f>
        <v>45455.6833</v>
      </c>
      <c r="C1749" s="5" t="str">
        <f>IFERROR(__xludf.DUMMYFUNCTION("""COMPUTED_VALUE"""),"purchase")</f>
        <v>purchase</v>
      </c>
      <c r="D1749" s="10">
        <f t="shared" si="1"/>
        <v>45455</v>
      </c>
      <c r="E1749" s="10">
        <f t="shared" si="2"/>
        <v>45453</v>
      </c>
      <c r="F1749" s="10">
        <f t="shared" si="3"/>
        <v>45444</v>
      </c>
      <c r="G1749" s="11"/>
    </row>
    <row r="1750">
      <c r="A1750" s="5">
        <f>IFERROR(__xludf.DUMMYFUNCTION("""COMPUTED_VALUE"""),6982.0)</f>
        <v>6982</v>
      </c>
      <c r="B1750" s="9">
        <f>IFERROR(__xludf.DUMMYFUNCTION("""COMPUTED_VALUE"""),45455.742164351854)</f>
        <v>45455.74216</v>
      </c>
      <c r="C1750" s="5" t="str">
        <f>IFERROR(__xludf.DUMMYFUNCTION("""COMPUTED_VALUE"""),"purchase")</f>
        <v>purchase</v>
      </c>
      <c r="D1750" s="10">
        <f t="shared" si="1"/>
        <v>45455</v>
      </c>
      <c r="E1750" s="10">
        <f t="shared" si="2"/>
        <v>45453</v>
      </c>
      <c r="F1750" s="10">
        <f t="shared" si="3"/>
        <v>45444</v>
      </c>
      <c r="G1750" s="11"/>
    </row>
    <row r="1751">
      <c r="A1751" s="5">
        <f>IFERROR(__xludf.DUMMYFUNCTION("""COMPUTED_VALUE"""),1011.0)</f>
        <v>1011</v>
      </c>
      <c r="B1751" s="9">
        <f>IFERROR(__xludf.DUMMYFUNCTION("""COMPUTED_VALUE"""),45455.78456018519)</f>
        <v>45455.78456</v>
      </c>
      <c r="C1751" s="5" t="str">
        <f>IFERROR(__xludf.DUMMYFUNCTION("""COMPUTED_VALUE"""),"purchase")</f>
        <v>purchase</v>
      </c>
      <c r="D1751" s="10">
        <f t="shared" si="1"/>
        <v>45455</v>
      </c>
      <c r="E1751" s="10">
        <f t="shared" si="2"/>
        <v>45453</v>
      </c>
      <c r="F1751" s="10">
        <f t="shared" si="3"/>
        <v>45444</v>
      </c>
      <c r="G1751" s="11"/>
    </row>
    <row r="1752">
      <c r="A1752" s="5">
        <f>IFERROR(__xludf.DUMMYFUNCTION("""COMPUTED_VALUE"""),4297.0)</f>
        <v>4297</v>
      </c>
      <c r="B1752" s="9">
        <f>IFERROR(__xludf.DUMMYFUNCTION("""COMPUTED_VALUE"""),45455.978321759256)</f>
        <v>45455.97832</v>
      </c>
      <c r="C1752" s="5" t="str">
        <f>IFERROR(__xludf.DUMMYFUNCTION("""COMPUTED_VALUE"""),"purchase")</f>
        <v>purchase</v>
      </c>
      <c r="D1752" s="10">
        <f t="shared" si="1"/>
        <v>45455</v>
      </c>
      <c r="E1752" s="10">
        <f t="shared" si="2"/>
        <v>45453</v>
      </c>
      <c r="F1752" s="10">
        <f t="shared" si="3"/>
        <v>45444</v>
      </c>
      <c r="G1752" s="11"/>
    </row>
    <row r="1753">
      <c r="A1753" s="5">
        <f>IFERROR(__xludf.DUMMYFUNCTION("""COMPUTED_VALUE"""),1512.0)</f>
        <v>1512</v>
      </c>
      <c r="B1753" s="9">
        <f>IFERROR(__xludf.DUMMYFUNCTION("""COMPUTED_VALUE"""),45456.17833333334)</f>
        <v>45456.17833</v>
      </c>
      <c r="C1753" s="5" t="str">
        <f>IFERROR(__xludf.DUMMYFUNCTION("""COMPUTED_VALUE"""),"purchase")</f>
        <v>purchase</v>
      </c>
      <c r="D1753" s="10">
        <f t="shared" si="1"/>
        <v>45456</v>
      </c>
      <c r="E1753" s="10">
        <f t="shared" si="2"/>
        <v>45453</v>
      </c>
      <c r="F1753" s="10">
        <f t="shared" si="3"/>
        <v>45444</v>
      </c>
      <c r="G1753" s="11"/>
    </row>
    <row r="1754">
      <c r="A1754" s="5">
        <f>IFERROR(__xludf.DUMMYFUNCTION("""COMPUTED_VALUE"""),7652.0)</f>
        <v>7652</v>
      </c>
      <c r="B1754" s="9">
        <f>IFERROR(__xludf.DUMMYFUNCTION("""COMPUTED_VALUE"""),45456.20516203704)</f>
        <v>45456.20516</v>
      </c>
      <c r="C1754" s="5" t="str">
        <f>IFERROR(__xludf.DUMMYFUNCTION("""COMPUTED_VALUE"""),"purchase")</f>
        <v>purchase</v>
      </c>
      <c r="D1754" s="10">
        <f t="shared" si="1"/>
        <v>45456</v>
      </c>
      <c r="E1754" s="10">
        <f t="shared" si="2"/>
        <v>45453</v>
      </c>
      <c r="F1754" s="10">
        <f t="shared" si="3"/>
        <v>45444</v>
      </c>
      <c r="G1754" s="11"/>
    </row>
    <row r="1755">
      <c r="A1755" s="5">
        <f>IFERROR(__xludf.DUMMYFUNCTION("""COMPUTED_VALUE"""),562.0)</f>
        <v>562</v>
      </c>
      <c r="B1755" s="9">
        <f>IFERROR(__xludf.DUMMYFUNCTION("""COMPUTED_VALUE"""),45456.27689814815)</f>
        <v>45456.2769</v>
      </c>
      <c r="C1755" s="5" t="str">
        <f>IFERROR(__xludf.DUMMYFUNCTION("""COMPUTED_VALUE"""),"purchase")</f>
        <v>purchase</v>
      </c>
      <c r="D1755" s="10">
        <f t="shared" si="1"/>
        <v>45456</v>
      </c>
      <c r="E1755" s="10">
        <f t="shared" si="2"/>
        <v>45453</v>
      </c>
      <c r="F1755" s="10">
        <f t="shared" si="3"/>
        <v>45444</v>
      </c>
      <c r="G1755" s="11"/>
    </row>
    <row r="1756">
      <c r="A1756" s="5">
        <f>IFERROR(__xludf.DUMMYFUNCTION("""COMPUTED_VALUE"""),4443.0)</f>
        <v>4443</v>
      </c>
      <c r="B1756" s="9">
        <f>IFERROR(__xludf.DUMMYFUNCTION("""COMPUTED_VALUE"""),45456.473344907405)</f>
        <v>45456.47334</v>
      </c>
      <c r="C1756" s="5" t="str">
        <f>IFERROR(__xludf.DUMMYFUNCTION("""COMPUTED_VALUE"""),"purchase")</f>
        <v>purchase</v>
      </c>
      <c r="D1756" s="10">
        <f t="shared" si="1"/>
        <v>45456</v>
      </c>
      <c r="E1756" s="10">
        <f t="shared" si="2"/>
        <v>45453</v>
      </c>
      <c r="F1756" s="10">
        <f t="shared" si="3"/>
        <v>45444</v>
      </c>
      <c r="G1756" s="11"/>
    </row>
    <row r="1757">
      <c r="A1757" s="5">
        <f>IFERROR(__xludf.DUMMYFUNCTION("""COMPUTED_VALUE"""),2179.0)</f>
        <v>2179</v>
      </c>
      <c r="B1757" s="9">
        <f>IFERROR(__xludf.DUMMYFUNCTION("""COMPUTED_VALUE"""),45456.58136574074)</f>
        <v>45456.58137</v>
      </c>
      <c r="C1757" s="5" t="str">
        <f>IFERROR(__xludf.DUMMYFUNCTION("""COMPUTED_VALUE"""),"purchase")</f>
        <v>purchase</v>
      </c>
      <c r="D1757" s="10">
        <f t="shared" si="1"/>
        <v>45456</v>
      </c>
      <c r="E1757" s="10">
        <f t="shared" si="2"/>
        <v>45453</v>
      </c>
      <c r="F1757" s="10">
        <f t="shared" si="3"/>
        <v>45444</v>
      </c>
      <c r="G1757" s="11"/>
    </row>
    <row r="1758">
      <c r="A1758" s="5">
        <f>IFERROR(__xludf.DUMMYFUNCTION("""COMPUTED_VALUE"""),2836.0)</f>
        <v>2836</v>
      </c>
      <c r="B1758" s="9">
        <f>IFERROR(__xludf.DUMMYFUNCTION("""COMPUTED_VALUE"""),45456.6509375)</f>
        <v>45456.65094</v>
      </c>
      <c r="C1758" s="5" t="str">
        <f>IFERROR(__xludf.DUMMYFUNCTION("""COMPUTED_VALUE"""),"purchase")</f>
        <v>purchase</v>
      </c>
      <c r="D1758" s="10">
        <f t="shared" si="1"/>
        <v>45456</v>
      </c>
      <c r="E1758" s="10">
        <f t="shared" si="2"/>
        <v>45453</v>
      </c>
      <c r="F1758" s="10">
        <f t="shared" si="3"/>
        <v>45444</v>
      </c>
      <c r="G1758" s="11"/>
    </row>
    <row r="1759">
      <c r="A1759" s="5">
        <f>IFERROR(__xludf.DUMMYFUNCTION("""COMPUTED_VALUE"""),5365.0)</f>
        <v>5365</v>
      </c>
      <c r="B1759" s="9">
        <f>IFERROR(__xludf.DUMMYFUNCTION("""COMPUTED_VALUE"""),45456.78623842593)</f>
        <v>45456.78624</v>
      </c>
      <c r="C1759" s="5" t="str">
        <f>IFERROR(__xludf.DUMMYFUNCTION("""COMPUTED_VALUE"""),"purchase")</f>
        <v>purchase</v>
      </c>
      <c r="D1759" s="10">
        <f t="shared" si="1"/>
        <v>45456</v>
      </c>
      <c r="E1759" s="10">
        <f t="shared" si="2"/>
        <v>45453</v>
      </c>
      <c r="F1759" s="10">
        <f t="shared" si="3"/>
        <v>45444</v>
      </c>
      <c r="G1759" s="11"/>
    </row>
    <row r="1760">
      <c r="A1760" s="5">
        <f>IFERROR(__xludf.DUMMYFUNCTION("""COMPUTED_VALUE"""),2284.0)</f>
        <v>2284</v>
      </c>
      <c r="B1760" s="9">
        <f>IFERROR(__xludf.DUMMYFUNCTION("""COMPUTED_VALUE"""),45457.03712962963)</f>
        <v>45457.03713</v>
      </c>
      <c r="C1760" s="5" t="str">
        <f>IFERROR(__xludf.DUMMYFUNCTION("""COMPUTED_VALUE"""),"purchase")</f>
        <v>purchase</v>
      </c>
      <c r="D1760" s="10">
        <f t="shared" si="1"/>
        <v>45457</v>
      </c>
      <c r="E1760" s="10">
        <f t="shared" si="2"/>
        <v>45453</v>
      </c>
      <c r="F1760" s="10">
        <f t="shared" si="3"/>
        <v>45444</v>
      </c>
      <c r="G1760" s="11"/>
    </row>
    <row r="1761">
      <c r="A1761" s="5">
        <f>IFERROR(__xludf.DUMMYFUNCTION("""COMPUTED_VALUE"""),3857.0)</f>
        <v>3857</v>
      </c>
      <c r="B1761" s="9">
        <f>IFERROR(__xludf.DUMMYFUNCTION("""COMPUTED_VALUE"""),45457.04782407408)</f>
        <v>45457.04782</v>
      </c>
      <c r="C1761" s="5" t="str">
        <f>IFERROR(__xludf.DUMMYFUNCTION("""COMPUTED_VALUE"""),"purchase")</f>
        <v>purchase</v>
      </c>
      <c r="D1761" s="10">
        <f t="shared" si="1"/>
        <v>45457</v>
      </c>
      <c r="E1761" s="10">
        <f t="shared" si="2"/>
        <v>45453</v>
      </c>
      <c r="F1761" s="10">
        <f t="shared" si="3"/>
        <v>45444</v>
      </c>
      <c r="G1761" s="11"/>
    </row>
    <row r="1762">
      <c r="A1762" s="5">
        <f>IFERROR(__xludf.DUMMYFUNCTION("""COMPUTED_VALUE"""),4505.0)</f>
        <v>4505</v>
      </c>
      <c r="B1762" s="9">
        <f>IFERROR(__xludf.DUMMYFUNCTION("""COMPUTED_VALUE"""),45457.103530092594)</f>
        <v>45457.10353</v>
      </c>
      <c r="C1762" s="5" t="str">
        <f>IFERROR(__xludf.DUMMYFUNCTION("""COMPUTED_VALUE"""),"purchase")</f>
        <v>purchase</v>
      </c>
      <c r="D1762" s="10">
        <f t="shared" si="1"/>
        <v>45457</v>
      </c>
      <c r="E1762" s="10">
        <f t="shared" si="2"/>
        <v>45453</v>
      </c>
      <c r="F1762" s="10">
        <f t="shared" si="3"/>
        <v>45444</v>
      </c>
      <c r="G1762" s="11"/>
    </row>
    <row r="1763">
      <c r="A1763" s="5">
        <f>IFERROR(__xludf.DUMMYFUNCTION("""COMPUTED_VALUE"""),744.0)</f>
        <v>744</v>
      </c>
      <c r="B1763" s="9">
        <f>IFERROR(__xludf.DUMMYFUNCTION("""COMPUTED_VALUE"""),45457.13340277778)</f>
        <v>45457.1334</v>
      </c>
      <c r="C1763" s="5" t="str">
        <f>IFERROR(__xludf.DUMMYFUNCTION("""COMPUTED_VALUE"""),"purchase")</f>
        <v>purchase</v>
      </c>
      <c r="D1763" s="10">
        <f t="shared" si="1"/>
        <v>45457</v>
      </c>
      <c r="E1763" s="10">
        <f t="shared" si="2"/>
        <v>45453</v>
      </c>
      <c r="F1763" s="10">
        <f t="shared" si="3"/>
        <v>45444</v>
      </c>
      <c r="G1763" s="11"/>
    </row>
    <row r="1764">
      <c r="A1764" s="5">
        <f>IFERROR(__xludf.DUMMYFUNCTION("""COMPUTED_VALUE"""),94.0)</f>
        <v>94</v>
      </c>
      <c r="B1764" s="9">
        <f>IFERROR(__xludf.DUMMYFUNCTION("""COMPUTED_VALUE"""),45457.175891203704)</f>
        <v>45457.17589</v>
      </c>
      <c r="C1764" s="5" t="str">
        <f>IFERROR(__xludf.DUMMYFUNCTION("""COMPUTED_VALUE"""),"purchase")</f>
        <v>purchase</v>
      </c>
      <c r="D1764" s="10">
        <f t="shared" si="1"/>
        <v>45457</v>
      </c>
      <c r="E1764" s="10">
        <f t="shared" si="2"/>
        <v>45453</v>
      </c>
      <c r="F1764" s="10">
        <f t="shared" si="3"/>
        <v>45444</v>
      </c>
      <c r="G1764" s="11"/>
    </row>
    <row r="1765">
      <c r="A1765" s="5">
        <f>IFERROR(__xludf.DUMMYFUNCTION("""COMPUTED_VALUE"""),3985.0)</f>
        <v>3985</v>
      </c>
      <c r="B1765" s="9">
        <f>IFERROR(__xludf.DUMMYFUNCTION("""COMPUTED_VALUE"""),45457.250868055555)</f>
        <v>45457.25087</v>
      </c>
      <c r="C1765" s="5" t="str">
        <f>IFERROR(__xludf.DUMMYFUNCTION("""COMPUTED_VALUE"""),"purchase")</f>
        <v>purchase</v>
      </c>
      <c r="D1765" s="10">
        <f t="shared" si="1"/>
        <v>45457</v>
      </c>
      <c r="E1765" s="10">
        <f t="shared" si="2"/>
        <v>45453</v>
      </c>
      <c r="F1765" s="10">
        <f t="shared" si="3"/>
        <v>45444</v>
      </c>
      <c r="G1765" s="11"/>
    </row>
    <row r="1766">
      <c r="A1766" s="5">
        <f>IFERROR(__xludf.DUMMYFUNCTION("""COMPUTED_VALUE"""),7879.0)</f>
        <v>7879</v>
      </c>
      <c r="B1766" s="9">
        <f>IFERROR(__xludf.DUMMYFUNCTION("""COMPUTED_VALUE"""),45457.27201388889)</f>
        <v>45457.27201</v>
      </c>
      <c r="C1766" s="5" t="str">
        <f>IFERROR(__xludf.DUMMYFUNCTION("""COMPUTED_VALUE"""),"purchase")</f>
        <v>purchase</v>
      </c>
      <c r="D1766" s="10">
        <f t="shared" si="1"/>
        <v>45457</v>
      </c>
      <c r="E1766" s="10">
        <f t="shared" si="2"/>
        <v>45453</v>
      </c>
      <c r="F1766" s="10">
        <f t="shared" si="3"/>
        <v>45444</v>
      </c>
      <c r="G1766" s="11"/>
    </row>
    <row r="1767">
      <c r="A1767" s="5">
        <f>IFERROR(__xludf.DUMMYFUNCTION("""COMPUTED_VALUE"""),2541.0)</f>
        <v>2541</v>
      </c>
      <c r="B1767" s="9">
        <f>IFERROR(__xludf.DUMMYFUNCTION("""COMPUTED_VALUE"""),45457.40143518519)</f>
        <v>45457.40144</v>
      </c>
      <c r="C1767" s="5" t="str">
        <f>IFERROR(__xludf.DUMMYFUNCTION("""COMPUTED_VALUE"""),"purchase")</f>
        <v>purchase</v>
      </c>
      <c r="D1767" s="10">
        <f t="shared" si="1"/>
        <v>45457</v>
      </c>
      <c r="E1767" s="10">
        <f t="shared" si="2"/>
        <v>45453</v>
      </c>
      <c r="F1767" s="10">
        <f t="shared" si="3"/>
        <v>45444</v>
      </c>
      <c r="G1767" s="11"/>
    </row>
    <row r="1768">
      <c r="A1768" s="5">
        <f>IFERROR(__xludf.DUMMYFUNCTION("""COMPUTED_VALUE"""),6051.0)</f>
        <v>6051</v>
      </c>
      <c r="B1768" s="9">
        <f>IFERROR(__xludf.DUMMYFUNCTION("""COMPUTED_VALUE"""),45457.461018518516)</f>
        <v>45457.46102</v>
      </c>
      <c r="C1768" s="5" t="str">
        <f>IFERROR(__xludf.DUMMYFUNCTION("""COMPUTED_VALUE"""),"purchase")</f>
        <v>purchase</v>
      </c>
      <c r="D1768" s="10">
        <f t="shared" si="1"/>
        <v>45457</v>
      </c>
      <c r="E1768" s="10">
        <f t="shared" si="2"/>
        <v>45453</v>
      </c>
      <c r="F1768" s="10">
        <f t="shared" si="3"/>
        <v>45444</v>
      </c>
      <c r="G1768" s="11"/>
    </row>
    <row r="1769">
      <c r="A1769" s="5">
        <f>IFERROR(__xludf.DUMMYFUNCTION("""COMPUTED_VALUE"""),1104.0)</f>
        <v>1104</v>
      </c>
      <c r="B1769" s="9">
        <f>IFERROR(__xludf.DUMMYFUNCTION("""COMPUTED_VALUE"""),45457.485868055555)</f>
        <v>45457.48587</v>
      </c>
      <c r="C1769" s="5" t="str">
        <f>IFERROR(__xludf.DUMMYFUNCTION("""COMPUTED_VALUE"""),"purchase")</f>
        <v>purchase</v>
      </c>
      <c r="D1769" s="10">
        <f t="shared" si="1"/>
        <v>45457</v>
      </c>
      <c r="E1769" s="10">
        <f t="shared" si="2"/>
        <v>45453</v>
      </c>
      <c r="F1769" s="10">
        <f t="shared" si="3"/>
        <v>45444</v>
      </c>
      <c r="G1769" s="11"/>
    </row>
    <row r="1770">
      <c r="A1770" s="5">
        <f>IFERROR(__xludf.DUMMYFUNCTION("""COMPUTED_VALUE"""),168.0)</f>
        <v>168</v>
      </c>
      <c r="B1770" s="9">
        <f>IFERROR(__xludf.DUMMYFUNCTION("""COMPUTED_VALUE"""),45457.50303240741)</f>
        <v>45457.50303</v>
      </c>
      <c r="C1770" s="5" t="str">
        <f>IFERROR(__xludf.DUMMYFUNCTION("""COMPUTED_VALUE"""),"purchase")</f>
        <v>purchase</v>
      </c>
      <c r="D1770" s="10">
        <f t="shared" si="1"/>
        <v>45457</v>
      </c>
      <c r="E1770" s="10">
        <f t="shared" si="2"/>
        <v>45453</v>
      </c>
      <c r="F1770" s="10">
        <f t="shared" si="3"/>
        <v>45444</v>
      </c>
      <c r="G1770" s="11"/>
    </row>
    <row r="1771">
      <c r="A1771" s="5">
        <f>IFERROR(__xludf.DUMMYFUNCTION("""COMPUTED_VALUE"""),7568.0)</f>
        <v>7568</v>
      </c>
      <c r="B1771" s="9">
        <f>IFERROR(__xludf.DUMMYFUNCTION("""COMPUTED_VALUE"""),45457.515706018516)</f>
        <v>45457.51571</v>
      </c>
      <c r="C1771" s="5" t="str">
        <f>IFERROR(__xludf.DUMMYFUNCTION("""COMPUTED_VALUE"""),"purchase")</f>
        <v>purchase</v>
      </c>
      <c r="D1771" s="10">
        <f t="shared" si="1"/>
        <v>45457</v>
      </c>
      <c r="E1771" s="10">
        <f t="shared" si="2"/>
        <v>45453</v>
      </c>
      <c r="F1771" s="10">
        <f t="shared" si="3"/>
        <v>45444</v>
      </c>
      <c r="G1771" s="11"/>
    </row>
    <row r="1772">
      <c r="A1772" s="5">
        <f>IFERROR(__xludf.DUMMYFUNCTION("""COMPUTED_VALUE"""),4770.0)</f>
        <v>4770</v>
      </c>
      <c r="B1772" s="9">
        <f>IFERROR(__xludf.DUMMYFUNCTION("""COMPUTED_VALUE"""),45457.70203703704)</f>
        <v>45457.70204</v>
      </c>
      <c r="C1772" s="5" t="str">
        <f>IFERROR(__xludf.DUMMYFUNCTION("""COMPUTED_VALUE"""),"purchase")</f>
        <v>purchase</v>
      </c>
      <c r="D1772" s="10">
        <f t="shared" si="1"/>
        <v>45457</v>
      </c>
      <c r="E1772" s="10">
        <f t="shared" si="2"/>
        <v>45453</v>
      </c>
      <c r="F1772" s="10">
        <f t="shared" si="3"/>
        <v>45444</v>
      </c>
      <c r="G1772" s="11"/>
    </row>
    <row r="1773">
      <c r="A1773" s="5">
        <f>IFERROR(__xludf.DUMMYFUNCTION("""COMPUTED_VALUE"""),6437.0)</f>
        <v>6437</v>
      </c>
      <c r="B1773" s="9">
        <f>IFERROR(__xludf.DUMMYFUNCTION("""COMPUTED_VALUE"""),45457.99081018518)</f>
        <v>45457.99081</v>
      </c>
      <c r="C1773" s="5" t="str">
        <f>IFERROR(__xludf.DUMMYFUNCTION("""COMPUTED_VALUE"""),"purchase")</f>
        <v>purchase</v>
      </c>
      <c r="D1773" s="10">
        <f t="shared" si="1"/>
        <v>45457</v>
      </c>
      <c r="E1773" s="10">
        <f t="shared" si="2"/>
        <v>45453</v>
      </c>
      <c r="F1773" s="10">
        <f t="shared" si="3"/>
        <v>45444</v>
      </c>
      <c r="G1773" s="11"/>
    </row>
    <row r="1774">
      <c r="A1774" s="5">
        <f>IFERROR(__xludf.DUMMYFUNCTION("""COMPUTED_VALUE"""),5211.0)</f>
        <v>5211</v>
      </c>
      <c r="B1774" s="9">
        <f>IFERROR(__xludf.DUMMYFUNCTION("""COMPUTED_VALUE"""),45458.232569444444)</f>
        <v>45458.23257</v>
      </c>
      <c r="C1774" s="5" t="str">
        <f>IFERROR(__xludf.DUMMYFUNCTION("""COMPUTED_VALUE"""),"purchase")</f>
        <v>purchase</v>
      </c>
      <c r="D1774" s="10">
        <f t="shared" si="1"/>
        <v>45458</v>
      </c>
      <c r="E1774" s="10">
        <f t="shared" si="2"/>
        <v>45453</v>
      </c>
      <c r="F1774" s="10">
        <f t="shared" si="3"/>
        <v>45444</v>
      </c>
      <c r="G1774" s="11"/>
    </row>
    <row r="1775">
      <c r="A1775" s="5">
        <f>IFERROR(__xludf.DUMMYFUNCTION("""COMPUTED_VALUE"""),7733.0)</f>
        <v>7733</v>
      </c>
      <c r="B1775" s="9">
        <f>IFERROR(__xludf.DUMMYFUNCTION("""COMPUTED_VALUE"""),45458.24116898148)</f>
        <v>45458.24117</v>
      </c>
      <c r="C1775" s="5" t="str">
        <f>IFERROR(__xludf.DUMMYFUNCTION("""COMPUTED_VALUE"""),"purchase")</f>
        <v>purchase</v>
      </c>
      <c r="D1775" s="10">
        <f t="shared" si="1"/>
        <v>45458</v>
      </c>
      <c r="E1775" s="10">
        <f t="shared" si="2"/>
        <v>45453</v>
      </c>
      <c r="F1775" s="10">
        <f t="shared" si="3"/>
        <v>45444</v>
      </c>
      <c r="G1775" s="11"/>
    </row>
    <row r="1776">
      <c r="A1776" s="5">
        <f>IFERROR(__xludf.DUMMYFUNCTION("""COMPUTED_VALUE"""),5834.0)</f>
        <v>5834</v>
      </c>
      <c r="B1776" s="9">
        <f>IFERROR(__xludf.DUMMYFUNCTION("""COMPUTED_VALUE"""),45458.346921296295)</f>
        <v>45458.34692</v>
      </c>
      <c r="C1776" s="5" t="str">
        <f>IFERROR(__xludf.DUMMYFUNCTION("""COMPUTED_VALUE"""),"purchase")</f>
        <v>purchase</v>
      </c>
      <c r="D1776" s="10">
        <f t="shared" si="1"/>
        <v>45458</v>
      </c>
      <c r="E1776" s="10">
        <f t="shared" si="2"/>
        <v>45453</v>
      </c>
      <c r="F1776" s="10">
        <f t="shared" si="3"/>
        <v>45444</v>
      </c>
      <c r="G1776" s="11"/>
    </row>
    <row r="1777">
      <c r="A1777" s="5">
        <f>IFERROR(__xludf.DUMMYFUNCTION("""COMPUTED_VALUE"""),6214.0)</f>
        <v>6214</v>
      </c>
      <c r="B1777" s="9">
        <f>IFERROR(__xludf.DUMMYFUNCTION("""COMPUTED_VALUE"""),45458.376435185186)</f>
        <v>45458.37644</v>
      </c>
      <c r="C1777" s="5" t="str">
        <f>IFERROR(__xludf.DUMMYFUNCTION("""COMPUTED_VALUE"""),"purchase")</f>
        <v>purchase</v>
      </c>
      <c r="D1777" s="10">
        <f t="shared" si="1"/>
        <v>45458</v>
      </c>
      <c r="E1777" s="10">
        <f t="shared" si="2"/>
        <v>45453</v>
      </c>
      <c r="F1777" s="10">
        <f t="shared" si="3"/>
        <v>45444</v>
      </c>
      <c r="G1777" s="11"/>
    </row>
    <row r="1778">
      <c r="A1778" s="5">
        <f>IFERROR(__xludf.DUMMYFUNCTION("""COMPUTED_VALUE"""),466.0)</f>
        <v>466</v>
      </c>
      <c r="B1778" s="9">
        <f>IFERROR(__xludf.DUMMYFUNCTION("""COMPUTED_VALUE"""),45458.38318287037)</f>
        <v>45458.38318</v>
      </c>
      <c r="C1778" s="5" t="str">
        <f>IFERROR(__xludf.DUMMYFUNCTION("""COMPUTED_VALUE"""),"purchase")</f>
        <v>purchase</v>
      </c>
      <c r="D1778" s="10">
        <f t="shared" si="1"/>
        <v>45458</v>
      </c>
      <c r="E1778" s="10">
        <f t="shared" si="2"/>
        <v>45453</v>
      </c>
      <c r="F1778" s="10">
        <f t="shared" si="3"/>
        <v>45444</v>
      </c>
      <c r="G1778" s="11"/>
    </row>
    <row r="1779">
      <c r="A1779" s="5">
        <f>IFERROR(__xludf.DUMMYFUNCTION("""COMPUTED_VALUE"""),2496.0)</f>
        <v>2496</v>
      </c>
      <c r="B1779" s="9">
        <f>IFERROR(__xludf.DUMMYFUNCTION("""COMPUTED_VALUE"""),45458.483668981484)</f>
        <v>45458.48367</v>
      </c>
      <c r="C1779" s="5" t="str">
        <f>IFERROR(__xludf.DUMMYFUNCTION("""COMPUTED_VALUE"""),"purchase")</f>
        <v>purchase</v>
      </c>
      <c r="D1779" s="10">
        <f t="shared" si="1"/>
        <v>45458</v>
      </c>
      <c r="E1779" s="10">
        <f t="shared" si="2"/>
        <v>45453</v>
      </c>
      <c r="F1779" s="10">
        <f t="shared" si="3"/>
        <v>45444</v>
      </c>
      <c r="G1779" s="11"/>
    </row>
    <row r="1780">
      <c r="A1780" s="5">
        <f>IFERROR(__xludf.DUMMYFUNCTION("""COMPUTED_VALUE"""),4669.0)</f>
        <v>4669</v>
      </c>
      <c r="B1780" s="9">
        <f>IFERROR(__xludf.DUMMYFUNCTION("""COMPUTED_VALUE"""),45458.89728009259)</f>
        <v>45458.89728</v>
      </c>
      <c r="C1780" s="5" t="str">
        <f>IFERROR(__xludf.DUMMYFUNCTION("""COMPUTED_VALUE"""),"purchase")</f>
        <v>purchase</v>
      </c>
      <c r="D1780" s="10">
        <f t="shared" si="1"/>
        <v>45458</v>
      </c>
      <c r="E1780" s="10">
        <f t="shared" si="2"/>
        <v>45453</v>
      </c>
      <c r="F1780" s="10">
        <f t="shared" si="3"/>
        <v>45444</v>
      </c>
      <c r="G1780" s="11"/>
    </row>
    <row r="1781">
      <c r="A1781" s="5">
        <f>IFERROR(__xludf.DUMMYFUNCTION("""COMPUTED_VALUE"""),6271.0)</f>
        <v>6271</v>
      </c>
      <c r="B1781" s="9">
        <f>IFERROR(__xludf.DUMMYFUNCTION("""COMPUTED_VALUE"""),45458.914814814816)</f>
        <v>45458.91481</v>
      </c>
      <c r="C1781" s="5" t="str">
        <f>IFERROR(__xludf.DUMMYFUNCTION("""COMPUTED_VALUE"""),"purchase")</f>
        <v>purchase</v>
      </c>
      <c r="D1781" s="10">
        <f t="shared" si="1"/>
        <v>45458</v>
      </c>
      <c r="E1781" s="10">
        <f t="shared" si="2"/>
        <v>45453</v>
      </c>
      <c r="F1781" s="10">
        <f t="shared" si="3"/>
        <v>45444</v>
      </c>
      <c r="G1781" s="11"/>
    </row>
    <row r="1782">
      <c r="A1782" s="5">
        <f>IFERROR(__xludf.DUMMYFUNCTION("""COMPUTED_VALUE"""),7531.0)</f>
        <v>7531</v>
      </c>
      <c r="B1782" s="9">
        <f>IFERROR(__xludf.DUMMYFUNCTION("""COMPUTED_VALUE"""),45458.92667824074)</f>
        <v>45458.92668</v>
      </c>
      <c r="C1782" s="5" t="str">
        <f>IFERROR(__xludf.DUMMYFUNCTION("""COMPUTED_VALUE"""),"purchase")</f>
        <v>purchase</v>
      </c>
      <c r="D1782" s="10">
        <f t="shared" si="1"/>
        <v>45458</v>
      </c>
      <c r="E1782" s="10">
        <f t="shared" si="2"/>
        <v>45453</v>
      </c>
      <c r="F1782" s="10">
        <f t="shared" si="3"/>
        <v>45444</v>
      </c>
      <c r="G1782" s="11"/>
    </row>
    <row r="1783">
      <c r="A1783" s="5">
        <f>IFERROR(__xludf.DUMMYFUNCTION("""COMPUTED_VALUE"""),3492.0)</f>
        <v>3492</v>
      </c>
      <c r="B1783" s="9">
        <f>IFERROR(__xludf.DUMMYFUNCTION("""COMPUTED_VALUE"""),45459.07318287037)</f>
        <v>45459.07318</v>
      </c>
      <c r="C1783" s="5" t="str">
        <f>IFERROR(__xludf.DUMMYFUNCTION("""COMPUTED_VALUE"""),"purchase")</f>
        <v>purchase</v>
      </c>
      <c r="D1783" s="10">
        <f t="shared" si="1"/>
        <v>45459</v>
      </c>
      <c r="E1783" s="10">
        <f t="shared" si="2"/>
        <v>45453</v>
      </c>
      <c r="F1783" s="10">
        <f t="shared" si="3"/>
        <v>45444</v>
      </c>
      <c r="G1783" s="11"/>
    </row>
    <row r="1784">
      <c r="A1784" s="5">
        <f>IFERROR(__xludf.DUMMYFUNCTION("""COMPUTED_VALUE"""),4039.0)</f>
        <v>4039</v>
      </c>
      <c r="B1784" s="9">
        <f>IFERROR(__xludf.DUMMYFUNCTION("""COMPUTED_VALUE"""),45459.07994212963)</f>
        <v>45459.07994</v>
      </c>
      <c r="C1784" s="5" t="str">
        <f>IFERROR(__xludf.DUMMYFUNCTION("""COMPUTED_VALUE"""),"purchase")</f>
        <v>purchase</v>
      </c>
      <c r="D1784" s="10">
        <f t="shared" si="1"/>
        <v>45459</v>
      </c>
      <c r="E1784" s="10">
        <f t="shared" si="2"/>
        <v>45453</v>
      </c>
      <c r="F1784" s="10">
        <f t="shared" si="3"/>
        <v>45444</v>
      </c>
      <c r="G1784" s="11"/>
    </row>
    <row r="1785">
      <c r="A1785" s="5">
        <f>IFERROR(__xludf.DUMMYFUNCTION("""COMPUTED_VALUE"""),6688.0)</f>
        <v>6688</v>
      </c>
      <c r="B1785" s="9">
        <f>IFERROR(__xludf.DUMMYFUNCTION("""COMPUTED_VALUE"""),45459.10324074074)</f>
        <v>45459.10324</v>
      </c>
      <c r="C1785" s="5" t="str">
        <f>IFERROR(__xludf.DUMMYFUNCTION("""COMPUTED_VALUE"""),"purchase")</f>
        <v>purchase</v>
      </c>
      <c r="D1785" s="10">
        <f t="shared" si="1"/>
        <v>45459</v>
      </c>
      <c r="E1785" s="10">
        <f t="shared" si="2"/>
        <v>45453</v>
      </c>
      <c r="F1785" s="10">
        <f t="shared" si="3"/>
        <v>45444</v>
      </c>
      <c r="G1785" s="11"/>
    </row>
    <row r="1786">
      <c r="A1786" s="5">
        <f>IFERROR(__xludf.DUMMYFUNCTION("""COMPUTED_VALUE"""),3899.0)</f>
        <v>3899</v>
      </c>
      <c r="B1786" s="9">
        <f>IFERROR(__xludf.DUMMYFUNCTION("""COMPUTED_VALUE"""),45459.11204861111)</f>
        <v>45459.11205</v>
      </c>
      <c r="C1786" s="5" t="str">
        <f>IFERROR(__xludf.DUMMYFUNCTION("""COMPUTED_VALUE"""),"purchase")</f>
        <v>purchase</v>
      </c>
      <c r="D1786" s="10">
        <f t="shared" si="1"/>
        <v>45459</v>
      </c>
      <c r="E1786" s="10">
        <f t="shared" si="2"/>
        <v>45453</v>
      </c>
      <c r="F1786" s="10">
        <f t="shared" si="3"/>
        <v>45444</v>
      </c>
      <c r="G1786" s="11"/>
    </row>
    <row r="1787">
      <c r="A1787" s="5">
        <f>IFERROR(__xludf.DUMMYFUNCTION("""COMPUTED_VALUE"""),5739.0)</f>
        <v>5739</v>
      </c>
      <c r="B1787" s="9">
        <f>IFERROR(__xludf.DUMMYFUNCTION("""COMPUTED_VALUE"""),45459.129965277774)</f>
        <v>45459.12997</v>
      </c>
      <c r="C1787" s="5" t="str">
        <f>IFERROR(__xludf.DUMMYFUNCTION("""COMPUTED_VALUE"""),"purchase")</f>
        <v>purchase</v>
      </c>
      <c r="D1787" s="10">
        <f t="shared" si="1"/>
        <v>45459</v>
      </c>
      <c r="E1787" s="10">
        <f t="shared" si="2"/>
        <v>45453</v>
      </c>
      <c r="F1787" s="10">
        <f t="shared" si="3"/>
        <v>45444</v>
      </c>
      <c r="G1787" s="11"/>
    </row>
    <row r="1788">
      <c r="A1788" s="5">
        <f>IFERROR(__xludf.DUMMYFUNCTION("""COMPUTED_VALUE"""),1373.0)</f>
        <v>1373</v>
      </c>
      <c r="B1788" s="9">
        <f>IFERROR(__xludf.DUMMYFUNCTION("""COMPUTED_VALUE"""),45459.17930555555)</f>
        <v>45459.17931</v>
      </c>
      <c r="C1788" s="5" t="str">
        <f>IFERROR(__xludf.DUMMYFUNCTION("""COMPUTED_VALUE"""),"purchase")</f>
        <v>purchase</v>
      </c>
      <c r="D1788" s="10">
        <f t="shared" si="1"/>
        <v>45459</v>
      </c>
      <c r="E1788" s="10">
        <f t="shared" si="2"/>
        <v>45453</v>
      </c>
      <c r="F1788" s="10">
        <f t="shared" si="3"/>
        <v>45444</v>
      </c>
      <c r="G1788" s="11"/>
    </row>
    <row r="1789">
      <c r="A1789" s="5">
        <f>IFERROR(__xludf.DUMMYFUNCTION("""COMPUTED_VALUE"""),6422.0)</f>
        <v>6422</v>
      </c>
      <c r="B1789" s="9">
        <f>IFERROR(__xludf.DUMMYFUNCTION("""COMPUTED_VALUE"""),45459.37600694445)</f>
        <v>45459.37601</v>
      </c>
      <c r="C1789" s="5" t="str">
        <f>IFERROR(__xludf.DUMMYFUNCTION("""COMPUTED_VALUE"""),"purchase")</f>
        <v>purchase</v>
      </c>
      <c r="D1789" s="10">
        <f t="shared" si="1"/>
        <v>45459</v>
      </c>
      <c r="E1789" s="10">
        <f t="shared" si="2"/>
        <v>45453</v>
      </c>
      <c r="F1789" s="10">
        <f t="shared" si="3"/>
        <v>45444</v>
      </c>
      <c r="G1789" s="11"/>
    </row>
    <row r="1790">
      <c r="A1790" s="5">
        <f>IFERROR(__xludf.DUMMYFUNCTION("""COMPUTED_VALUE"""),1499.0)</f>
        <v>1499</v>
      </c>
      <c r="B1790" s="9">
        <f>IFERROR(__xludf.DUMMYFUNCTION("""COMPUTED_VALUE"""),45459.4228125)</f>
        <v>45459.42281</v>
      </c>
      <c r="C1790" s="5" t="str">
        <f>IFERROR(__xludf.DUMMYFUNCTION("""COMPUTED_VALUE"""),"purchase")</f>
        <v>purchase</v>
      </c>
      <c r="D1790" s="10">
        <f t="shared" si="1"/>
        <v>45459</v>
      </c>
      <c r="E1790" s="10">
        <f t="shared" si="2"/>
        <v>45453</v>
      </c>
      <c r="F1790" s="10">
        <f t="shared" si="3"/>
        <v>45444</v>
      </c>
      <c r="G1790" s="11"/>
    </row>
    <row r="1791">
      <c r="A1791" s="5">
        <f>IFERROR(__xludf.DUMMYFUNCTION("""COMPUTED_VALUE"""),4696.0)</f>
        <v>4696</v>
      </c>
      <c r="B1791" s="9">
        <f>IFERROR(__xludf.DUMMYFUNCTION("""COMPUTED_VALUE"""),45459.45527777778)</f>
        <v>45459.45528</v>
      </c>
      <c r="C1791" s="5" t="str">
        <f>IFERROR(__xludf.DUMMYFUNCTION("""COMPUTED_VALUE"""),"purchase")</f>
        <v>purchase</v>
      </c>
      <c r="D1791" s="10">
        <f t="shared" si="1"/>
        <v>45459</v>
      </c>
      <c r="E1791" s="10">
        <f t="shared" si="2"/>
        <v>45453</v>
      </c>
      <c r="F1791" s="10">
        <f t="shared" si="3"/>
        <v>45444</v>
      </c>
      <c r="G1791" s="11"/>
    </row>
    <row r="1792">
      <c r="A1792" s="5">
        <f>IFERROR(__xludf.DUMMYFUNCTION("""COMPUTED_VALUE"""),5037.0)</f>
        <v>5037</v>
      </c>
      <c r="B1792" s="9">
        <f>IFERROR(__xludf.DUMMYFUNCTION("""COMPUTED_VALUE"""),45459.46173611111)</f>
        <v>45459.46174</v>
      </c>
      <c r="C1792" s="5" t="str">
        <f>IFERROR(__xludf.DUMMYFUNCTION("""COMPUTED_VALUE"""),"purchase")</f>
        <v>purchase</v>
      </c>
      <c r="D1792" s="10">
        <f t="shared" si="1"/>
        <v>45459</v>
      </c>
      <c r="E1792" s="10">
        <f t="shared" si="2"/>
        <v>45453</v>
      </c>
      <c r="F1792" s="10">
        <f t="shared" si="3"/>
        <v>45444</v>
      </c>
      <c r="G1792" s="11"/>
    </row>
    <row r="1793">
      <c r="A1793" s="5">
        <f>IFERROR(__xludf.DUMMYFUNCTION("""COMPUTED_VALUE"""),6140.0)</f>
        <v>6140</v>
      </c>
      <c r="B1793" s="9">
        <f>IFERROR(__xludf.DUMMYFUNCTION("""COMPUTED_VALUE"""),45459.49699074074)</f>
        <v>45459.49699</v>
      </c>
      <c r="C1793" s="5" t="str">
        <f>IFERROR(__xludf.DUMMYFUNCTION("""COMPUTED_VALUE"""),"purchase")</f>
        <v>purchase</v>
      </c>
      <c r="D1793" s="10">
        <f t="shared" si="1"/>
        <v>45459</v>
      </c>
      <c r="E1793" s="10">
        <f t="shared" si="2"/>
        <v>45453</v>
      </c>
      <c r="F1793" s="10">
        <f t="shared" si="3"/>
        <v>45444</v>
      </c>
      <c r="G1793" s="11"/>
    </row>
    <row r="1794">
      <c r="A1794" s="5">
        <f>IFERROR(__xludf.DUMMYFUNCTION("""COMPUTED_VALUE"""),5203.0)</f>
        <v>5203</v>
      </c>
      <c r="B1794" s="9">
        <f>IFERROR(__xludf.DUMMYFUNCTION("""COMPUTED_VALUE"""),45459.63017361111)</f>
        <v>45459.63017</v>
      </c>
      <c r="C1794" s="5" t="str">
        <f>IFERROR(__xludf.DUMMYFUNCTION("""COMPUTED_VALUE"""),"purchase")</f>
        <v>purchase</v>
      </c>
      <c r="D1794" s="10">
        <f t="shared" si="1"/>
        <v>45459</v>
      </c>
      <c r="E1794" s="10">
        <f t="shared" si="2"/>
        <v>45453</v>
      </c>
      <c r="F1794" s="10">
        <f t="shared" si="3"/>
        <v>45444</v>
      </c>
      <c r="G1794" s="11"/>
    </row>
    <row r="1795">
      <c r="A1795" s="5">
        <f>IFERROR(__xludf.DUMMYFUNCTION("""COMPUTED_VALUE"""),1124.0)</f>
        <v>1124</v>
      </c>
      <c r="B1795" s="9">
        <f>IFERROR(__xludf.DUMMYFUNCTION("""COMPUTED_VALUE"""),45459.87644675926)</f>
        <v>45459.87645</v>
      </c>
      <c r="C1795" s="5" t="str">
        <f>IFERROR(__xludf.DUMMYFUNCTION("""COMPUTED_VALUE"""),"purchase")</f>
        <v>purchase</v>
      </c>
      <c r="D1795" s="10">
        <f t="shared" si="1"/>
        <v>45459</v>
      </c>
      <c r="E1795" s="10">
        <f t="shared" si="2"/>
        <v>45453</v>
      </c>
      <c r="F1795" s="10">
        <f t="shared" si="3"/>
        <v>45444</v>
      </c>
      <c r="G1795" s="11"/>
    </row>
    <row r="1796">
      <c r="A1796" s="5">
        <f>IFERROR(__xludf.DUMMYFUNCTION("""COMPUTED_VALUE"""),6358.0)</f>
        <v>6358</v>
      </c>
      <c r="B1796" s="9">
        <f>IFERROR(__xludf.DUMMYFUNCTION("""COMPUTED_VALUE"""),45459.90803240741)</f>
        <v>45459.90803</v>
      </c>
      <c r="C1796" s="5" t="str">
        <f>IFERROR(__xludf.DUMMYFUNCTION("""COMPUTED_VALUE"""),"purchase")</f>
        <v>purchase</v>
      </c>
      <c r="D1796" s="10">
        <f t="shared" si="1"/>
        <v>45459</v>
      </c>
      <c r="E1796" s="10">
        <f t="shared" si="2"/>
        <v>45453</v>
      </c>
      <c r="F1796" s="10">
        <f t="shared" si="3"/>
        <v>45444</v>
      </c>
      <c r="G1796" s="11"/>
    </row>
    <row r="1797">
      <c r="A1797" s="5">
        <f>IFERROR(__xludf.DUMMYFUNCTION("""COMPUTED_VALUE"""),6886.0)</f>
        <v>6886</v>
      </c>
      <c r="B1797" s="9">
        <f>IFERROR(__xludf.DUMMYFUNCTION("""COMPUTED_VALUE"""),45459.98388888889)</f>
        <v>45459.98389</v>
      </c>
      <c r="C1797" s="5" t="str">
        <f>IFERROR(__xludf.DUMMYFUNCTION("""COMPUTED_VALUE"""),"purchase")</f>
        <v>purchase</v>
      </c>
      <c r="D1797" s="10">
        <f t="shared" si="1"/>
        <v>45459</v>
      </c>
      <c r="E1797" s="10">
        <f t="shared" si="2"/>
        <v>45453</v>
      </c>
      <c r="F1797" s="10">
        <f t="shared" si="3"/>
        <v>45444</v>
      </c>
      <c r="G1797" s="11"/>
    </row>
    <row r="1798">
      <c r="A1798" s="5">
        <f>IFERROR(__xludf.DUMMYFUNCTION("""COMPUTED_VALUE"""),5934.0)</f>
        <v>5934</v>
      </c>
      <c r="B1798" s="9">
        <f>IFERROR(__xludf.DUMMYFUNCTION("""COMPUTED_VALUE"""),45460.01128472222)</f>
        <v>45460.01128</v>
      </c>
      <c r="C1798" s="5" t="str">
        <f>IFERROR(__xludf.DUMMYFUNCTION("""COMPUTED_VALUE"""),"purchase")</f>
        <v>purchase</v>
      </c>
      <c r="D1798" s="10">
        <f t="shared" si="1"/>
        <v>45460</v>
      </c>
      <c r="E1798" s="10">
        <f t="shared" si="2"/>
        <v>45460</v>
      </c>
      <c r="F1798" s="10">
        <f t="shared" si="3"/>
        <v>45444</v>
      </c>
      <c r="G1798" s="11"/>
    </row>
    <row r="1799">
      <c r="A1799" s="5">
        <f>IFERROR(__xludf.DUMMYFUNCTION("""COMPUTED_VALUE"""),3911.0)</f>
        <v>3911</v>
      </c>
      <c r="B1799" s="9">
        <f>IFERROR(__xludf.DUMMYFUNCTION("""COMPUTED_VALUE"""),45460.08430555555)</f>
        <v>45460.08431</v>
      </c>
      <c r="C1799" s="5" t="str">
        <f>IFERROR(__xludf.DUMMYFUNCTION("""COMPUTED_VALUE"""),"purchase")</f>
        <v>purchase</v>
      </c>
      <c r="D1799" s="10">
        <f t="shared" si="1"/>
        <v>45460</v>
      </c>
      <c r="E1799" s="10">
        <f t="shared" si="2"/>
        <v>45460</v>
      </c>
      <c r="F1799" s="10">
        <f t="shared" si="3"/>
        <v>45444</v>
      </c>
      <c r="G1799" s="11"/>
    </row>
    <row r="1800">
      <c r="A1800" s="5">
        <f>IFERROR(__xludf.DUMMYFUNCTION("""COMPUTED_VALUE"""),4418.0)</f>
        <v>4418</v>
      </c>
      <c r="B1800" s="9">
        <f>IFERROR(__xludf.DUMMYFUNCTION("""COMPUTED_VALUE"""),45460.146006944444)</f>
        <v>45460.14601</v>
      </c>
      <c r="C1800" s="5" t="str">
        <f>IFERROR(__xludf.DUMMYFUNCTION("""COMPUTED_VALUE"""),"purchase")</f>
        <v>purchase</v>
      </c>
      <c r="D1800" s="10">
        <f t="shared" si="1"/>
        <v>45460</v>
      </c>
      <c r="E1800" s="10">
        <f t="shared" si="2"/>
        <v>45460</v>
      </c>
      <c r="F1800" s="10">
        <f t="shared" si="3"/>
        <v>45444</v>
      </c>
      <c r="G1800" s="11"/>
    </row>
    <row r="1801">
      <c r="A1801" s="5">
        <f>IFERROR(__xludf.DUMMYFUNCTION("""COMPUTED_VALUE"""),7883.0)</f>
        <v>7883</v>
      </c>
      <c r="B1801" s="9">
        <f>IFERROR(__xludf.DUMMYFUNCTION("""COMPUTED_VALUE"""),45460.24287037037)</f>
        <v>45460.24287</v>
      </c>
      <c r="C1801" s="5" t="str">
        <f>IFERROR(__xludf.DUMMYFUNCTION("""COMPUTED_VALUE"""),"purchase")</f>
        <v>purchase</v>
      </c>
      <c r="D1801" s="10">
        <f t="shared" si="1"/>
        <v>45460</v>
      </c>
      <c r="E1801" s="10">
        <f t="shared" si="2"/>
        <v>45460</v>
      </c>
      <c r="F1801" s="10">
        <f t="shared" si="3"/>
        <v>45444</v>
      </c>
      <c r="G1801" s="11"/>
    </row>
    <row r="1802">
      <c r="A1802" s="5">
        <f>IFERROR(__xludf.DUMMYFUNCTION("""COMPUTED_VALUE"""),7118.0)</f>
        <v>7118</v>
      </c>
      <c r="B1802" s="9">
        <f>IFERROR(__xludf.DUMMYFUNCTION("""COMPUTED_VALUE"""),45460.3203125)</f>
        <v>45460.32031</v>
      </c>
      <c r="C1802" s="5" t="str">
        <f>IFERROR(__xludf.DUMMYFUNCTION("""COMPUTED_VALUE"""),"purchase")</f>
        <v>purchase</v>
      </c>
      <c r="D1802" s="10">
        <f t="shared" si="1"/>
        <v>45460</v>
      </c>
      <c r="E1802" s="10">
        <f t="shared" si="2"/>
        <v>45460</v>
      </c>
      <c r="F1802" s="10">
        <f t="shared" si="3"/>
        <v>45444</v>
      </c>
      <c r="G1802" s="11"/>
    </row>
    <row r="1803">
      <c r="A1803" s="5">
        <f>IFERROR(__xludf.DUMMYFUNCTION("""COMPUTED_VALUE"""),1045.0)</f>
        <v>1045</v>
      </c>
      <c r="B1803" s="9">
        <f>IFERROR(__xludf.DUMMYFUNCTION("""COMPUTED_VALUE"""),45460.33806712963)</f>
        <v>45460.33807</v>
      </c>
      <c r="C1803" s="5" t="str">
        <f>IFERROR(__xludf.DUMMYFUNCTION("""COMPUTED_VALUE"""),"purchase")</f>
        <v>purchase</v>
      </c>
      <c r="D1803" s="10">
        <f t="shared" si="1"/>
        <v>45460</v>
      </c>
      <c r="E1803" s="10">
        <f t="shared" si="2"/>
        <v>45460</v>
      </c>
      <c r="F1803" s="10">
        <f t="shared" si="3"/>
        <v>45444</v>
      </c>
      <c r="G1803" s="11"/>
    </row>
    <row r="1804">
      <c r="A1804" s="5">
        <f>IFERROR(__xludf.DUMMYFUNCTION("""COMPUTED_VALUE"""),1331.0)</f>
        <v>1331</v>
      </c>
      <c r="B1804" s="9">
        <f>IFERROR(__xludf.DUMMYFUNCTION("""COMPUTED_VALUE"""),45460.422476851854)</f>
        <v>45460.42248</v>
      </c>
      <c r="C1804" s="5" t="str">
        <f>IFERROR(__xludf.DUMMYFUNCTION("""COMPUTED_VALUE"""),"purchase")</f>
        <v>purchase</v>
      </c>
      <c r="D1804" s="10">
        <f t="shared" si="1"/>
        <v>45460</v>
      </c>
      <c r="E1804" s="10">
        <f t="shared" si="2"/>
        <v>45460</v>
      </c>
      <c r="F1804" s="10">
        <f t="shared" si="3"/>
        <v>45444</v>
      </c>
      <c r="G1804" s="11"/>
    </row>
    <row r="1805">
      <c r="A1805" s="5">
        <f>IFERROR(__xludf.DUMMYFUNCTION("""COMPUTED_VALUE"""),5814.0)</f>
        <v>5814</v>
      </c>
      <c r="B1805" s="9">
        <f>IFERROR(__xludf.DUMMYFUNCTION("""COMPUTED_VALUE"""),45460.496979166666)</f>
        <v>45460.49698</v>
      </c>
      <c r="C1805" s="5" t="str">
        <f>IFERROR(__xludf.DUMMYFUNCTION("""COMPUTED_VALUE"""),"purchase")</f>
        <v>purchase</v>
      </c>
      <c r="D1805" s="10">
        <f t="shared" si="1"/>
        <v>45460</v>
      </c>
      <c r="E1805" s="10">
        <f t="shared" si="2"/>
        <v>45460</v>
      </c>
      <c r="F1805" s="10">
        <f t="shared" si="3"/>
        <v>45444</v>
      </c>
      <c r="G1805" s="11"/>
    </row>
    <row r="1806">
      <c r="A1806" s="5">
        <f>IFERROR(__xludf.DUMMYFUNCTION("""COMPUTED_VALUE"""),4619.0)</f>
        <v>4619</v>
      </c>
      <c r="B1806" s="9">
        <f>IFERROR(__xludf.DUMMYFUNCTION("""COMPUTED_VALUE"""),45460.533425925925)</f>
        <v>45460.53343</v>
      </c>
      <c r="C1806" s="5" t="str">
        <f>IFERROR(__xludf.DUMMYFUNCTION("""COMPUTED_VALUE"""),"purchase")</f>
        <v>purchase</v>
      </c>
      <c r="D1806" s="10">
        <f t="shared" si="1"/>
        <v>45460</v>
      </c>
      <c r="E1806" s="10">
        <f t="shared" si="2"/>
        <v>45460</v>
      </c>
      <c r="F1806" s="10">
        <f t="shared" si="3"/>
        <v>45444</v>
      </c>
      <c r="G1806" s="11"/>
    </row>
    <row r="1807">
      <c r="A1807" s="5">
        <f>IFERROR(__xludf.DUMMYFUNCTION("""COMPUTED_VALUE"""),1607.0)</f>
        <v>1607</v>
      </c>
      <c r="B1807" s="9">
        <f>IFERROR(__xludf.DUMMYFUNCTION("""COMPUTED_VALUE"""),45460.59916666667)</f>
        <v>45460.59917</v>
      </c>
      <c r="C1807" s="5" t="str">
        <f>IFERROR(__xludf.DUMMYFUNCTION("""COMPUTED_VALUE"""),"purchase")</f>
        <v>purchase</v>
      </c>
      <c r="D1807" s="10">
        <f t="shared" si="1"/>
        <v>45460</v>
      </c>
      <c r="E1807" s="10">
        <f t="shared" si="2"/>
        <v>45460</v>
      </c>
      <c r="F1807" s="10">
        <f t="shared" si="3"/>
        <v>45444</v>
      </c>
      <c r="G1807" s="11"/>
    </row>
    <row r="1808">
      <c r="A1808" s="5">
        <f>IFERROR(__xludf.DUMMYFUNCTION("""COMPUTED_VALUE"""),6587.0)</f>
        <v>6587</v>
      </c>
      <c r="B1808" s="9">
        <f>IFERROR(__xludf.DUMMYFUNCTION("""COMPUTED_VALUE"""),45460.7631712963)</f>
        <v>45460.76317</v>
      </c>
      <c r="C1808" s="5" t="str">
        <f>IFERROR(__xludf.DUMMYFUNCTION("""COMPUTED_VALUE"""),"purchase")</f>
        <v>purchase</v>
      </c>
      <c r="D1808" s="10">
        <f t="shared" si="1"/>
        <v>45460</v>
      </c>
      <c r="E1808" s="10">
        <f t="shared" si="2"/>
        <v>45460</v>
      </c>
      <c r="F1808" s="10">
        <f t="shared" si="3"/>
        <v>45444</v>
      </c>
      <c r="G1808" s="11"/>
    </row>
    <row r="1809">
      <c r="A1809" s="5">
        <f>IFERROR(__xludf.DUMMYFUNCTION("""COMPUTED_VALUE"""),4016.0)</f>
        <v>4016</v>
      </c>
      <c r="B1809" s="9">
        <f>IFERROR(__xludf.DUMMYFUNCTION("""COMPUTED_VALUE"""),45460.86880787037)</f>
        <v>45460.86881</v>
      </c>
      <c r="C1809" s="5" t="str">
        <f>IFERROR(__xludf.DUMMYFUNCTION("""COMPUTED_VALUE"""),"purchase")</f>
        <v>purchase</v>
      </c>
      <c r="D1809" s="10">
        <f t="shared" si="1"/>
        <v>45460</v>
      </c>
      <c r="E1809" s="10">
        <f t="shared" si="2"/>
        <v>45460</v>
      </c>
      <c r="F1809" s="10">
        <f t="shared" si="3"/>
        <v>45444</v>
      </c>
      <c r="G1809" s="11"/>
    </row>
    <row r="1810">
      <c r="A1810" s="5">
        <f>IFERROR(__xludf.DUMMYFUNCTION("""COMPUTED_VALUE"""),6966.0)</f>
        <v>6966</v>
      </c>
      <c r="B1810" s="9">
        <f>IFERROR(__xludf.DUMMYFUNCTION("""COMPUTED_VALUE"""),45460.94293981481)</f>
        <v>45460.94294</v>
      </c>
      <c r="C1810" s="5" t="str">
        <f>IFERROR(__xludf.DUMMYFUNCTION("""COMPUTED_VALUE"""),"purchase")</f>
        <v>purchase</v>
      </c>
      <c r="D1810" s="10">
        <f t="shared" si="1"/>
        <v>45460</v>
      </c>
      <c r="E1810" s="10">
        <f t="shared" si="2"/>
        <v>45460</v>
      </c>
      <c r="F1810" s="10">
        <f t="shared" si="3"/>
        <v>45444</v>
      </c>
      <c r="G1810" s="11"/>
    </row>
    <row r="1811">
      <c r="A1811" s="5">
        <f>IFERROR(__xludf.DUMMYFUNCTION("""COMPUTED_VALUE"""),7925.0)</f>
        <v>7925</v>
      </c>
      <c r="B1811" s="9">
        <f>IFERROR(__xludf.DUMMYFUNCTION("""COMPUTED_VALUE"""),45461.2140162037)</f>
        <v>45461.21402</v>
      </c>
      <c r="C1811" s="5" t="str">
        <f>IFERROR(__xludf.DUMMYFUNCTION("""COMPUTED_VALUE"""),"purchase")</f>
        <v>purchase</v>
      </c>
      <c r="D1811" s="10">
        <f t="shared" si="1"/>
        <v>45461</v>
      </c>
      <c r="E1811" s="10">
        <f t="shared" si="2"/>
        <v>45460</v>
      </c>
      <c r="F1811" s="10">
        <f t="shared" si="3"/>
        <v>45444</v>
      </c>
      <c r="G1811" s="11"/>
    </row>
    <row r="1812">
      <c r="A1812" s="5">
        <f>IFERROR(__xludf.DUMMYFUNCTION("""COMPUTED_VALUE"""),7493.0)</f>
        <v>7493</v>
      </c>
      <c r="B1812" s="9">
        <f>IFERROR(__xludf.DUMMYFUNCTION("""COMPUTED_VALUE"""),45461.319918981484)</f>
        <v>45461.31992</v>
      </c>
      <c r="C1812" s="5" t="str">
        <f>IFERROR(__xludf.DUMMYFUNCTION("""COMPUTED_VALUE"""),"purchase")</f>
        <v>purchase</v>
      </c>
      <c r="D1812" s="10">
        <f t="shared" si="1"/>
        <v>45461</v>
      </c>
      <c r="E1812" s="10">
        <f t="shared" si="2"/>
        <v>45460</v>
      </c>
      <c r="F1812" s="10">
        <f t="shared" si="3"/>
        <v>45444</v>
      </c>
      <c r="G1812" s="11"/>
    </row>
    <row r="1813">
      <c r="A1813" s="5">
        <f>IFERROR(__xludf.DUMMYFUNCTION("""COMPUTED_VALUE"""),7867.0)</f>
        <v>7867</v>
      </c>
      <c r="B1813" s="9">
        <f>IFERROR(__xludf.DUMMYFUNCTION("""COMPUTED_VALUE"""),45461.38790509259)</f>
        <v>45461.38791</v>
      </c>
      <c r="C1813" s="5" t="str">
        <f>IFERROR(__xludf.DUMMYFUNCTION("""COMPUTED_VALUE"""),"purchase")</f>
        <v>purchase</v>
      </c>
      <c r="D1813" s="10">
        <f t="shared" si="1"/>
        <v>45461</v>
      </c>
      <c r="E1813" s="10">
        <f t="shared" si="2"/>
        <v>45460</v>
      </c>
      <c r="F1813" s="10">
        <f t="shared" si="3"/>
        <v>45444</v>
      </c>
      <c r="G1813" s="11"/>
    </row>
    <row r="1814">
      <c r="A1814" s="5">
        <f>IFERROR(__xludf.DUMMYFUNCTION("""COMPUTED_VALUE"""),7732.0)</f>
        <v>7732</v>
      </c>
      <c r="B1814" s="9">
        <f>IFERROR(__xludf.DUMMYFUNCTION("""COMPUTED_VALUE"""),45461.440833333334)</f>
        <v>45461.44083</v>
      </c>
      <c r="C1814" s="5" t="str">
        <f>IFERROR(__xludf.DUMMYFUNCTION("""COMPUTED_VALUE"""),"purchase")</f>
        <v>purchase</v>
      </c>
      <c r="D1814" s="10">
        <f t="shared" si="1"/>
        <v>45461</v>
      </c>
      <c r="E1814" s="10">
        <f t="shared" si="2"/>
        <v>45460</v>
      </c>
      <c r="F1814" s="10">
        <f t="shared" si="3"/>
        <v>45444</v>
      </c>
      <c r="G1814" s="11"/>
    </row>
    <row r="1815">
      <c r="A1815" s="5">
        <f>IFERROR(__xludf.DUMMYFUNCTION("""COMPUTED_VALUE"""),6054.0)</f>
        <v>6054</v>
      </c>
      <c r="B1815" s="9">
        <f>IFERROR(__xludf.DUMMYFUNCTION("""COMPUTED_VALUE"""),45461.6428125)</f>
        <v>45461.64281</v>
      </c>
      <c r="C1815" s="5" t="str">
        <f>IFERROR(__xludf.DUMMYFUNCTION("""COMPUTED_VALUE"""),"purchase")</f>
        <v>purchase</v>
      </c>
      <c r="D1815" s="10">
        <f t="shared" si="1"/>
        <v>45461</v>
      </c>
      <c r="E1815" s="10">
        <f t="shared" si="2"/>
        <v>45460</v>
      </c>
      <c r="F1815" s="10">
        <f t="shared" si="3"/>
        <v>45444</v>
      </c>
      <c r="G1815" s="11"/>
    </row>
    <row r="1816">
      <c r="A1816" s="5">
        <f>IFERROR(__xludf.DUMMYFUNCTION("""COMPUTED_VALUE"""),3397.0)</f>
        <v>3397</v>
      </c>
      <c r="B1816" s="9">
        <f>IFERROR(__xludf.DUMMYFUNCTION("""COMPUTED_VALUE"""),45461.72993055556)</f>
        <v>45461.72993</v>
      </c>
      <c r="C1816" s="5" t="str">
        <f>IFERROR(__xludf.DUMMYFUNCTION("""COMPUTED_VALUE"""),"purchase")</f>
        <v>purchase</v>
      </c>
      <c r="D1816" s="10">
        <f t="shared" si="1"/>
        <v>45461</v>
      </c>
      <c r="E1816" s="10">
        <f t="shared" si="2"/>
        <v>45460</v>
      </c>
      <c r="F1816" s="10">
        <f t="shared" si="3"/>
        <v>45444</v>
      </c>
      <c r="G1816" s="11"/>
    </row>
    <row r="1817">
      <c r="A1817" s="5">
        <f>IFERROR(__xludf.DUMMYFUNCTION("""COMPUTED_VALUE"""),2654.0)</f>
        <v>2654</v>
      </c>
      <c r="B1817" s="9">
        <f>IFERROR(__xludf.DUMMYFUNCTION("""COMPUTED_VALUE"""),45461.91898148148)</f>
        <v>45461.91898</v>
      </c>
      <c r="C1817" s="5" t="str">
        <f>IFERROR(__xludf.DUMMYFUNCTION("""COMPUTED_VALUE"""),"purchase")</f>
        <v>purchase</v>
      </c>
      <c r="D1817" s="10">
        <f t="shared" si="1"/>
        <v>45461</v>
      </c>
      <c r="E1817" s="10">
        <f t="shared" si="2"/>
        <v>45460</v>
      </c>
      <c r="F1817" s="10">
        <f t="shared" si="3"/>
        <v>45444</v>
      </c>
      <c r="G1817" s="11"/>
    </row>
    <row r="1818">
      <c r="A1818" s="5">
        <f>IFERROR(__xludf.DUMMYFUNCTION("""COMPUTED_VALUE"""),3440.0)</f>
        <v>3440</v>
      </c>
      <c r="B1818" s="9">
        <f>IFERROR(__xludf.DUMMYFUNCTION("""COMPUTED_VALUE"""),45462.09684027778)</f>
        <v>45462.09684</v>
      </c>
      <c r="C1818" s="5" t="str">
        <f>IFERROR(__xludf.DUMMYFUNCTION("""COMPUTED_VALUE"""),"purchase")</f>
        <v>purchase</v>
      </c>
      <c r="D1818" s="10">
        <f t="shared" si="1"/>
        <v>45462</v>
      </c>
      <c r="E1818" s="10">
        <f t="shared" si="2"/>
        <v>45460</v>
      </c>
      <c r="F1818" s="10">
        <f t="shared" si="3"/>
        <v>45444</v>
      </c>
      <c r="G1818" s="11"/>
    </row>
    <row r="1819">
      <c r="A1819" s="5">
        <f>IFERROR(__xludf.DUMMYFUNCTION("""COMPUTED_VALUE"""),7812.0)</f>
        <v>7812</v>
      </c>
      <c r="B1819" s="9">
        <f>IFERROR(__xludf.DUMMYFUNCTION("""COMPUTED_VALUE"""),45462.482037037036)</f>
        <v>45462.48204</v>
      </c>
      <c r="C1819" s="5" t="str">
        <f>IFERROR(__xludf.DUMMYFUNCTION("""COMPUTED_VALUE"""),"purchase")</f>
        <v>purchase</v>
      </c>
      <c r="D1819" s="10">
        <f t="shared" si="1"/>
        <v>45462</v>
      </c>
      <c r="E1819" s="10">
        <f t="shared" si="2"/>
        <v>45460</v>
      </c>
      <c r="F1819" s="10">
        <f t="shared" si="3"/>
        <v>45444</v>
      </c>
      <c r="G1819" s="11"/>
    </row>
    <row r="1820">
      <c r="A1820" s="5">
        <f>IFERROR(__xludf.DUMMYFUNCTION("""COMPUTED_VALUE"""),3050.0)</f>
        <v>3050</v>
      </c>
      <c r="B1820" s="9">
        <f>IFERROR(__xludf.DUMMYFUNCTION("""COMPUTED_VALUE"""),45462.51159722222)</f>
        <v>45462.5116</v>
      </c>
      <c r="C1820" s="5" t="str">
        <f>IFERROR(__xludf.DUMMYFUNCTION("""COMPUTED_VALUE"""),"purchase")</f>
        <v>purchase</v>
      </c>
      <c r="D1820" s="10">
        <f t="shared" si="1"/>
        <v>45462</v>
      </c>
      <c r="E1820" s="10">
        <f t="shared" si="2"/>
        <v>45460</v>
      </c>
      <c r="F1820" s="10">
        <f t="shared" si="3"/>
        <v>45444</v>
      </c>
      <c r="G1820" s="11"/>
    </row>
    <row r="1821">
      <c r="A1821" s="5">
        <f>IFERROR(__xludf.DUMMYFUNCTION("""COMPUTED_VALUE"""),1559.0)</f>
        <v>1559</v>
      </c>
      <c r="B1821" s="9">
        <f>IFERROR(__xludf.DUMMYFUNCTION("""COMPUTED_VALUE"""),45462.584085648145)</f>
        <v>45462.58409</v>
      </c>
      <c r="C1821" s="5" t="str">
        <f>IFERROR(__xludf.DUMMYFUNCTION("""COMPUTED_VALUE"""),"purchase")</f>
        <v>purchase</v>
      </c>
      <c r="D1821" s="10">
        <f t="shared" si="1"/>
        <v>45462</v>
      </c>
      <c r="E1821" s="10">
        <f t="shared" si="2"/>
        <v>45460</v>
      </c>
      <c r="F1821" s="10">
        <f t="shared" si="3"/>
        <v>45444</v>
      </c>
      <c r="G1821" s="11"/>
    </row>
    <row r="1822">
      <c r="A1822" s="5">
        <f>IFERROR(__xludf.DUMMYFUNCTION("""COMPUTED_VALUE"""),4292.0)</f>
        <v>4292</v>
      </c>
      <c r="B1822" s="9">
        <f>IFERROR(__xludf.DUMMYFUNCTION("""COMPUTED_VALUE"""),45462.61004629629)</f>
        <v>45462.61005</v>
      </c>
      <c r="C1822" s="5" t="str">
        <f>IFERROR(__xludf.DUMMYFUNCTION("""COMPUTED_VALUE"""),"purchase")</f>
        <v>purchase</v>
      </c>
      <c r="D1822" s="10">
        <f t="shared" si="1"/>
        <v>45462</v>
      </c>
      <c r="E1822" s="10">
        <f t="shared" si="2"/>
        <v>45460</v>
      </c>
      <c r="F1822" s="10">
        <f t="shared" si="3"/>
        <v>45444</v>
      </c>
      <c r="G1822" s="11"/>
    </row>
    <row r="1823">
      <c r="A1823" s="5">
        <f>IFERROR(__xludf.DUMMYFUNCTION("""COMPUTED_VALUE"""),5039.0)</f>
        <v>5039</v>
      </c>
      <c r="B1823" s="9">
        <f>IFERROR(__xludf.DUMMYFUNCTION("""COMPUTED_VALUE"""),45462.79951388889)</f>
        <v>45462.79951</v>
      </c>
      <c r="C1823" s="5" t="str">
        <f>IFERROR(__xludf.DUMMYFUNCTION("""COMPUTED_VALUE"""),"purchase")</f>
        <v>purchase</v>
      </c>
      <c r="D1823" s="10">
        <f t="shared" si="1"/>
        <v>45462</v>
      </c>
      <c r="E1823" s="10">
        <f t="shared" si="2"/>
        <v>45460</v>
      </c>
      <c r="F1823" s="10">
        <f t="shared" si="3"/>
        <v>45444</v>
      </c>
      <c r="G1823" s="11"/>
    </row>
    <row r="1824">
      <c r="A1824" s="5">
        <f>IFERROR(__xludf.DUMMYFUNCTION("""COMPUTED_VALUE"""),2318.0)</f>
        <v>2318</v>
      </c>
      <c r="B1824" s="9">
        <f>IFERROR(__xludf.DUMMYFUNCTION("""COMPUTED_VALUE"""),45462.84412037037)</f>
        <v>45462.84412</v>
      </c>
      <c r="C1824" s="5" t="str">
        <f>IFERROR(__xludf.DUMMYFUNCTION("""COMPUTED_VALUE"""),"purchase")</f>
        <v>purchase</v>
      </c>
      <c r="D1824" s="10">
        <f t="shared" si="1"/>
        <v>45462</v>
      </c>
      <c r="E1824" s="10">
        <f t="shared" si="2"/>
        <v>45460</v>
      </c>
      <c r="F1824" s="10">
        <f t="shared" si="3"/>
        <v>45444</v>
      </c>
      <c r="G1824" s="11"/>
    </row>
    <row r="1825">
      <c r="A1825" s="5">
        <f>IFERROR(__xludf.DUMMYFUNCTION("""COMPUTED_VALUE"""),3536.0)</f>
        <v>3536</v>
      </c>
      <c r="B1825" s="9">
        <f>IFERROR(__xludf.DUMMYFUNCTION("""COMPUTED_VALUE"""),45462.86460648148)</f>
        <v>45462.86461</v>
      </c>
      <c r="C1825" s="5" t="str">
        <f>IFERROR(__xludf.DUMMYFUNCTION("""COMPUTED_VALUE"""),"purchase")</f>
        <v>purchase</v>
      </c>
      <c r="D1825" s="10">
        <f t="shared" si="1"/>
        <v>45462</v>
      </c>
      <c r="E1825" s="10">
        <f t="shared" si="2"/>
        <v>45460</v>
      </c>
      <c r="F1825" s="10">
        <f t="shared" si="3"/>
        <v>45444</v>
      </c>
      <c r="G1825" s="11"/>
    </row>
    <row r="1826">
      <c r="A1826" s="5">
        <f>IFERROR(__xludf.DUMMYFUNCTION("""COMPUTED_VALUE"""),6187.0)</f>
        <v>6187</v>
      </c>
      <c r="B1826" s="9">
        <f>IFERROR(__xludf.DUMMYFUNCTION("""COMPUTED_VALUE"""),45463.084085648145)</f>
        <v>45463.08409</v>
      </c>
      <c r="C1826" s="5" t="str">
        <f>IFERROR(__xludf.DUMMYFUNCTION("""COMPUTED_VALUE"""),"purchase")</f>
        <v>purchase</v>
      </c>
      <c r="D1826" s="10">
        <f t="shared" si="1"/>
        <v>45463</v>
      </c>
      <c r="E1826" s="10">
        <f t="shared" si="2"/>
        <v>45460</v>
      </c>
      <c r="F1826" s="10">
        <f t="shared" si="3"/>
        <v>45444</v>
      </c>
      <c r="G1826" s="11"/>
    </row>
    <row r="1827">
      <c r="A1827" s="5">
        <f>IFERROR(__xludf.DUMMYFUNCTION("""COMPUTED_VALUE"""),3164.0)</f>
        <v>3164</v>
      </c>
      <c r="B1827" s="9">
        <f>IFERROR(__xludf.DUMMYFUNCTION("""COMPUTED_VALUE"""),45463.22613425926)</f>
        <v>45463.22613</v>
      </c>
      <c r="C1827" s="5" t="str">
        <f>IFERROR(__xludf.DUMMYFUNCTION("""COMPUTED_VALUE"""),"purchase")</f>
        <v>purchase</v>
      </c>
      <c r="D1827" s="10">
        <f t="shared" si="1"/>
        <v>45463</v>
      </c>
      <c r="E1827" s="10">
        <f t="shared" si="2"/>
        <v>45460</v>
      </c>
      <c r="F1827" s="10">
        <f t="shared" si="3"/>
        <v>45444</v>
      </c>
      <c r="G1827" s="11"/>
    </row>
    <row r="1828">
      <c r="A1828" s="5">
        <f>IFERROR(__xludf.DUMMYFUNCTION("""COMPUTED_VALUE"""),5338.0)</f>
        <v>5338</v>
      </c>
      <c r="B1828" s="9">
        <f>IFERROR(__xludf.DUMMYFUNCTION("""COMPUTED_VALUE"""),45463.26599537037)</f>
        <v>45463.266</v>
      </c>
      <c r="C1828" s="5" t="str">
        <f>IFERROR(__xludf.DUMMYFUNCTION("""COMPUTED_VALUE"""),"purchase")</f>
        <v>purchase</v>
      </c>
      <c r="D1828" s="10">
        <f t="shared" si="1"/>
        <v>45463</v>
      </c>
      <c r="E1828" s="10">
        <f t="shared" si="2"/>
        <v>45460</v>
      </c>
      <c r="F1828" s="10">
        <f t="shared" si="3"/>
        <v>45444</v>
      </c>
      <c r="G1828" s="11"/>
    </row>
    <row r="1829">
      <c r="A1829" s="5">
        <f>IFERROR(__xludf.DUMMYFUNCTION("""COMPUTED_VALUE"""),7871.0)</f>
        <v>7871</v>
      </c>
      <c r="B1829" s="9">
        <f>IFERROR(__xludf.DUMMYFUNCTION("""COMPUTED_VALUE"""),45463.34341435185)</f>
        <v>45463.34341</v>
      </c>
      <c r="C1829" s="5" t="str">
        <f>IFERROR(__xludf.DUMMYFUNCTION("""COMPUTED_VALUE"""),"purchase")</f>
        <v>purchase</v>
      </c>
      <c r="D1829" s="10">
        <f t="shared" si="1"/>
        <v>45463</v>
      </c>
      <c r="E1829" s="10">
        <f t="shared" si="2"/>
        <v>45460</v>
      </c>
      <c r="F1829" s="10">
        <f t="shared" si="3"/>
        <v>45444</v>
      </c>
      <c r="G1829" s="11"/>
    </row>
    <row r="1830">
      <c r="A1830" s="5">
        <f>IFERROR(__xludf.DUMMYFUNCTION("""COMPUTED_VALUE"""),5571.0)</f>
        <v>5571</v>
      </c>
      <c r="B1830" s="9">
        <f>IFERROR(__xludf.DUMMYFUNCTION("""COMPUTED_VALUE"""),45463.44965277778)</f>
        <v>45463.44965</v>
      </c>
      <c r="C1830" s="5" t="str">
        <f>IFERROR(__xludf.DUMMYFUNCTION("""COMPUTED_VALUE"""),"purchase")</f>
        <v>purchase</v>
      </c>
      <c r="D1830" s="10">
        <f t="shared" si="1"/>
        <v>45463</v>
      </c>
      <c r="E1830" s="10">
        <f t="shared" si="2"/>
        <v>45460</v>
      </c>
      <c r="F1830" s="10">
        <f t="shared" si="3"/>
        <v>45444</v>
      </c>
      <c r="G1830" s="11"/>
    </row>
    <row r="1831">
      <c r="A1831" s="5">
        <f>IFERROR(__xludf.DUMMYFUNCTION("""COMPUTED_VALUE"""),5938.0)</f>
        <v>5938</v>
      </c>
      <c r="B1831" s="9">
        <f>IFERROR(__xludf.DUMMYFUNCTION("""COMPUTED_VALUE"""),45463.473599537036)</f>
        <v>45463.4736</v>
      </c>
      <c r="C1831" s="5" t="str">
        <f>IFERROR(__xludf.DUMMYFUNCTION("""COMPUTED_VALUE"""),"purchase")</f>
        <v>purchase</v>
      </c>
      <c r="D1831" s="10">
        <f t="shared" si="1"/>
        <v>45463</v>
      </c>
      <c r="E1831" s="10">
        <f t="shared" si="2"/>
        <v>45460</v>
      </c>
      <c r="F1831" s="10">
        <f t="shared" si="3"/>
        <v>45444</v>
      </c>
      <c r="G1831" s="11"/>
    </row>
    <row r="1832">
      <c r="A1832" s="5">
        <f>IFERROR(__xludf.DUMMYFUNCTION("""COMPUTED_VALUE"""),2651.0)</f>
        <v>2651</v>
      </c>
      <c r="B1832" s="9">
        <f>IFERROR(__xludf.DUMMYFUNCTION("""COMPUTED_VALUE"""),45463.70196759259)</f>
        <v>45463.70197</v>
      </c>
      <c r="C1832" s="5" t="str">
        <f>IFERROR(__xludf.DUMMYFUNCTION("""COMPUTED_VALUE"""),"purchase")</f>
        <v>purchase</v>
      </c>
      <c r="D1832" s="10">
        <f t="shared" si="1"/>
        <v>45463</v>
      </c>
      <c r="E1832" s="10">
        <f t="shared" si="2"/>
        <v>45460</v>
      </c>
      <c r="F1832" s="10">
        <f t="shared" si="3"/>
        <v>45444</v>
      </c>
      <c r="G1832" s="11"/>
    </row>
    <row r="1833">
      <c r="A1833" s="5">
        <f>IFERROR(__xludf.DUMMYFUNCTION("""COMPUTED_VALUE"""),6523.0)</f>
        <v>6523</v>
      </c>
      <c r="B1833" s="9">
        <f>IFERROR(__xludf.DUMMYFUNCTION("""COMPUTED_VALUE"""),45463.82699074074)</f>
        <v>45463.82699</v>
      </c>
      <c r="C1833" s="5" t="str">
        <f>IFERROR(__xludf.DUMMYFUNCTION("""COMPUTED_VALUE"""),"purchase")</f>
        <v>purchase</v>
      </c>
      <c r="D1833" s="10">
        <f t="shared" si="1"/>
        <v>45463</v>
      </c>
      <c r="E1833" s="10">
        <f t="shared" si="2"/>
        <v>45460</v>
      </c>
      <c r="F1833" s="10">
        <f t="shared" si="3"/>
        <v>45444</v>
      </c>
      <c r="G1833" s="11"/>
    </row>
    <row r="1834">
      <c r="A1834" s="5">
        <f>IFERROR(__xludf.DUMMYFUNCTION("""COMPUTED_VALUE"""),890.0)</f>
        <v>890</v>
      </c>
      <c r="B1834" s="9">
        <f>IFERROR(__xludf.DUMMYFUNCTION("""COMPUTED_VALUE"""),45463.935)</f>
        <v>45463.935</v>
      </c>
      <c r="C1834" s="5" t="str">
        <f>IFERROR(__xludf.DUMMYFUNCTION("""COMPUTED_VALUE"""),"purchase")</f>
        <v>purchase</v>
      </c>
      <c r="D1834" s="10">
        <f t="shared" si="1"/>
        <v>45463</v>
      </c>
      <c r="E1834" s="10">
        <f t="shared" si="2"/>
        <v>45460</v>
      </c>
      <c r="F1834" s="10">
        <f t="shared" si="3"/>
        <v>45444</v>
      </c>
      <c r="G1834" s="11"/>
    </row>
    <row r="1835">
      <c r="A1835" s="5">
        <f>IFERROR(__xludf.DUMMYFUNCTION("""COMPUTED_VALUE"""),3107.0)</f>
        <v>3107</v>
      </c>
      <c r="B1835" s="9">
        <f>IFERROR(__xludf.DUMMYFUNCTION("""COMPUTED_VALUE"""),45464.115578703706)</f>
        <v>45464.11558</v>
      </c>
      <c r="C1835" s="5" t="str">
        <f>IFERROR(__xludf.DUMMYFUNCTION("""COMPUTED_VALUE"""),"purchase")</f>
        <v>purchase</v>
      </c>
      <c r="D1835" s="10">
        <f t="shared" si="1"/>
        <v>45464</v>
      </c>
      <c r="E1835" s="10">
        <f t="shared" si="2"/>
        <v>45460</v>
      </c>
      <c r="F1835" s="10">
        <f t="shared" si="3"/>
        <v>45444</v>
      </c>
      <c r="G1835" s="11"/>
    </row>
    <row r="1836">
      <c r="A1836" s="5">
        <f>IFERROR(__xludf.DUMMYFUNCTION("""COMPUTED_VALUE"""),7175.0)</f>
        <v>7175</v>
      </c>
      <c r="B1836" s="9">
        <f>IFERROR(__xludf.DUMMYFUNCTION("""COMPUTED_VALUE"""),45464.19194444444)</f>
        <v>45464.19194</v>
      </c>
      <c r="C1836" s="5" t="str">
        <f>IFERROR(__xludf.DUMMYFUNCTION("""COMPUTED_VALUE"""),"purchase")</f>
        <v>purchase</v>
      </c>
      <c r="D1836" s="10">
        <f t="shared" si="1"/>
        <v>45464</v>
      </c>
      <c r="E1836" s="10">
        <f t="shared" si="2"/>
        <v>45460</v>
      </c>
      <c r="F1836" s="10">
        <f t="shared" si="3"/>
        <v>45444</v>
      </c>
      <c r="G1836" s="11"/>
    </row>
    <row r="1837">
      <c r="A1837" s="5">
        <f>IFERROR(__xludf.DUMMYFUNCTION("""COMPUTED_VALUE"""),7295.0)</f>
        <v>7295</v>
      </c>
      <c r="B1837" s="9">
        <f>IFERROR(__xludf.DUMMYFUNCTION("""COMPUTED_VALUE"""),45464.420625)</f>
        <v>45464.42063</v>
      </c>
      <c r="C1837" s="5" t="str">
        <f>IFERROR(__xludf.DUMMYFUNCTION("""COMPUTED_VALUE"""),"purchase")</f>
        <v>purchase</v>
      </c>
      <c r="D1837" s="10">
        <f t="shared" si="1"/>
        <v>45464</v>
      </c>
      <c r="E1837" s="10">
        <f t="shared" si="2"/>
        <v>45460</v>
      </c>
      <c r="F1837" s="10">
        <f t="shared" si="3"/>
        <v>45444</v>
      </c>
      <c r="G1837" s="11"/>
    </row>
    <row r="1838">
      <c r="A1838" s="5">
        <f>IFERROR(__xludf.DUMMYFUNCTION("""COMPUTED_VALUE"""),642.0)</f>
        <v>642</v>
      </c>
      <c r="B1838" s="9">
        <f>IFERROR(__xludf.DUMMYFUNCTION("""COMPUTED_VALUE"""),45464.49837962963)</f>
        <v>45464.49838</v>
      </c>
      <c r="C1838" s="5" t="str">
        <f>IFERROR(__xludf.DUMMYFUNCTION("""COMPUTED_VALUE"""),"purchase")</f>
        <v>purchase</v>
      </c>
      <c r="D1838" s="10">
        <f t="shared" si="1"/>
        <v>45464</v>
      </c>
      <c r="E1838" s="10">
        <f t="shared" si="2"/>
        <v>45460</v>
      </c>
      <c r="F1838" s="10">
        <f t="shared" si="3"/>
        <v>45444</v>
      </c>
      <c r="G1838" s="11"/>
    </row>
    <row r="1839">
      <c r="A1839" s="5">
        <f>IFERROR(__xludf.DUMMYFUNCTION("""COMPUTED_VALUE"""),2466.0)</f>
        <v>2466</v>
      </c>
      <c r="B1839" s="9">
        <f>IFERROR(__xludf.DUMMYFUNCTION("""COMPUTED_VALUE"""),45464.60979166667)</f>
        <v>45464.60979</v>
      </c>
      <c r="C1839" s="5" t="str">
        <f>IFERROR(__xludf.DUMMYFUNCTION("""COMPUTED_VALUE"""),"purchase")</f>
        <v>purchase</v>
      </c>
      <c r="D1839" s="10">
        <f t="shared" si="1"/>
        <v>45464</v>
      </c>
      <c r="E1839" s="10">
        <f t="shared" si="2"/>
        <v>45460</v>
      </c>
      <c r="F1839" s="10">
        <f t="shared" si="3"/>
        <v>45444</v>
      </c>
      <c r="G1839" s="11"/>
    </row>
    <row r="1840">
      <c r="A1840" s="5">
        <f>IFERROR(__xludf.DUMMYFUNCTION("""COMPUTED_VALUE"""),3115.0)</f>
        <v>3115</v>
      </c>
      <c r="B1840" s="9">
        <f>IFERROR(__xludf.DUMMYFUNCTION("""COMPUTED_VALUE"""),45464.67328703704)</f>
        <v>45464.67329</v>
      </c>
      <c r="C1840" s="5" t="str">
        <f>IFERROR(__xludf.DUMMYFUNCTION("""COMPUTED_VALUE"""),"purchase")</f>
        <v>purchase</v>
      </c>
      <c r="D1840" s="10">
        <f t="shared" si="1"/>
        <v>45464</v>
      </c>
      <c r="E1840" s="10">
        <f t="shared" si="2"/>
        <v>45460</v>
      </c>
      <c r="F1840" s="10">
        <f t="shared" si="3"/>
        <v>45444</v>
      </c>
      <c r="G1840" s="11"/>
    </row>
    <row r="1841">
      <c r="A1841" s="5">
        <f>IFERROR(__xludf.DUMMYFUNCTION("""COMPUTED_VALUE"""),2277.0)</f>
        <v>2277</v>
      </c>
      <c r="B1841" s="9">
        <f>IFERROR(__xludf.DUMMYFUNCTION("""COMPUTED_VALUE"""),45464.75703703704)</f>
        <v>45464.75704</v>
      </c>
      <c r="C1841" s="5" t="str">
        <f>IFERROR(__xludf.DUMMYFUNCTION("""COMPUTED_VALUE"""),"purchase")</f>
        <v>purchase</v>
      </c>
      <c r="D1841" s="10">
        <f t="shared" si="1"/>
        <v>45464</v>
      </c>
      <c r="E1841" s="10">
        <f t="shared" si="2"/>
        <v>45460</v>
      </c>
      <c r="F1841" s="10">
        <f t="shared" si="3"/>
        <v>45444</v>
      </c>
      <c r="G1841" s="11"/>
    </row>
    <row r="1842">
      <c r="A1842" s="5">
        <f>IFERROR(__xludf.DUMMYFUNCTION("""COMPUTED_VALUE"""),3304.0)</f>
        <v>3304</v>
      </c>
      <c r="B1842" s="9">
        <f>IFERROR(__xludf.DUMMYFUNCTION("""COMPUTED_VALUE"""),45464.87869212963)</f>
        <v>45464.87869</v>
      </c>
      <c r="C1842" s="5" t="str">
        <f>IFERROR(__xludf.DUMMYFUNCTION("""COMPUTED_VALUE"""),"purchase")</f>
        <v>purchase</v>
      </c>
      <c r="D1842" s="10">
        <f t="shared" si="1"/>
        <v>45464</v>
      </c>
      <c r="E1842" s="10">
        <f t="shared" si="2"/>
        <v>45460</v>
      </c>
      <c r="F1842" s="10">
        <f t="shared" si="3"/>
        <v>45444</v>
      </c>
      <c r="G1842" s="11"/>
    </row>
    <row r="1843">
      <c r="A1843" s="5">
        <f>IFERROR(__xludf.DUMMYFUNCTION("""COMPUTED_VALUE"""),6172.0)</f>
        <v>6172</v>
      </c>
      <c r="B1843" s="9">
        <f>IFERROR(__xludf.DUMMYFUNCTION("""COMPUTED_VALUE"""),45465.27462962963)</f>
        <v>45465.27463</v>
      </c>
      <c r="C1843" s="5" t="str">
        <f>IFERROR(__xludf.DUMMYFUNCTION("""COMPUTED_VALUE"""),"purchase")</f>
        <v>purchase</v>
      </c>
      <c r="D1843" s="10">
        <f t="shared" si="1"/>
        <v>45465</v>
      </c>
      <c r="E1843" s="10">
        <f t="shared" si="2"/>
        <v>45460</v>
      </c>
      <c r="F1843" s="10">
        <f t="shared" si="3"/>
        <v>45444</v>
      </c>
      <c r="G1843" s="11"/>
    </row>
    <row r="1844">
      <c r="A1844" s="5">
        <f>IFERROR(__xludf.DUMMYFUNCTION("""COMPUTED_VALUE"""),3807.0)</f>
        <v>3807</v>
      </c>
      <c r="B1844" s="9">
        <f>IFERROR(__xludf.DUMMYFUNCTION("""COMPUTED_VALUE"""),45465.62233796297)</f>
        <v>45465.62234</v>
      </c>
      <c r="C1844" s="5" t="str">
        <f>IFERROR(__xludf.DUMMYFUNCTION("""COMPUTED_VALUE"""),"purchase")</f>
        <v>purchase</v>
      </c>
      <c r="D1844" s="10">
        <f t="shared" si="1"/>
        <v>45465</v>
      </c>
      <c r="E1844" s="10">
        <f t="shared" si="2"/>
        <v>45460</v>
      </c>
      <c r="F1844" s="10">
        <f t="shared" si="3"/>
        <v>45444</v>
      </c>
      <c r="G1844" s="11"/>
    </row>
    <row r="1845">
      <c r="A1845" s="5">
        <f>IFERROR(__xludf.DUMMYFUNCTION("""COMPUTED_VALUE"""),1143.0)</f>
        <v>1143</v>
      </c>
      <c r="B1845" s="9">
        <f>IFERROR(__xludf.DUMMYFUNCTION("""COMPUTED_VALUE"""),45465.70346064815)</f>
        <v>45465.70346</v>
      </c>
      <c r="C1845" s="5" t="str">
        <f>IFERROR(__xludf.DUMMYFUNCTION("""COMPUTED_VALUE"""),"purchase")</f>
        <v>purchase</v>
      </c>
      <c r="D1845" s="10">
        <f t="shared" si="1"/>
        <v>45465</v>
      </c>
      <c r="E1845" s="10">
        <f t="shared" si="2"/>
        <v>45460</v>
      </c>
      <c r="F1845" s="10">
        <f t="shared" si="3"/>
        <v>45444</v>
      </c>
      <c r="G1845" s="11"/>
    </row>
    <row r="1846">
      <c r="A1846" s="5">
        <f>IFERROR(__xludf.DUMMYFUNCTION("""COMPUTED_VALUE"""),4636.0)</f>
        <v>4636</v>
      </c>
      <c r="B1846" s="9">
        <f>IFERROR(__xludf.DUMMYFUNCTION("""COMPUTED_VALUE"""),45465.718831018516)</f>
        <v>45465.71883</v>
      </c>
      <c r="C1846" s="5" t="str">
        <f>IFERROR(__xludf.DUMMYFUNCTION("""COMPUTED_VALUE"""),"purchase")</f>
        <v>purchase</v>
      </c>
      <c r="D1846" s="10">
        <f t="shared" si="1"/>
        <v>45465</v>
      </c>
      <c r="E1846" s="10">
        <f t="shared" si="2"/>
        <v>45460</v>
      </c>
      <c r="F1846" s="10">
        <f t="shared" si="3"/>
        <v>45444</v>
      </c>
      <c r="G1846" s="11"/>
    </row>
    <row r="1847">
      <c r="A1847" s="5">
        <f>IFERROR(__xludf.DUMMYFUNCTION("""COMPUTED_VALUE"""),801.0)</f>
        <v>801</v>
      </c>
      <c r="B1847" s="9">
        <f>IFERROR(__xludf.DUMMYFUNCTION("""COMPUTED_VALUE"""),45465.73711805556)</f>
        <v>45465.73712</v>
      </c>
      <c r="C1847" s="5" t="str">
        <f>IFERROR(__xludf.DUMMYFUNCTION("""COMPUTED_VALUE"""),"purchase")</f>
        <v>purchase</v>
      </c>
      <c r="D1847" s="10">
        <f t="shared" si="1"/>
        <v>45465</v>
      </c>
      <c r="E1847" s="10">
        <f t="shared" si="2"/>
        <v>45460</v>
      </c>
      <c r="F1847" s="10">
        <f t="shared" si="3"/>
        <v>45444</v>
      </c>
      <c r="G1847" s="11"/>
    </row>
    <row r="1848">
      <c r="A1848" s="5">
        <f>IFERROR(__xludf.DUMMYFUNCTION("""COMPUTED_VALUE"""),5649.0)</f>
        <v>5649</v>
      </c>
      <c r="B1848" s="9">
        <f>IFERROR(__xludf.DUMMYFUNCTION("""COMPUTED_VALUE"""),45465.805763888886)</f>
        <v>45465.80576</v>
      </c>
      <c r="C1848" s="5" t="str">
        <f>IFERROR(__xludf.DUMMYFUNCTION("""COMPUTED_VALUE"""),"purchase")</f>
        <v>purchase</v>
      </c>
      <c r="D1848" s="10">
        <f t="shared" si="1"/>
        <v>45465</v>
      </c>
      <c r="E1848" s="10">
        <f t="shared" si="2"/>
        <v>45460</v>
      </c>
      <c r="F1848" s="10">
        <f t="shared" si="3"/>
        <v>45444</v>
      </c>
      <c r="G1848" s="11"/>
    </row>
    <row r="1849">
      <c r="A1849" s="5">
        <f>IFERROR(__xludf.DUMMYFUNCTION("""COMPUTED_VALUE"""),6762.0)</f>
        <v>6762</v>
      </c>
      <c r="B1849" s="9">
        <f>IFERROR(__xludf.DUMMYFUNCTION("""COMPUTED_VALUE"""),45465.87136574074)</f>
        <v>45465.87137</v>
      </c>
      <c r="C1849" s="5" t="str">
        <f>IFERROR(__xludf.DUMMYFUNCTION("""COMPUTED_VALUE"""),"purchase")</f>
        <v>purchase</v>
      </c>
      <c r="D1849" s="10">
        <f t="shared" si="1"/>
        <v>45465</v>
      </c>
      <c r="E1849" s="10">
        <f t="shared" si="2"/>
        <v>45460</v>
      </c>
      <c r="F1849" s="10">
        <f t="shared" si="3"/>
        <v>45444</v>
      </c>
      <c r="G1849" s="11"/>
    </row>
    <row r="1850">
      <c r="A1850" s="5">
        <f>IFERROR(__xludf.DUMMYFUNCTION("""COMPUTED_VALUE"""),4630.0)</f>
        <v>4630</v>
      </c>
      <c r="B1850" s="9">
        <f>IFERROR(__xludf.DUMMYFUNCTION("""COMPUTED_VALUE"""),45465.977685185186)</f>
        <v>45465.97769</v>
      </c>
      <c r="C1850" s="5" t="str">
        <f>IFERROR(__xludf.DUMMYFUNCTION("""COMPUTED_VALUE"""),"purchase")</f>
        <v>purchase</v>
      </c>
      <c r="D1850" s="10">
        <f t="shared" si="1"/>
        <v>45465</v>
      </c>
      <c r="E1850" s="10">
        <f t="shared" si="2"/>
        <v>45460</v>
      </c>
      <c r="F1850" s="10">
        <f t="shared" si="3"/>
        <v>45444</v>
      </c>
      <c r="G1850" s="11"/>
    </row>
    <row r="1851">
      <c r="A1851" s="5">
        <f>IFERROR(__xludf.DUMMYFUNCTION("""COMPUTED_VALUE"""),4664.0)</f>
        <v>4664</v>
      </c>
      <c r="B1851" s="9">
        <f>IFERROR(__xludf.DUMMYFUNCTION("""COMPUTED_VALUE"""),45465.981400462966)</f>
        <v>45465.9814</v>
      </c>
      <c r="C1851" s="5" t="str">
        <f>IFERROR(__xludf.DUMMYFUNCTION("""COMPUTED_VALUE"""),"purchase")</f>
        <v>purchase</v>
      </c>
      <c r="D1851" s="10">
        <f t="shared" si="1"/>
        <v>45465</v>
      </c>
      <c r="E1851" s="10">
        <f t="shared" si="2"/>
        <v>45460</v>
      </c>
      <c r="F1851" s="10">
        <f t="shared" si="3"/>
        <v>45444</v>
      </c>
      <c r="G1851" s="11"/>
    </row>
    <row r="1852">
      <c r="A1852" s="5">
        <f>IFERROR(__xludf.DUMMYFUNCTION("""COMPUTED_VALUE"""),6885.0)</f>
        <v>6885</v>
      </c>
      <c r="B1852" s="9">
        <f>IFERROR(__xludf.DUMMYFUNCTION("""COMPUTED_VALUE"""),45466.12238425926)</f>
        <v>45466.12238</v>
      </c>
      <c r="C1852" s="5" t="str">
        <f>IFERROR(__xludf.DUMMYFUNCTION("""COMPUTED_VALUE"""),"purchase")</f>
        <v>purchase</v>
      </c>
      <c r="D1852" s="10">
        <f t="shared" si="1"/>
        <v>45466</v>
      </c>
      <c r="E1852" s="10">
        <f t="shared" si="2"/>
        <v>45460</v>
      </c>
      <c r="F1852" s="10">
        <f t="shared" si="3"/>
        <v>45444</v>
      </c>
      <c r="G1852" s="11"/>
    </row>
    <row r="1853">
      <c r="A1853" s="5">
        <f>IFERROR(__xludf.DUMMYFUNCTION("""COMPUTED_VALUE"""),666.0)</f>
        <v>666</v>
      </c>
      <c r="B1853" s="9">
        <f>IFERROR(__xludf.DUMMYFUNCTION("""COMPUTED_VALUE"""),45466.13484953704)</f>
        <v>45466.13485</v>
      </c>
      <c r="C1853" s="5" t="str">
        <f>IFERROR(__xludf.DUMMYFUNCTION("""COMPUTED_VALUE"""),"purchase")</f>
        <v>purchase</v>
      </c>
      <c r="D1853" s="10">
        <f t="shared" si="1"/>
        <v>45466</v>
      </c>
      <c r="E1853" s="10">
        <f t="shared" si="2"/>
        <v>45460</v>
      </c>
      <c r="F1853" s="10">
        <f t="shared" si="3"/>
        <v>45444</v>
      </c>
      <c r="G1853" s="11"/>
    </row>
    <row r="1854">
      <c r="A1854" s="5">
        <f>IFERROR(__xludf.DUMMYFUNCTION("""COMPUTED_VALUE"""),6111.0)</f>
        <v>6111</v>
      </c>
      <c r="B1854" s="9">
        <f>IFERROR(__xludf.DUMMYFUNCTION("""COMPUTED_VALUE"""),45466.22966435185)</f>
        <v>45466.22966</v>
      </c>
      <c r="C1854" s="5" t="str">
        <f>IFERROR(__xludf.DUMMYFUNCTION("""COMPUTED_VALUE"""),"purchase")</f>
        <v>purchase</v>
      </c>
      <c r="D1854" s="10">
        <f t="shared" si="1"/>
        <v>45466</v>
      </c>
      <c r="E1854" s="10">
        <f t="shared" si="2"/>
        <v>45460</v>
      </c>
      <c r="F1854" s="10">
        <f t="shared" si="3"/>
        <v>45444</v>
      </c>
      <c r="G1854" s="11"/>
    </row>
    <row r="1855">
      <c r="A1855" s="5">
        <f>IFERROR(__xludf.DUMMYFUNCTION("""COMPUTED_VALUE"""),4668.0)</f>
        <v>4668</v>
      </c>
      <c r="B1855" s="9">
        <f>IFERROR(__xludf.DUMMYFUNCTION("""COMPUTED_VALUE"""),45466.427303240744)</f>
        <v>45466.4273</v>
      </c>
      <c r="C1855" s="5" t="str">
        <f>IFERROR(__xludf.DUMMYFUNCTION("""COMPUTED_VALUE"""),"purchase")</f>
        <v>purchase</v>
      </c>
      <c r="D1855" s="10">
        <f t="shared" si="1"/>
        <v>45466</v>
      </c>
      <c r="E1855" s="10">
        <f t="shared" si="2"/>
        <v>45460</v>
      </c>
      <c r="F1855" s="10">
        <f t="shared" si="3"/>
        <v>45444</v>
      </c>
      <c r="G1855" s="11"/>
    </row>
    <row r="1856">
      <c r="A1856" s="5">
        <f>IFERROR(__xludf.DUMMYFUNCTION("""COMPUTED_VALUE"""),59.0)</f>
        <v>59</v>
      </c>
      <c r="B1856" s="9">
        <f>IFERROR(__xludf.DUMMYFUNCTION("""COMPUTED_VALUE"""),45466.620844907404)</f>
        <v>45466.62084</v>
      </c>
      <c r="C1856" s="5" t="str">
        <f>IFERROR(__xludf.DUMMYFUNCTION("""COMPUTED_VALUE"""),"purchase")</f>
        <v>purchase</v>
      </c>
      <c r="D1856" s="10">
        <f t="shared" si="1"/>
        <v>45466</v>
      </c>
      <c r="E1856" s="10">
        <f t="shared" si="2"/>
        <v>45460</v>
      </c>
      <c r="F1856" s="10">
        <f t="shared" si="3"/>
        <v>45444</v>
      </c>
      <c r="G1856" s="11"/>
    </row>
    <row r="1857">
      <c r="A1857" s="5">
        <f>IFERROR(__xludf.DUMMYFUNCTION("""COMPUTED_VALUE"""),4754.0)</f>
        <v>4754</v>
      </c>
      <c r="B1857" s="9">
        <f>IFERROR(__xludf.DUMMYFUNCTION("""COMPUTED_VALUE"""),45466.69299768518)</f>
        <v>45466.693</v>
      </c>
      <c r="C1857" s="5" t="str">
        <f>IFERROR(__xludf.DUMMYFUNCTION("""COMPUTED_VALUE"""),"purchase")</f>
        <v>purchase</v>
      </c>
      <c r="D1857" s="10">
        <f t="shared" si="1"/>
        <v>45466</v>
      </c>
      <c r="E1857" s="10">
        <f t="shared" si="2"/>
        <v>45460</v>
      </c>
      <c r="F1857" s="10">
        <f t="shared" si="3"/>
        <v>45444</v>
      </c>
      <c r="G1857" s="11"/>
    </row>
    <row r="1858">
      <c r="A1858" s="5">
        <f>IFERROR(__xludf.DUMMYFUNCTION("""COMPUTED_VALUE"""),1979.0)</f>
        <v>1979</v>
      </c>
      <c r="B1858" s="9">
        <f>IFERROR(__xludf.DUMMYFUNCTION("""COMPUTED_VALUE"""),45466.74420138889)</f>
        <v>45466.7442</v>
      </c>
      <c r="C1858" s="5" t="str">
        <f>IFERROR(__xludf.DUMMYFUNCTION("""COMPUTED_VALUE"""),"purchase")</f>
        <v>purchase</v>
      </c>
      <c r="D1858" s="10">
        <f t="shared" si="1"/>
        <v>45466</v>
      </c>
      <c r="E1858" s="10">
        <f t="shared" si="2"/>
        <v>45460</v>
      </c>
      <c r="F1858" s="10">
        <f t="shared" si="3"/>
        <v>45444</v>
      </c>
      <c r="G1858" s="11"/>
    </row>
    <row r="1859">
      <c r="A1859" s="5">
        <f>IFERROR(__xludf.DUMMYFUNCTION("""COMPUTED_VALUE"""),1154.0)</f>
        <v>1154</v>
      </c>
      <c r="B1859" s="9">
        <f>IFERROR(__xludf.DUMMYFUNCTION("""COMPUTED_VALUE"""),45466.95506944445)</f>
        <v>45466.95507</v>
      </c>
      <c r="C1859" s="5" t="str">
        <f>IFERROR(__xludf.DUMMYFUNCTION("""COMPUTED_VALUE"""),"purchase")</f>
        <v>purchase</v>
      </c>
      <c r="D1859" s="10">
        <f t="shared" si="1"/>
        <v>45466</v>
      </c>
      <c r="E1859" s="10">
        <f t="shared" si="2"/>
        <v>45460</v>
      </c>
      <c r="F1859" s="10">
        <f t="shared" si="3"/>
        <v>45444</v>
      </c>
      <c r="G1859" s="11"/>
    </row>
    <row r="1860">
      <c r="A1860" s="5">
        <f>IFERROR(__xludf.DUMMYFUNCTION("""COMPUTED_VALUE"""),1193.0)</f>
        <v>1193</v>
      </c>
      <c r="B1860" s="9">
        <f>IFERROR(__xludf.DUMMYFUNCTION("""COMPUTED_VALUE"""),45466.99434027778)</f>
        <v>45466.99434</v>
      </c>
      <c r="C1860" s="5" t="str">
        <f>IFERROR(__xludf.DUMMYFUNCTION("""COMPUTED_VALUE"""),"purchase")</f>
        <v>purchase</v>
      </c>
      <c r="D1860" s="10">
        <f t="shared" si="1"/>
        <v>45466</v>
      </c>
      <c r="E1860" s="10">
        <f t="shared" si="2"/>
        <v>45460</v>
      </c>
      <c r="F1860" s="10">
        <f t="shared" si="3"/>
        <v>45444</v>
      </c>
      <c r="G1860" s="11"/>
    </row>
    <row r="1861">
      <c r="A1861" s="5">
        <f>IFERROR(__xludf.DUMMYFUNCTION("""COMPUTED_VALUE"""),4732.0)</f>
        <v>4732</v>
      </c>
      <c r="B1861" s="9">
        <f>IFERROR(__xludf.DUMMYFUNCTION("""COMPUTED_VALUE"""),45467.052407407406)</f>
        <v>45467.05241</v>
      </c>
      <c r="C1861" s="5" t="str">
        <f>IFERROR(__xludf.DUMMYFUNCTION("""COMPUTED_VALUE"""),"purchase")</f>
        <v>purchase</v>
      </c>
      <c r="D1861" s="10">
        <f t="shared" si="1"/>
        <v>45467</v>
      </c>
      <c r="E1861" s="10">
        <f t="shared" si="2"/>
        <v>45467</v>
      </c>
      <c r="F1861" s="10">
        <f t="shared" si="3"/>
        <v>45444</v>
      </c>
      <c r="G1861" s="11"/>
    </row>
    <row r="1862">
      <c r="A1862" s="5">
        <f>IFERROR(__xludf.DUMMYFUNCTION("""COMPUTED_VALUE"""),107.0)</f>
        <v>107</v>
      </c>
      <c r="B1862" s="9">
        <f>IFERROR(__xludf.DUMMYFUNCTION("""COMPUTED_VALUE"""),45467.07236111111)</f>
        <v>45467.07236</v>
      </c>
      <c r="C1862" s="5" t="str">
        <f>IFERROR(__xludf.DUMMYFUNCTION("""COMPUTED_VALUE"""),"purchase")</f>
        <v>purchase</v>
      </c>
      <c r="D1862" s="10">
        <f t="shared" si="1"/>
        <v>45467</v>
      </c>
      <c r="E1862" s="10">
        <f t="shared" si="2"/>
        <v>45467</v>
      </c>
      <c r="F1862" s="10">
        <f t="shared" si="3"/>
        <v>45444</v>
      </c>
      <c r="G1862" s="11"/>
    </row>
    <row r="1863">
      <c r="A1863" s="5">
        <f>IFERROR(__xludf.DUMMYFUNCTION("""COMPUTED_VALUE"""),3150.0)</f>
        <v>3150</v>
      </c>
      <c r="B1863" s="9">
        <f>IFERROR(__xludf.DUMMYFUNCTION("""COMPUTED_VALUE"""),45467.22892361111)</f>
        <v>45467.22892</v>
      </c>
      <c r="C1863" s="5" t="str">
        <f>IFERROR(__xludf.DUMMYFUNCTION("""COMPUTED_VALUE"""),"purchase")</f>
        <v>purchase</v>
      </c>
      <c r="D1863" s="10">
        <f t="shared" si="1"/>
        <v>45467</v>
      </c>
      <c r="E1863" s="10">
        <f t="shared" si="2"/>
        <v>45467</v>
      </c>
      <c r="F1863" s="10">
        <f t="shared" si="3"/>
        <v>45444</v>
      </c>
      <c r="G1863" s="11"/>
    </row>
    <row r="1864">
      <c r="A1864" s="5">
        <f>IFERROR(__xludf.DUMMYFUNCTION("""COMPUTED_VALUE"""),15.0)</f>
        <v>15</v>
      </c>
      <c r="B1864" s="9">
        <f>IFERROR(__xludf.DUMMYFUNCTION("""COMPUTED_VALUE"""),45467.239699074074)</f>
        <v>45467.2397</v>
      </c>
      <c r="C1864" s="5" t="str">
        <f>IFERROR(__xludf.DUMMYFUNCTION("""COMPUTED_VALUE"""),"purchase")</f>
        <v>purchase</v>
      </c>
      <c r="D1864" s="10">
        <f t="shared" si="1"/>
        <v>45467</v>
      </c>
      <c r="E1864" s="10">
        <f t="shared" si="2"/>
        <v>45467</v>
      </c>
      <c r="F1864" s="10">
        <f t="shared" si="3"/>
        <v>45444</v>
      </c>
      <c r="G1864" s="11"/>
    </row>
    <row r="1865">
      <c r="A1865" s="5">
        <f>IFERROR(__xludf.DUMMYFUNCTION("""COMPUTED_VALUE"""),4476.0)</f>
        <v>4476</v>
      </c>
      <c r="B1865" s="9">
        <f>IFERROR(__xludf.DUMMYFUNCTION("""COMPUTED_VALUE"""),45467.29974537037)</f>
        <v>45467.29975</v>
      </c>
      <c r="C1865" s="5" t="str">
        <f>IFERROR(__xludf.DUMMYFUNCTION("""COMPUTED_VALUE"""),"purchase")</f>
        <v>purchase</v>
      </c>
      <c r="D1865" s="10">
        <f t="shared" si="1"/>
        <v>45467</v>
      </c>
      <c r="E1865" s="10">
        <f t="shared" si="2"/>
        <v>45467</v>
      </c>
      <c r="F1865" s="10">
        <f t="shared" si="3"/>
        <v>45444</v>
      </c>
      <c r="G1865" s="11"/>
    </row>
    <row r="1866">
      <c r="A1866" s="5">
        <f>IFERROR(__xludf.DUMMYFUNCTION("""COMPUTED_VALUE"""),4983.0)</f>
        <v>4983</v>
      </c>
      <c r="B1866" s="9">
        <f>IFERROR(__xludf.DUMMYFUNCTION("""COMPUTED_VALUE"""),45467.60375)</f>
        <v>45467.60375</v>
      </c>
      <c r="C1866" s="5" t="str">
        <f>IFERROR(__xludf.DUMMYFUNCTION("""COMPUTED_VALUE"""),"purchase")</f>
        <v>purchase</v>
      </c>
      <c r="D1866" s="10">
        <f t="shared" si="1"/>
        <v>45467</v>
      </c>
      <c r="E1866" s="10">
        <f t="shared" si="2"/>
        <v>45467</v>
      </c>
      <c r="F1866" s="10">
        <f t="shared" si="3"/>
        <v>45444</v>
      </c>
      <c r="G1866" s="11"/>
    </row>
    <row r="1867">
      <c r="A1867" s="5">
        <f>IFERROR(__xludf.DUMMYFUNCTION("""COMPUTED_VALUE"""),6776.0)</f>
        <v>6776</v>
      </c>
      <c r="B1867" s="9">
        <f>IFERROR(__xludf.DUMMYFUNCTION("""COMPUTED_VALUE"""),45467.639027777775)</f>
        <v>45467.63903</v>
      </c>
      <c r="C1867" s="5" t="str">
        <f>IFERROR(__xludf.DUMMYFUNCTION("""COMPUTED_VALUE"""),"purchase")</f>
        <v>purchase</v>
      </c>
      <c r="D1867" s="10">
        <f t="shared" si="1"/>
        <v>45467</v>
      </c>
      <c r="E1867" s="10">
        <f t="shared" si="2"/>
        <v>45467</v>
      </c>
      <c r="F1867" s="10">
        <f t="shared" si="3"/>
        <v>45444</v>
      </c>
      <c r="G1867" s="11"/>
    </row>
    <row r="1868">
      <c r="A1868" s="5">
        <f>IFERROR(__xludf.DUMMYFUNCTION("""COMPUTED_VALUE"""),4801.0)</f>
        <v>4801</v>
      </c>
      <c r="B1868" s="9">
        <f>IFERROR(__xludf.DUMMYFUNCTION("""COMPUTED_VALUE"""),45467.756747685184)</f>
        <v>45467.75675</v>
      </c>
      <c r="C1868" s="5" t="str">
        <f>IFERROR(__xludf.DUMMYFUNCTION("""COMPUTED_VALUE"""),"purchase")</f>
        <v>purchase</v>
      </c>
      <c r="D1868" s="10">
        <f t="shared" si="1"/>
        <v>45467</v>
      </c>
      <c r="E1868" s="10">
        <f t="shared" si="2"/>
        <v>45467</v>
      </c>
      <c r="F1868" s="10">
        <f t="shared" si="3"/>
        <v>45444</v>
      </c>
      <c r="G1868" s="11"/>
    </row>
    <row r="1869">
      <c r="A1869" s="5">
        <f>IFERROR(__xludf.DUMMYFUNCTION("""COMPUTED_VALUE"""),1635.0)</f>
        <v>1635</v>
      </c>
      <c r="B1869" s="9">
        <f>IFERROR(__xludf.DUMMYFUNCTION("""COMPUTED_VALUE"""),45467.985451388886)</f>
        <v>45467.98545</v>
      </c>
      <c r="C1869" s="5" t="str">
        <f>IFERROR(__xludf.DUMMYFUNCTION("""COMPUTED_VALUE"""),"purchase")</f>
        <v>purchase</v>
      </c>
      <c r="D1869" s="10">
        <f t="shared" si="1"/>
        <v>45467</v>
      </c>
      <c r="E1869" s="10">
        <f t="shared" si="2"/>
        <v>45467</v>
      </c>
      <c r="F1869" s="10">
        <f t="shared" si="3"/>
        <v>45444</v>
      </c>
      <c r="G1869" s="11"/>
    </row>
    <row r="1870">
      <c r="A1870" s="5">
        <f>IFERROR(__xludf.DUMMYFUNCTION("""COMPUTED_VALUE"""),6441.0)</f>
        <v>6441</v>
      </c>
      <c r="B1870" s="9">
        <f>IFERROR(__xludf.DUMMYFUNCTION("""COMPUTED_VALUE"""),45468.05710648148)</f>
        <v>45468.05711</v>
      </c>
      <c r="C1870" s="5" t="str">
        <f>IFERROR(__xludf.DUMMYFUNCTION("""COMPUTED_VALUE"""),"purchase")</f>
        <v>purchase</v>
      </c>
      <c r="D1870" s="10">
        <f t="shared" si="1"/>
        <v>45468</v>
      </c>
      <c r="E1870" s="10">
        <f t="shared" si="2"/>
        <v>45467</v>
      </c>
      <c r="F1870" s="10">
        <f t="shared" si="3"/>
        <v>45444</v>
      </c>
      <c r="G1870" s="11"/>
    </row>
    <row r="1871">
      <c r="A1871" s="5">
        <f>IFERROR(__xludf.DUMMYFUNCTION("""COMPUTED_VALUE"""),653.0)</f>
        <v>653</v>
      </c>
      <c r="B1871" s="9">
        <f>IFERROR(__xludf.DUMMYFUNCTION("""COMPUTED_VALUE"""),45468.17135416667)</f>
        <v>45468.17135</v>
      </c>
      <c r="C1871" s="5" t="str">
        <f>IFERROR(__xludf.DUMMYFUNCTION("""COMPUTED_VALUE"""),"purchase")</f>
        <v>purchase</v>
      </c>
      <c r="D1871" s="10">
        <f t="shared" si="1"/>
        <v>45468</v>
      </c>
      <c r="E1871" s="10">
        <f t="shared" si="2"/>
        <v>45467</v>
      </c>
      <c r="F1871" s="10">
        <f t="shared" si="3"/>
        <v>45444</v>
      </c>
      <c r="G1871" s="11"/>
    </row>
    <row r="1872">
      <c r="A1872" s="5">
        <f>IFERROR(__xludf.DUMMYFUNCTION("""COMPUTED_VALUE"""),539.0)</f>
        <v>539</v>
      </c>
      <c r="B1872" s="9">
        <f>IFERROR(__xludf.DUMMYFUNCTION("""COMPUTED_VALUE"""),45468.19256944444)</f>
        <v>45468.19257</v>
      </c>
      <c r="C1872" s="5" t="str">
        <f>IFERROR(__xludf.DUMMYFUNCTION("""COMPUTED_VALUE"""),"purchase")</f>
        <v>purchase</v>
      </c>
      <c r="D1872" s="10">
        <f t="shared" si="1"/>
        <v>45468</v>
      </c>
      <c r="E1872" s="10">
        <f t="shared" si="2"/>
        <v>45467</v>
      </c>
      <c r="F1872" s="10">
        <f t="shared" si="3"/>
        <v>45444</v>
      </c>
      <c r="G1872" s="11"/>
    </row>
    <row r="1873">
      <c r="A1873" s="5">
        <f>IFERROR(__xludf.DUMMYFUNCTION("""COMPUTED_VALUE"""),941.0)</f>
        <v>941</v>
      </c>
      <c r="B1873" s="9">
        <f>IFERROR(__xludf.DUMMYFUNCTION("""COMPUTED_VALUE"""),45468.28561342593)</f>
        <v>45468.28561</v>
      </c>
      <c r="C1873" s="5" t="str">
        <f>IFERROR(__xludf.DUMMYFUNCTION("""COMPUTED_VALUE"""),"purchase")</f>
        <v>purchase</v>
      </c>
      <c r="D1873" s="10">
        <f t="shared" si="1"/>
        <v>45468</v>
      </c>
      <c r="E1873" s="10">
        <f t="shared" si="2"/>
        <v>45467</v>
      </c>
      <c r="F1873" s="10">
        <f t="shared" si="3"/>
        <v>45444</v>
      </c>
      <c r="G1873" s="11"/>
    </row>
    <row r="1874">
      <c r="A1874" s="5">
        <f>IFERROR(__xludf.DUMMYFUNCTION("""COMPUTED_VALUE"""),42.0)</f>
        <v>42</v>
      </c>
      <c r="B1874" s="9">
        <f>IFERROR(__xludf.DUMMYFUNCTION("""COMPUTED_VALUE"""),45468.30152777778)</f>
        <v>45468.30153</v>
      </c>
      <c r="C1874" s="5" t="str">
        <f>IFERROR(__xludf.DUMMYFUNCTION("""COMPUTED_VALUE"""),"purchase")</f>
        <v>purchase</v>
      </c>
      <c r="D1874" s="10">
        <f t="shared" si="1"/>
        <v>45468</v>
      </c>
      <c r="E1874" s="10">
        <f t="shared" si="2"/>
        <v>45467</v>
      </c>
      <c r="F1874" s="10">
        <f t="shared" si="3"/>
        <v>45444</v>
      </c>
      <c r="G1874" s="11"/>
    </row>
    <row r="1875">
      <c r="A1875" s="5">
        <f>IFERROR(__xludf.DUMMYFUNCTION("""COMPUTED_VALUE"""),5133.0)</f>
        <v>5133</v>
      </c>
      <c r="B1875" s="9">
        <f>IFERROR(__xludf.DUMMYFUNCTION("""COMPUTED_VALUE"""),45468.361921296295)</f>
        <v>45468.36192</v>
      </c>
      <c r="C1875" s="5" t="str">
        <f>IFERROR(__xludf.DUMMYFUNCTION("""COMPUTED_VALUE"""),"purchase")</f>
        <v>purchase</v>
      </c>
      <c r="D1875" s="10">
        <f t="shared" si="1"/>
        <v>45468</v>
      </c>
      <c r="E1875" s="10">
        <f t="shared" si="2"/>
        <v>45467</v>
      </c>
      <c r="F1875" s="10">
        <f t="shared" si="3"/>
        <v>45444</v>
      </c>
      <c r="G1875" s="11"/>
    </row>
    <row r="1876">
      <c r="A1876" s="5">
        <f>IFERROR(__xludf.DUMMYFUNCTION("""COMPUTED_VALUE"""),3520.0)</f>
        <v>3520</v>
      </c>
      <c r="B1876" s="9">
        <f>IFERROR(__xludf.DUMMYFUNCTION("""COMPUTED_VALUE"""),45468.48148148148)</f>
        <v>45468.48148</v>
      </c>
      <c r="C1876" s="5" t="str">
        <f>IFERROR(__xludf.DUMMYFUNCTION("""COMPUTED_VALUE"""),"purchase")</f>
        <v>purchase</v>
      </c>
      <c r="D1876" s="10">
        <f t="shared" si="1"/>
        <v>45468</v>
      </c>
      <c r="E1876" s="10">
        <f t="shared" si="2"/>
        <v>45467</v>
      </c>
      <c r="F1876" s="10">
        <f t="shared" si="3"/>
        <v>45444</v>
      </c>
      <c r="G1876" s="11"/>
    </row>
    <row r="1877">
      <c r="A1877" s="5">
        <f>IFERROR(__xludf.DUMMYFUNCTION("""COMPUTED_VALUE"""),419.0)</f>
        <v>419</v>
      </c>
      <c r="B1877" s="9">
        <f>IFERROR(__xludf.DUMMYFUNCTION("""COMPUTED_VALUE"""),45468.56474537037)</f>
        <v>45468.56475</v>
      </c>
      <c r="C1877" s="5" t="str">
        <f>IFERROR(__xludf.DUMMYFUNCTION("""COMPUTED_VALUE"""),"purchase")</f>
        <v>purchase</v>
      </c>
      <c r="D1877" s="10">
        <f t="shared" si="1"/>
        <v>45468</v>
      </c>
      <c r="E1877" s="10">
        <f t="shared" si="2"/>
        <v>45467</v>
      </c>
      <c r="F1877" s="10">
        <f t="shared" si="3"/>
        <v>45444</v>
      </c>
      <c r="G1877" s="11"/>
    </row>
    <row r="1878">
      <c r="A1878" s="5">
        <f>IFERROR(__xludf.DUMMYFUNCTION("""COMPUTED_VALUE"""),859.0)</f>
        <v>859</v>
      </c>
      <c r="B1878" s="9">
        <f>IFERROR(__xludf.DUMMYFUNCTION("""COMPUTED_VALUE"""),45468.568703703706)</f>
        <v>45468.5687</v>
      </c>
      <c r="C1878" s="5" t="str">
        <f>IFERROR(__xludf.DUMMYFUNCTION("""COMPUTED_VALUE"""),"purchase")</f>
        <v>purchase</v>
      </c>
      <c r="D1878" s="10">
        <f t="shared" si="1"/>
        <v>45468</v>
      </c>
      <c r="E1878" s="10">
        <f t="shared" si="2"/>
        <v>45467</v>
      </c>
      <c r="F1878" s="10">
        <f t="shared" si="3"/>
        <v>45444</v>
      </c>
      <c r="G1878" s="11"/>
    </row>
    <row r="1879">
      <c r="A1879" s="5">
        <f>IFERROR(__xludf.DUMMYFUNCTION("""COMPUTED_VALUE"""),7351.0)</f>
        <v>7351</v>
      </c>
      <c r="B1879" s="9">
        <f>IFERROR(__xludf.DUMMYFUNCTION("""COMPUTED_VALUE"""),45468.62447916667)</f>
        <v>45468.62448</v>
      </c>
      <c r="C1879" s="5" t="str">
        <f>IFERROR(__xludf.DUMMYFUNCTION("""COMPUTED_VALUE"""),"purchase")</f>
        <v>purchase</v>
      </c>
      <c r="D1879" s="10">
        <f t="shared" si="1"/>
        <v>45468</v>
      </c>
      <c r="E1879" s="10">
        <f t="shared" si="2"/>
        <v>45467</v>
      </c>
      <c r="F1879" s="10">
        <f t="shared" si="3"/>
        <v>45444</v>
      </c>
      <c r="G1879" s="11"/>
    </row>
    <row r="1880">
      <c r="A1880" s="5">
        <f>IFERROR(__xludf.DUMMYFUNCTION("""COMPUTED_VALUE"""),5734.0)</f>
        <v>5734</v>
      </c>
      <c r="B1880" s="9">
        <f>IFERROR(__xludf.DUMMYFUNCTION("""COMPUTED_VALUE"""),45468.63880787037)</f>
        <v>45468.63881</v>
      </c>
      <c r="C1880" s="5" t="str">
        <f>IFERROR(__xludf.DUMMYFUNCTION("""COMPUTED_VALUE"""),"purchase")</f>
        <v>purchase</v>
      </c>
      <c r="D1880" s="10">
        <f t="shared" si="1"/>
        <v>45468</v>
      </c>
      <c r="E1880" s="10">
        <f t="shared" si="2"/>
        <v>45467</v>
      </c>
      <c r="F1880" s="10">
        <f t="shared" si="3"/>
        <v>45444</v>
      </c>
      <c r="G1880" s="11"/>
    </row>
    <row r="1881">
      <c r="A1881" s="5">
        <f>IFERROR(__xludf.DUMMYFUNCTION("""COMPUTED_VALUE"""),46.0)</f>
        <v>46</v>
      </c>
      <c r="B1881" s="9">
        <f>IFERROR(__xludf.DUMMYFUNCTION("""COMPUTED_VALUE"""),45468.65244212963)</f>
        <v>45468.65244</v>
      </c>
      <c r="C1881" s="5" t="str">
        <f>IFERROR(__xludf.DUMMYFUNCTION("""COMPUTED_VALUE"""),"purchase")</f>
        <v>purchase</v>
      </c>
      <c r="D1881" s="10">
        <f t="shared" si="1"/>
        <v>45468</v>
      </c>
      <c r="E1881" s="10">
        <f t="shared" si="2"/>
        <v>45467</v>
      </c>
      <c r="F1881" s="10">
        <f t="shared" si="3"/>
        <v>45444</v>
      </c>
      <c r="G1881" s="11"/>
    </row>
    <row r="1882">
      <c r="A1882" s="5">
        <f>IFERROR(__xludf.DUMMYFUNCTION("""COMPUTED_VALUE"""),1075.0)</f>
        <v>1075</v>
      </c>
      <c r="B1882" s="9">
        <f>IFERROR(__xludf.DUMMYFUNCTION("""COMPUTED_VALUE"""),45468.70381944445)</f>
        <v>45468.70382</v>
      </c>
      <c r="C1882" s="5" t="str">
        <f>IFERROR(__xludf.DUMMYFUNCTION("""COMPUTED_VALUE"""),"purchase")</f>
        <v>purchase</v>
      </c>
      <c r="D1882" s="10">
        <f t="shared" si="1"/>
        <v>45468</v>
      </c>
      <c r="E1882" s="10">
        <f t="shared" si="2"/>
        <v>45467</v>
      </c>
      <c r="F1882" s="10">
        <f t="shared" si="3"/>
        <v>45444</v>
      </c>
      <c r="G1882" s="11"/>
    </row>
    <row r="1883">
      <c r="A1883" s="5">
        <f>IFERROR(__xludf.DUMMYFUNCTION("""COMPUTED_VALUE"""),7558.0)</f>
        <v>7558</v>
      </c>
      <c r="B1883" s="9">
        <f>IFERROR(__xludf.DUMMYFUNCTION("""COMPUTED_VALUE"""),45468.81730324074)</f>
        <v>45468.8173</v>
      </c>
      <c r="C1883" s="5" t="str">
        <f>IFERROR(__xludf.DUMMYFUNCTION("""COMPUTED_VALUE"""),"purchase")</f>
        <v>purchase</v>
      </c>
      <c r="D1883" s="10">
        <f t="shared" si="1"/>
        <v>45468</v>
      </c>
      <c r="E1883" s="10">
        <f t="shared" si="2"/>
        <v>45467</v>
      </c>
      <c r="F1883" s="10">
        <f t="shared" si="3"/>
        <v>45444</v>
      </c>
      <c r="G1883" s="11"/>
    </row>
    <row r="1884">
      <c r="A1884" s="5">
        <f>IFERROR(__xludf.DUMMYFUNCTION("""COMPUTED_VALUE"""),6754.0)</f>
        <v>6754</v>
      </c>
      <c r="B1884" s="9">
        <f>IFERROR(__xludf.DUMMYFUNCTION("""COMPUTED_VALUE"""),45468.8443287037)</f>
        <v>45468.84433</v>
      </c>
      <c r="C1884" s="5" t="str">
        <f>IFERROR(__xludf.DUMMYFUNCTION("""COMPUTED_VALUE"""),"purchase")</f>
        <v>purchase</v>
      </c>
      <c r="D1884" s="10">
        <f t="shared" si="1"/>
        <v>45468</v>
      </c>
      <c r="E1884" s="10">
        <f t="shared" si="2"/>
        <v>45467</v>
      </c>
      <c r="F1884" s="10">
        <f t="shared" si="3"/>
        <v>45444</v>
      </c>
      <c r="G1884" s="11"/>
    </row>
    <row r="1885">
      <c r="A1885" s="5">
        <f>IFERROR(__xludf.DUMMYFUNCTION("""COMPUTED_VALUE"""),7505.0)</f>
        <v>7505</v>
      </c>
      <c r="B1885" s="9">
        <f>IFERROR(__xludf.DUMMYFUNCTION("""COMPUTED_VALUE"""),45468.931608796294)</f>
        <v>45468.93161</v>
      </c>
      <c r="C1885" s="5" t="str">
        <f>IFERROR(__xludf.DUMMYFUNCTION("""COMPUTED_VALUE"""),"purchase")</f>
        <v>purchase</v>
      </c>
      <c r="D1885" s="10">
        <f t="shared" si="1"/>
        <v>45468</v>
      </c>
      <c r="E1885" s="10">
        <f t="shared" si="2"/>
        <v>45467</v>
      </c>
      <c r="F1885" s="10">
        <f t="shared" si="3"/>
        <v>45444</v>
      </c>
      <c r="G1885" s="11"/>
    </row>
    <row r="1886">
      <c r="A1886" s="5">
        <f>IFERROR(__xludf.DUMMYFUNCTION("""COMPUTED_VALUE"""),340.0)</f>
        <v>340</v>
      </c>
      <c r="B1886" s="9">
        <f>IFERROR(__xludf.DUMMYFUNCTION("""COMPUTED_VALUE"""),45468.99890046296)</f>
        <v>45468.9989</v>
      </c>
      <c r="C1886" s="5" t="str">
        <f>IFERROR(__xludf.DUMMYFUNCTION("""COMPUTED_VALUE"""),"purchase")</f>
        <v>purchase</v>
      </c>
      <c r="D1886" s="10">
        <f t="shared" si="1"/>
        <v>45468</v>
      </c>
      <c r="E1886" s="10">
        <f t="shared" si="2"/>
        <v>45467</v>
      </c>
      <c r="F1886" s="10">
        <f t="shared" si="3"/>
        <v>45444</v>
      </c>
      <c r="G1886" s="11"/>
    </row>
    <row r="1887">
      <c r="A1887" s="5">
        <f>IFERROR(__xludf.DUMMYFUNCTION("""COMPUTED_VALUE"""),4217.0)</f>
        <v>4217</v>
      </c>
      <c r="B1887" s="9">
        <f>IFERROR(__xludf.DUMMYFUNCTION("""COMPUTED_VALUE"""),45469.177766203706)</f>
        <v>45469.17777</v>
      </c>
      <c r="C1887" s="5" t="str">
        <f>IFERROR(__xludf.DUMMYFUNCTION("""COMPUTED_VALUE"""),"purchase")</f>
        <v>purchase</v>
      </c>
      <c r="D1887" s="10">
        <f t="shared" si="1"/>
        <v>45469</v>
      </c>
      <c r="E1887" s="10">
        <f t="shared" si="2"/>
        <v>45467</v>
      </c>
      <c r="F1887" s="10">
        <f t="shared" si="3"/>
        <v>45444</v>
      </c>
      <c r="G1887" s="11"/>
    </row>
    <row r="1888">
      <c r="A1888" s="5">
        <f>IFERROR(__xludf.DUMMYFUNCTION("""COMPUTED_VALUE"""),7593.0)</f>
        <v>7593</v>
      </c>
      <c r="B1888" s="9">
        <f>IFERROR(__xludf.DUMMYFUNCTION("""COMPUTED_VALUE"""),45469.24815972222)</f>
        <v>45469.24816</v>
      </c>
      <c r="C1888" s="5" t="str">
        <f>IFERROR(__xludf.DUMMYFUNCTION("""COMPUTED_VALUE"""),"purchase")</f>
        <v>purchase</v>
      </c>
      <c r="D1888" s="10">
        <f t="shared" si="1"/>
        <v>45469</v>
      </c>
      <c r="E1888" s="10">
        <f t="shared" si="2"/>
        <v>45467</v>
      </c>
      <c r="F1888" s="10">
        <f t="shared" si="3"/>
        <v>45444</v>
      </c>
      <c r="G1888" s="11"/>
    </row>
    <row r="1889">
      <c r="A1889" s="5">
        <f>IFERROR(__xludf.DUMMYFUNCTION("""COMPUTED_VALUE"""),5723.0)</f>
        <v>5723</v>
      </c>
      <c r="B1889" s="9">
        <f>IFERROR(__xludf.DUMMYFUNCTION("""COMPUTED_VALUE"""),45469.54929398148)</f>
        <v>45469.54929</v>
      </c>
      <c r="C1889" s="5" t="str">
        <f>IFERROR(__xludf.DUMMYFUNCTION("""COMPUTED_VALUE"""),"purchase")</f>
        <v>purchase</v>
      </c>
      <c r="D1889" s="10">
        <f t="shared" si="1"/>
        <v>45469</v>
      </c>
      <c r="E1889" s="10">
        <f t="shared" si="2"/>
        <v>45467</v>
      </c>
      <c r="F1889" s="10">
        <f t="shared" si="3"/>
        <v>45444</v>
      </c>
      <c r="G1889" s="11"/>
    </row>
    <row r="1890">
      <c r="A1890" s="5">
        <f>IFERROR(__xludf.DUMMYFUNCTION("""COMPUTED_VALUE"""),6661.0)</f>
        <v>6661</v>
      </c>
      <c r="B1890" s="9">
        <f>IFERROR(__xludf.DUMMYFUNCTION("""COMPUTED_VALUE"""),45469.62055555556)</f>
        <v>45469.62056</v>
      </c>
      <c r="C1890" s="5" t="str">
        <f>IFERROR(__xludf.DUMMYFUNCTION("""COMPUTED_VALUE"""),"purchase")</f>
        <v>purchase</v>
      </c>
      <c r="D1890" s="10">
        <f t="shared" si="1"/>
        <v>45469</v>
      </c>
      <c r="E1890" s="10">
        <f t="shared" si="2"/>
        <v>45467</v>
      </c>
      <c r="F1890" s="10">
        <f t="shared" si="3"/>
        <v>45444</v>
      </c>
      <c r="G1890" s="11"/>
    </row>
    <row r="1891">
      <c r="A1891" s="5">
        <f>IFERROR(__xludf.DUMMYFUNCTION("""COMPUTED_VALUE"""),4527.0)</f>
        <v>4527</v>
      </c>
      <c r="B1891" s="9">
        <f>IFERROR(__xludf.DUMMYFUNCTION("""COMPUTED_VALUE"""),45469.87900462963)</f>
        <v>45469.879</v>
      </c>
      <c r="C1891" s="5" t="str">
        <f>IFERROR(__xludf.DUMMYFUNCTION("""COMPUTED_VALUE"""),"purchase")</f>
        <v>purchase</v>
      </c>
      <c r="D1891" s="10">
        <f t="shared" si="1"/>
        <v>45469</v>
      </c>
      <c r="E1891" s="10">
        <f t="shared" si="2"/>
        <v>45467</v>
      </c>
      <c r="F1891" s="10">
        <f t="shared" si="3"/>
        <v>45444</v>
      </c>
      <c r="G1891" s="11"/>
    </row>
    <row r="1892">
      <c r="A1892" s="5">
        <f>IFERROR(__xludf.DUMMYFUNCTION("""COMPUTED_VALUE"""),2747.0)</f>
        <v>2747</v>
      </c>
      <c r="B1892" s="9">
        <f>IFERROR(__xludf.DUMMYFUNCTION("""COMPUTED_VALUE"""),45469.903125)</f>
        <v>45469.90313</v>
      </c>
      <c r="C1892" s="5" t="str">
        <f>IFERROR(__xludf.DUMMYFUNCTION("""COMPUTED_VALUE"""),"purchase")</f>
        <v>purchase</v>
      </c>
      <c r="D1892" s="10">
        <f t="shared" si="1"/>
        <v>45469</v>
      </c>
      <c r="E1892" s="10">
        <f t="shared" si="2"/>
        <v>45467</v>
      </c>
      <c r="F1892" s="10">
        <f t="shared" si="3"/>
        <v>45444</v>
      </c>
      <c r="G1892" s="11"/>
    </row>
    <row r="1893">
      <c r="A1893" s="5">
        <f>IFERROR(__xludf.DUMMYFUNCTION("""COMPUTED_VALUE"""),2252.0)</f>
        <v>2252</v>
      </c>
      <c r="B1893" s="9">
        <f>IFERROR(__xludf.DUMMYFUNCTION("""COMPUTED_VALUE"""),45469.92240740741)</f>
        <v>45469.92241</v>
      </c>
      <c r="C1893" s="5" t="str">
        <f>IFERROR(__xludf.DUMMYFUNCTION("""COMPUTED_VALUE"""),"purchase")</f>
        <v>purchase</v>
      </c>
      <c r="D1893" s="10">
        <f t="shared" si="1"/>
        <v>45469</v>
      </c>
      <c r="E1893" s="10">
        <f t="shared" si="2"/>
        <v>45467</v>
      </c>
      <c r="F1893" s="10">
        <f t="shared" si="3"/>
        <v>45444</v>
      </c>
      <c r="G1893" s="11"/>
    </row>
    <row r="1894">
      <c r="A1894" s="5">
        <f>IFERROR(__xludf.DUMMYFUNCTION("""COMPUTED_VALUE"""),4099.0)</f>
        <v>4099</v>
      </c>
      <c r="B1894" s="9">
        <f>IFERROR(__xludf.DUMMYFUNCTION("""COMPUTED_VALUE"""),45469.962534722225)</f>
        <v>45469.96253</v>
      </c>
      <c r="C1894" s="5" t="str">
        <f>IFERROR(__xludf.DUMMYFUNCTION("""COMPUTED_VALUE"""),"purchase")</f>
        <v>purchase</v>
      </c>
      <c r="D1894" s="10">
        <f t="shared" si="1"/>
        <v>45469</v>
      </c>
      <c r="E1894" s="10">
        <f t="shared" si="2"/>
        <v>45467</v>
      </c>
      <c r="F1894" s="10">
        <f t="shared" si="3"/>
        <v>45444</v>
      </c>
      <c r="G1894" s="11"/>
    </row>
    <row r="1895">
      <c r="A1895" s="5">
        <f>IFERROR(__xludf.DUMMYFUNCTION("""COMPUTED_VALUE"""),7214.0)</f>
        <v>7214</v>
      </c>
      <c r="B1895" s="9">
        <f>IFERROR(__xludf.DUMMYFUNCTION("""COMPUTED_VALUE"""),45470.35293981482)</f>
        <v>45470.35294</v>
      </c>
      <c r="C1895" s="5" t="str">
        <f>IFERROR(__xludf.DUMMYFUNCTION("""COMPUTED_VALUE"""),"purchase")</f>
        <v>purchase</v>
      </c>
      <c r="D1895" s="10">
        <f t="shared" si="1"/>
        <v>45470</v>
      </c>
      <c r="E1895" s="10">
        <f t="shared" si="2"/>
        <v>45467</v>
      </c>
      <c r="F1895" s="10">
        <f t="shared" si="3"/>
        <v>45444</v>
      </c>
      <c r="G1895" s="11"/>
    </row>
    <row r="1896">
      <c r="A1896" s="5">
        <f>IFERROR(__xludf.DUMMYFUNCTION("""COMPUTED_VALUE"""),894.0)</f>
        <v>894</v>
      </c>
      <c r="B1896" s="9">
        <f>IFERROR(__xludf.DUMMYFUNCTION("""COMPUTED_VALUE"""),45470.423738425925)</f>
        <v>45470.42374</v>
      </c>
      <c r="C1896" s="5" t="str">
        <f>IFERROR(__xludf.DUMMYFUNCTION("""COMPUTED_VALUE"""),"purchase")</f>
        <v>purchase</v>
      </c>
      <c r="D1896" s="10">
        <f t="shared" si="1"/>
        <v>45470</v>
      </c>
      <c r="E1896" s="10">
        <f t="shared" si="2"/>
        <v>45467</v>
      </c>
      <c r="F1896" s="10">
        <f t="shared" si="3"/>
        <v>45444</v>
      </c>
      <c r="G1896" s="11"/>
    </row>
    <row r="1897">
      <c r="A1897" s="5">
        <f>IFERROR(__xludf.DUMMYFUNCTION("""COMPUTED_VALUE"""),3909.0)</f>
        <v>3909</v>
      </c>
      <c r="B1897" s="9">
        <f>IFERROR(__xludf.DUMMYFUNCTION("""COMPUTED_VALUE"""),45470.47898148148)</f>
        <v>45470.47898</v>
      </c>
      <c r="C1897" s="5" t="str">
        <f>IFERROR(__xludf.DUMMYFUNCTION("""COMPUTED_VALUE"""),"purchase")</f>
        <v>purchase</v>
      </c>
      <c r="D1897" s="10">
        <f t="shared" si="1"/>
        <v>45470</v>
      </c>
      <c r="E1897" s="10">
        <f t="shared" si="2"/>
        <v>45467</v>
      </c>
      <c r="F1897" s="10">
        <f t="shared" si="3"/>
        <v>45444</v>
      </c>
      <c r="G1897" s="11"/>
    </row>
    <row r="1898">
      <c r="A1898" s="5">
        <f>IFERROR(__xludf.DUMMYFUNCTION("""COMPUTED_VALUE"""),5827.0)</f>
        <v>5827</v>
      </c>
      <c r="B1898" s="9">
        <f>IFERROR(__xludf.DUMMYFUNCTION("""COMPUTED_VALUE"""),45470.60581018519)</f>
        <v>45470.60581</v>
      </c>
      <c r="C1898" s="5" t="str">
        <f>IFERROR(__xludf.DUMMYFUNCTION("""COMPUTED_VALUE"""),"purchase")</f>
        <v>purchase</v>
      </c>
      <c r="D1898" s="10">
        <f t="shared" si="1"/>
        <v>45470</v>
      </c>
      <c r="E1898" s="10">
        <f t="shared" si="2"/>
        <v>45467</v>
      </c>
      <c r="F1898" s="10">
        <f t="shared" si="3"/>
        <v>45444</v>
      </c>
      <c r="G1898" s="11"/>
    </row>
    <row r="1899">
      <c r="A1899" s="5">
        <f>IFERROR(__xludf.DUMMYFUNCTION("""COMPUTED_VALUE"""),737.0)</f>
        <v>737</v>
      </c>
      <c r="B1899" s="9">
        <f>IFERROR(__xludf.DUMMYFUNCTION("""COMPUTED_VALUE"""),45470.693761574075)</f>
        <v>45470.69376</v>
      </c>
      <c r="C1899" s="5" t="str">
        <f>IFERROR(__xludf.DUMMYFUNCTION("""COMPUTED_VALUE"""),"purchase")</f>
        <v>purchase</v>
      </c>
      <c r="D1899" s="10">
        <f t="shared" si="1"/>
        <v>45470</v>
      </c>
      <c r="E1899" s="10">
        <f t="shared" si="2"/>
        <v>45467</v>
      </c>
      <c r="F1899" s="10">
        <f t="shared" si="3"/>
        <v>45444</v>
      </c>
      <c r="G1899" s="11"/>
    </row>
    <row r="1900">
      <c r="A1900" s="5">
        <f>IFERROR(__xludf.DUMMYFUNCTION("""COMPUTED_VALUE"""),2133.0)</f>
        <v>2133</v>
      </c>
      <c r="B1900" s="9">
        <f>IFERROR(__xludf.DUMMYFUNCTION("""COMPUTED_VALUE"""),45470.78430555556)</f>
        <v>45470.78431</v>
      </c>
      <c r="C1900" s="5" t="str">
        <f>IFERROR(__xludf.DUMMYFUNCTION("""COMPUTED_VALUE"""),"purchase")</f>
        <v>purchase</v>
      </c>
      <c r="D1900" s="10">
        <f t="shared" si="1"/>
        <v>45470</v>
      </c>
      <c r="E1900" s="10">
        <f t="shared" si="2"/>
        <v>45467</v>
      </c>
      <c r="F1900" s="10">
        <f t="shared" si="3"/>
        <v>45444</v>
      </c>
      <c r="G1900" s="11"/>
    </row>
    <row r="1901">
      <c r="A1901" s="5">
        <f>IFERROR(__xludf.DUMMYFUNCTION("""COMPUTED_VALUE"""),7529.0)</f>
        <v>7529</v>
      </c>
      <c r="B1901" s="9">
        <f>IFERROR(__xludf.DUMMYFUNCTION("""COMPUTED_VALUE"""),45470.851331018515)</f>
        <v>45470.85133</v>
      </c>
      <c r="C1901" s="5" t="str">
        <f>IFERROR(__xludf.DUMMYFUNCTION("""COMPUTED_VALUE"""),"purchase")</f>
        <v>purchase</v>
      </c>
      <c r="D1901" s="10">
        <f t="shared" si="1"/>
        <v>45470</v>
      </c>
      <c r="E1901" s="10">
        <f t="shared" si="2"/>
        <v>45467</v>
      </c>
      <c r="F1901" s="10">
        <f t="shared" si="3"/>
        <v>45444</v>
      </c>
      <c r="G1901" s="11"/>
    </row>
    <row r="1902">
      <c r="A1902" s="5">
        <f>IFERROR(__xludf.DUMMYFUNCTION("""COMPUTED_VALUE"""),6583.0)</f>
        <v>6583</v>
      </c>
      <c r="B1902" s="9">
        <f>IFERROR(__xludf.DUMMYFUNCTION("""COMPUTED_VALUE"""),45470.9474537037)</f>
        <v>45470.94745</v>
      </c>
      <c r="C1902" s="5" t="str">
        <f>IFERROR(__xludf.DUMMYFUNCTION("""COMPUTED_VALUE"""),"purchase")</f>
        <v>purchase</v>
      </c>
      <c r="D1902" s="10">
        <f t="shared" si="1"/>
        <v>45470</v>
      </c>
      <c r="E1902" s="10">
        <f t="shared" si="2"/>
        <v>45467</v>
      </c>
      <c r="F1902" s="10">
        <f t="shared" si="3"/>
        <v>45444</v>
      </c>
      <c r="G1902" s="11"/>
    </row>
    <row r="1903">
      <c r="A1903" s="5">
        <f>IFERROR(__xludf.DUMMYFUNCTION("""COMPUTED_VALUE"""),7021.0)</f>
        <v>7021</v>
      </c>
      <c r="B1903" s="9">
        <f>IFERROR(__xludf.DUMMYFUNCTION("""COMPUTED_VALUE"""),45471.23509259259)</f>
        <v>45471.23509</v>
      </c>
      <c r="C1903" s="5" t="str">
        <f>IFERROR(__xludf.DUMMYFUNCTION("""COMPUTED_VALUE"""),"purchase")</f>
        <v>purchase</v>
      </c>
      <c r="D1903" s="10">
        <f t="shared" si="1"/>
        <v>45471</v>
      </c>
      <c r="E1903" s="10">
        <f t="shared" si="2"/>
        <v>45467</v>
      </c>
      <c r="F1903" s="10">
        <f t="shared" si="3"/>
        <v>45444</v>
      </c>
      <c r="G1903" s="11"/>
    </row>
    <row r="1904">
      <c r="A1904" s="5">
        <f>IFERROR(__xludf.DUMMYFUNCTION("""COMPUTED_VALUE"""),6981.0)</f>
        <v>6981</v>
      </c>
      <c r="B1904" s="9">
        <f>IFERROR(__xludf.DUMMYFUNCTION("""COMPUTED_VALUE"""),45471.39460648148)</f>
        <v>45471.39461</v>
      </c>
      <c r="C1904" s="5" t="str">
        <f>IFERROR(__xludf.DUMMYFUNCTION("""COMPUTED_VALUE"""),"purchase")</f>
        <v>purchase</v>
      </c>
      <c r="D1904" s="10">
        <f t="shared" si="1"/>
        <v>45471</v>
      </c>
      <c r="E1904" s="10">
        <f t="shared" si="2"/>
        <v>45467</v>
      </c>
      <c r="F1904" s="10">
        <f t="shared" si="3"/>
        <v>45444</v>
      </c>
      <c r="G1904" s="11"/>
    </row>
    <row r="1905">
      <c r="A1905" s="5">
        <f>IFERROR(__xludf.DUMMYFUNCTION("""COMPUTED_VALUE"""),502.0)</f>
        <v>502</v>
      </c>
      <c r="B1905" s="9">
        <f>IFERROR(__xludf.DUMMYFUNCTION("""COMPUTED_VALUE"""),45471.555300925924)</f>
        <v>45471.5553</v>
      </c>
      <c r="C1905" s="5" t="str">
        <f>IFERROR(__xludf.DUMMYFUNCTION("""COMPUTED_VALUE"""),"purchase")</f>
        <v>purchase</v>
      </c>
      <c r="D1905" s="10">
        <f t="shared" si="1"/>
        <v>45471</v>
      </c>
      <c r="E1905" s="10">
        <f t="shared" si="2"/>
        <v>45467</v>
      </c>
      <c r="F1905" s="10">
        <f t="shared" si="3"/>
        <v>45444</v>
      </c>
      <c r="G1905" s="11"/>
    </row>
    <row r="1906">
      <c r="A1906" s="5">
        <f>IFERROR(__xludf.DUMMYFUNCTION("""COMPUTED_VALUE"""),246.0)</f>
        <v>246</v>
      </c>
      <c r="B1906" s="9">
        <f>IFERROR(__xludf.DUMMYFUNCTION("""COMPUTED_VALUE"""),45471.55899305556)</f>
        <v>45471.55899</v>
      </c>
      <c r="C1906" s="5" t="str">
        <f>IFERROR(__xludf.DUMMYFUNCTION("""COMPUTED_VALUE"""),"purchase")</f>
        <v>purchase</v>
      </c>
      <c r="D1906" s="10">
        <f t="shared" si="1"/>
        <v>45471</v>
      </c>
      <c r="E1906" s="10">
        <f t="shared" si="2"/>
        <v>45467</v>
      </c>
      <c r="F1906" s="10">
        <f t="shared" si="3"/>
        <v>45444</v>
      </c>
      <c r="G1906" s="11"/>
    </row>
    <row r="1907">
      <c r="A1907" s="5">
        <f>IFERROR(__xludf.DUMMYFUNCTION("""COMPUTED_VALUE"""),2345.0)</f>
        <v>2345</v>
      </c>
      <c r="B1907" s="9">
        <f>IFERROR(__xludf.DUMMYFUNCTION("""COMPUTED_VALUE"""),45471.693564814814)</f>
        <v>45471.69356</v>
      </c>
      <c r="C1907" s="5" t="str">
        <f>IFERROR(__xludf.DUMMYFUNCTION("""COMPUTED_VALUE"""),"purchase")</f>
        <v>purchase</v>
      </c>
      <c r="D1907" s="10">
        <f t="shared" si="1"/>
        <v>45471</v>
      </c>
      <c r="E1907" s="10">
        <f t="shared" si="2"/>
        <v>45467</v>
      </c>
      <c r="F1907" s="10">
        <f t="shared" si="3"/>
        <v>45444</v>
      </c>
      <c r="G1907" s="11"/>
    </row>
    <row r="1908">
      <c r="A1908" s="5">
        <f>IFERROR(__xludf.DUMMYFUNCTION("""COMPUTED_VALUE"""),2111.0)</f>
        <v>2111</v>
      </c>
      <c r="B1908" s="9">
        <f>IFERROR(__xludf.DUMMYFUNCTION("""COMPUTED_VALUE"""),45471.74459490741)</f>
        <v>45471.74459</v>
      </c>
      <c r="C1908" s="5" t="str">
        <f>IFERROR(__xludf.DUMMYFUNCTION("""COMPUTED_VALUE"""),"purchase")</f>
        <v>purchase</v>
      </c>
      <c r="D1908" s="10">
        <f t="shared" si="1"/>
        <v>45471</v>
      </c>
      <c r="E1908" s="10">
        <f t="shared" si="2"/>
        <v>45467</v>
      </c>
      <c r="F1908" s="10">
        <f t="shared" si="3"/>
        <v>45444</v>
      </c>
      <c r="G1908" s="11"/>
    </row>
    <row r="1909">
      <c r="A1909" s="5">
        <f>IFERROR(__xludf.DUMMYFUNCTION("""COMPUTED_VALUE"""),5754.0)</f>
        <v>5754</v>
      </c>
      <c r="B1909" s="9">
        <f>IFERROR(__xludf.DUMMYFUNCTION("""COMPUTED_VALUE"""),45471.75331018519)</f>
        <v>45471.75331</v>
      </c>
      <c r="C1909" s="5" t="str">
        <f>IFERROR(__xludf.DUMMYFUNCTION("""COMPUTED_VALUE"""),"purchase")</f>
        <v>purchase</v>
      </c>
      <c r="D1909" s="10">
        <f t="shared" si="1"/>
        <v>45471</v>
      </c>
      <c r="E1909" s="10">
        <f t="shared" si="2"/>
        <v>45467</v>
      </c>
      <c r="F1909" s="10">
        <f t="shared" si="3"/>
        <v>45444</v>
      </c>
      <c r="G1909" s="11"/>
    </row>
    <row r="1910">
      <c r="A1910" s="5">
        <f>IFERROR(__xludf.DUMMYFUNCTION("""COMPUTED_VALUE"""),4455.0)</f>
        <v>4455</v>
      </c>
      <c r="B1910" s="9">
        <f>IFERROR(__xludf.DUMMYFUNCTION("""COMPUTED_VALUE"""),45471.85076388889)</f>
        <v>45471.85076</v>
      </c>
      <c r="C1910" s="5" t="str">
        <f>IFERROR(__xludf.DUMMYFUNCTION("""COMPUTED_VALUE"""),"purchase")</f>
        <v>purchase</v>
      </c>
      <c r="D1910" s="10">
        <f t="shared" si="1"/>
        <v>45471</v>
      </c>
      <c r="E1910" s="10">
        <f t="shared" si="2"/>
        <v>45467</v>
      </c>
      <c r="F1910" s="10">
        <f t="shared" si="3"/>
        <v>45444</v>
      </c>
      <c r="G1910" s="11"/>
    </row>
    <row r="1911">
      <c r="A1911" s="5">
        <f>IFERROR(__xludf.DUMMYFUNCTION("""COMPUTED_VALUE"""),3514.0)</f>
        <v>3514</v>
      </c>
      <c r="B1911" s="9">
        <f>IFERROR(__xludf.DUMMYFUNCTION("""COMPUTED_VALUE"""),45471.86756944445)</f>
        <v>45471.86757</v>
      </c>
      <c r="C1911" s="5" t="str">
        <f>IFERROR(__xludf.DUMMYFUNCTION("""COMPUTED_VALUE"""),"purchase")</f>
        <v>purchase</v>
      </c>
      <c r="D1911" s="10">
        <f t="shared" si="1"/>
        <v>45471</v>
      </c>
      <c r="E1911" s="10">
        <f t="shared" si="2"/>
        <v>45467</v>
      </c>
      <c r="F1911" s="10">
        <f t="shared" si="3"/>
        <v>45444</v>
      </c>
      <c r="G1911" s="11"/>
    </row>
    <row r="1912">
      <c r="A1912" s="5">
        <f>IFERROR(__xludf.DUMMYFUNCTION("""COMPUTED_VALUE"""),7657.0)</f>
        <v>7657</v>
      </c>
      <c r="B1912" s="9">
        <f>IFERROR(__xludf.DUMMYFUNCTION("""COMPUTED_VALUE"""),45471.87333333334)</f>
        <v>45471.87333</v>
      </c>
      <c r="C1912" s="5" t="str">
        <f>IFERROR(__xludf.DUMMYFUNCTION("""COMPUTED_VALUE"""),"purchase")</f>
        <v>purchase</v>
      </c>
      <c r="D1912" s="10">
        <f t="shared" si="1"/>
        <v>45471</v>
      </c>
      <c r="E1912" s="10">
        <f t="shared" si="2"/>
        <v>45467</v>
      </c>
      <c r="F1912" s="10">
        <f t="shared" si="3"/>
        <v>45444</v>
      </c>
      <c r="G1912" s="11"/>
    </row>
    <row r="1913">
      <c r="A1913" s="5">
        <f>IFERROR(__xludf.DUMMYFUNCTION("""COMPUTED_VALUE"""),2923.0)</f>
        <v>2923</v>
      </c>
      <c r="B1913" s="9">
        <f>IFERROR(__xludf.DUMMYFUNCTION("""COMPUTED_VALUE"""),45471.9799537037)</f>
        <v>45471.97995</v>
      </c>
      <c r="C1913" s="5" t="str">
        <f>IFERROR(__xludf.DUMMYFUNCTION("""COMPUTED_VALUE"""),"purchase")</f>
        <v>purchase</v>
      </c>
      <c r="D1913" s="10">
        <f t="shared" si="1"/>
        <v>45471</v>
      </c>
      <c r="E1913" s="10">
        <f t="shared" si="2"/>
        <v>45467</v>
      </c>
      <c r="F1913" s="10">
        <f t="shared" si="3"/>
        <v>45444</v>
      </c>
      <c r="G1913" s="11"/>
    </row>
    <row r="1914">
      <c r="A1914" s="5">
        <f>IFERROR(__xludf.DUMMYFUNCTION("""COMPUTED_VALUE"""),3430.0)</f>
        <v>3430</v>
      </c>
      <c r="B1914" s="9">
        <f>IFERROR(__xludf.DUMMYFUNCTION("""COMPUTED_VALUE"""),45472.030486111114)</f>
        <v>45472.03049</v>
      </c>
      <c r="C1914" s="5" t="str">
        <f>IFERROR(__xludf.DUMMYFUNCTION("""COMPUTED_VALUE"""),"purchase")</f>
        <v>purchase</v>
      </c>
      <c r="D1914" s="10">
        <f t="shared" si="1"/>
        <v>45472</v>
      </c>
      <c r="E1914" s="10">
        <f t="shared" si="2"/>
        <v>45467</v>
      </c>
      <c r="F1914" s="10">
        <f t="shared" si="3"/>
        <v>45444</v>
      </c>
      <c r="G1914" s="11"/>
    </row>
    <row r="1915">
      <c r="A1915" s="5">
        <f>IFERROR(__xludf.DUMMYFUNCTION("""COMPUTED_VALUE"""),4329.0)</f>
        <v>4329</v>
      </c>
      <c r="B1915" s="9">
        <f>IFERROR(__xludf.DUMMYFUNCTION("""COMPUTED_VALUE"""),45472.155324074076)</f>
        <v>45472.15532</v>
      </c>
      <c r="C1915" s="5" t="str">
        <f>IFERROR(__xludf.DUMMYFUNCTION("""COMPUTED_VALUE"""),"purchase")</f>
        <v>purchase</v>
      </c>
      <c r="D1915" s="10">
        <f t="shared" si="1"/>
        <v>45472</v>
      </c>
      <c r="E1915" s="10">
        <f t="shared" si="2"/>
        <v>45467</v>
      </c>
      <c r="F1915" s="10">
        <f t="shared" si="3"/>
        <v>45444</v>
      </c>
      <c r="G1915" s="11"/>
    </row>
    <row r="1916">
      <c r="A1916" s="5">
        <f>IFERROR(__xludf.DUMMYFUNCTION("""COMPUTED_VALUE"""),3333.0)</f>
        <v>3333</v>
      </c>
      <c r="B1916" s="9">
        <f>IFERROR(__xludf.DUMMYFUNCTION("""COMPUTED_VALUE"""),45472.20630787037)</f>
        <v>45472.20631</v>
      </c>
      <c r="C1916" s="5" t="str">
        <f>IFERROR(__xludf.DUMMYFUNCTION("""COMPUTED_VALUE"""),"purchase")</f>
        <v>purchase</v>
      </c>
      <c r="D1916" s="10">
        <f t="shared" si="1"/>
        <v>45472</v>
      </c>
      <c r="E1916" s="10">
        <f t="shared" si="2"/>
        <v>45467</v>
      </c>
      <c r="F1916" s="10">
        <f t="shared" si="3"/>
        <v>45444</v>
      </c>
      <c r="G1916" s="11"/>
    </row>
    <row r="1917">
      <c r="A1917" s="5">
        <f>IFERROR(__xludf.DUMMYFUNCTION("""COMPUTED_VALUE"""),1562.0)</f>
        <v>1562</v>
      </c>
      <c r="B1917" s="9">
        <f>IFERROR(__xludf.DUMMYFUNCTION("""COMPUTED_VALUE"""),45472.214108796295)</f>
        <v>45472.21411</v>
      </c>
      <c r="C1917" s="5" t="str">
        <f>IFERROR(__xludf.DUMMYFUNCTION("""COMPUTED_VALUE"""),"purchase")</f>
        <v>purchase</v>
      </c>
      <c r="D1917" s="10">
        <f t="shared" si="1"/>
        <v>45472</v>
      </c>
      <c r="E1917" s="10">
        <f t="shared" si="2"/>
        <v>45467</v>
      </c>
      <c r="F1917" s="10">
        <f t="shared" si="3"/>
        <v>45444</v>
      </c>
      <c r="G1917" s="11"/>
    </row>
    <row r="1918">
      <c r="A1918" s="5">
        <f>IFERROR(__xludf.DUMMYFUNCTION("""COMPUTED_VALUE"""),3211.0)</f>
        <v>3211</v>
      </c>
      <c r="B1918" s="9">
        <f>IFERROR(__xludf.DUMMYFUNCTION("""COMPUTED_VALUE"""),45472.23608796296)</f>
        <v>45472.23609</v>
      </c>
      <c r="C1918" s="5" t="str">
        <f>IFERROR(__xludf.DUMMYFUNCTION("""COMPUTED_VALUE"""),"purchase")</f>
        <v>purchase</v>
      </c>
      <c r="D1918" s="10">
        <f t="shared" si="1"/>
        <v>45472</v>
      </c>
      <c r="E1918" s="10">
        <f t="shared" si="2"/>
        <v>45467</v>
      </c>
      <c r="F1918" s="10">
        <f t="shared" si="3"/>
        <v>45444</v>
      </c>
      <c r="G1918" s="11"/>
    </row>
    <row r="1919">
      <c r="A1919" s="5">
        <f>IFERROR(__xludf.DUMMYFUNCTION("""COMPUTED_VALUE"""),549.0)</f>
        <v>549</v>
      </c>
      <c r="B1919" s="9">
        <f>IFERROR(__xludf.DUMMYFUNCTION("""COMPUTED_VALUE"""),45472.2387962963)</f>
        <v>45472.2388</v>
      </c>
      <c r="C1919" s="5" t="str">
        <f>IFERROR(__xludf.DUMMYFUNCTION("""COMPUTED_VALUE"""),"purchase")</f>
        <v>purchase</v>
      </c>
      <c r="D1919" s="10">
        <f t="shared" si="1"/>
        <v>45472</v>
      </c>
      <c r="E1919" s="10">
        <f t="shared" si="2"/>
        <v>45467</v>
      </c>
      <c r="F1919" s="10">
        <f t="shared" si="3"/>
        <v>45444</v>
      </c>
      <c r="G1919" s="11"/>
    </row>
    <row r="1920">
      <c r="A1920" s="5">
        <f>IFERROR(__xludf.DUMMYFUNCTION("""COMPUTED_VALUE"""),5993.0)</f>
        <v>5993</v>
      </c>
      <c r="B1920" s="9">
        <f>IFERROR(__xludf.DUMMYFUNCTION("""COMPUTED_VALUE"""),45472.24728009259)</f>
        <v>45472.24728</v>
      </c>
      <c r="C1920" s="5" t="str">
        <f>IFERROR(__xludf.DUMMYFUNCTION("""COMPUTED_VALUE"""),"purchase")</f>
        <v>purchase</v>
      </c>
      <c r="D1920" s="10">
        <f t="shared" si="1"/>
        <v>45472</v>
      </c>
      <c r="E1920" s="10">
        <f t="shared" si="2"/>
        <v>45467</v>
      </c>
      <c r="F1920" s="10">
        <f t="shared" si="3"/>
        <v>45444</v>
      </c>
      <c r="G1920" s="11"/>
    </row>
    <row r="1921">
      <c r="A1921" s="5">
        <f>IFERROR(__xludf.DUMMYFUNCTION("""COMPUTED_VALUE"""),1445.0)</f>
        <v>1445</v>
      </c>
      <c r="B1921" s="9">
        <f>IFERROR(__xludf.DUMMYFUNCTION("""COMPUTED_VALUE"""),45472.25262731482)</f>
        <v>45472.25263</v>
      </c>
      <c r="C1921" s="5" t="str">
        <f>IFERROR(__xludf.DUMMYFUNCTION("""COMPUTED_VALUE"""),"purchase")</f>
        <v>purchase</v>
      </c>
      <c r="D1921" s="10">
        <f t="shared" si="1"/>
        <v>45472</v>
      </c>
      <c r="E1921" s="10">
        <f t="shared" si="2"/>
        <v>45467</v>
      </c>
      <c r="F1921" s="10">
        <f t="shared" si="3"/>
        <v>45444</v>
      </c>
      <c r="G1921" s="11"/>
    </row>
    <row r="1922">
      <c r="A1922" s="5">
        <f>IFERROR(__xludf.DUMMYFUNCTION("""COMPUTED_VALUE"""),7836.0)</f>
        <v>7836</v>
      </c>
      <c r="B1922" s="9">
        <f>IFERROR(__xludf.DUMMYFUNCTION("""COMPUTED_VALUE"""),45472.26880787037)</f>
        <v>45472.26881</v>
      </c>
      <c r="C1922" s="5" t="str">
        <f>IFERROR(__xludf.DUMMYFUNCTION("""COMPUTED_VALUE"""),"purchase")</f>
        <v>purchase</v>
      </c>
      <c r="D1922" s="10">
        <f t="shared" si="1"/>
        <v>45472</v>
      </c>
      <c r="E1922" s="10">
        <f t="shared" si="2"/>
        <v>45467</v>
      </c>
      <c r="F1922" s="10">
        <f t="shared" si="3"/>
        <v>45444</v>
      </c>
      <c r="G1922" s="11"/>
    </row>
    <row r="1923">
      <c r="A1923" s="5">
        <f>IFERROR(__xludf.DUMMYFUNCTION("""COMPUTED_VALUE"""),7384.0)</f>
        <v>7384</v>
      </c>
      <c r="B1923" s="9">
        <f>IFERROR(__xludf.DUMMYFUNCTION("""COMPUTED_VALUE"""),45472.42009259259)</f>
        <v>45472.42009</v>
      </c>
      <c r="C1923" s="5" t="str">
        <f>IFERROR(__xludf.DUMMYFUNCTION("""COMPUTED_VALUE"""),"purchase")</f>
        <v>purchase</v>
      </c>
      <c r="D1923" s="10">
        <f t="shared" si="1"/>
        <v>45472</v>
      </c>
      <c r="E1923" s="10">
        <f t="shared" si="2"/>
        <v>45467</v>
      </c>
      <c r="F1923" s="10">
        <f t="shared" si="3"/>
        <v>45444</v>
      </c>
      <c r="G1923" s="11"/>
    </row>
    <row r="1924">
      <c r="A1924" s="5">
        <f>IFERROR(__xludf.DUMMYFUNCTION("""COMPUTED_VALUE"""),1439.0)</f>
        <v>1439</v>
      </c>
      <c r="B1924" s="9">
        <f>IFERROR(__xludf.DUMMYFUNCTION("""COMPUTED_VALUE"""),45472.60318287037)</f>
        <v>45472.60318</v>
      </c>
      <c r="C1924" s="5" t="str">
        <f>IFERROR(__xludf.DUMMYFUNCTION("""COMPUTED_VALUE"""),"purchase")</f>
        <v>purchase</v>
      </c>
      <c r="D1924" s="10">
        <f t="shared" si="1"/>
        <v>45472</v>
      </c>
      <c r="E1924" s="10">
        <f t="shared" si="2"/>
        <v>45467</v>
      </c>
      <c r="F1924" s="10">
        <f t="shared" si="3"/>
        <v>45444</v>
      </c>
      <c r="G1924" s="11"/>
    </row>
    <row r="1925">
      <c r="A1925" s="5">
        <f>IFERROR(__xludf.DUMMYFUNCTION("""COMPUTED_VALUE"""),1181.0)</f>
        <v>1181</v>
      </c>
      <c r="B1925" s="9">
        <f>IFERROR(__xludf.DUMMYFUNCTION("""COMPUTED_VALUE"""),45472.64224537037)</f>
        <v>45472.64225</v>
      </c>
      <c r="C1925" s="5" t="str">
        <f>IFERROR(__xludf.DUMMYFUNCTION("""COMPUTED_VALUE"""),"purchase")</f>
        <v>purchase</v>
      </c>
      <c r="D1925" s="10">
        <f t="shared" si="1"/>
        <v>45472</v>
      </c>
      <c r="E1925" s="10">
        <f t="shared" si="2"/>
        <v>45467</v>
      </c>
      <c r="F1925" s="10">
        <f t="shared" si="3"/>
        <v>45444</v>
      </c>
      <c r="G1925" s="11"/>
    </row>
    <row r="1926">
      <c r="A1926" s="5">
        <f>IFERROR(__xludf.DUMMYFUNCTION("""COMPUTED_VALUE"""),426.0)</f>
        <v>426</v>
      </c>
      <c r="B1926" s="9">
        <f>IFERROR(__xludf.DUMMYFUNCTION("""COMPUTED_VALUE"""),45473.078888888886)</f>
        <v>45473.07889</v>
      </c>
      <c r="C1926" s="5" t="str">
        <f>IFERROR(__xludf.DUMMYFUNCTION("""COMPUTED_VALUE"""),"purchase")</f>
        <v>purchase</v>
      </c>
      <c r="D1926" s="10">
        <f t="shared" si="1"/>
        <v>45473</v>
      </c>
      <c r="E1926" s="10">
        <f t="shared" si="2"/>
        <v>45467</v>
      </c>
      <c r="F1926" s="10">
        <f t="shared" si="3"/>
        <v>45444</v>
      </c>
      <c r="G1926" s="11"/>
    </row>
    <row r="1927">
      <c r="A1927" s="5">
        <f>IFERROR(__xludf.DUMMYFUNCTION("""COMPUTED_VALUE"""),6638.0)</f>
        <v>6638</v>
      </c>
      <c r="B1927" s="9">
        <f>IFERROR(__xludf.DUMMYFUNCTION("""COMPUTED_VALUE"""),45473.3596412037)</f>
        <v>45473.35964</v>
      </c>
      <c r="C1927" s="5" t="str">
        <f>IFERROR(__xludf.DUMMYFUNCTION("""COMPUTED_VALUE"""),"purchase")</f>
        <v>purchase</v>
      </c>
      <c r="D1927" s="10">
        <f t="shared" si="1"/>
        <v>45473</v>
      </c>
      <c r="E1927" s="10">
        <f t="shared" si="2"/>
        <v>45467</v>
      </c>
      <c r="F1927" s="10">
        <f t="shared" si="3"/>
        <v>45444</v>
      </c>
      <c r="G1927" s="11"/>
    </row>
    <row r="1928">
      <c r="A1928" s="5">
        <f>IFERROR(__xludf.DUMMYFUNCTION("""COMPUTED_VALUE"""),1941.0)</f>
        <v>1941</v>
      </c>
      <c r="B1928" s="9">
        <f>IFERROR(__xludf.DUMMYFUNCTION("""COMPUTED_VALUE"""),45473.53737268518)</f>
        <v>45473.53737</v>
      </c>
      <c r="C1928" s="5" t="str">
        <f>IFERROR(__xludf.DUMMYFUNCTION("""COMPUTED_VALUE"""),"purchase")</f>
        <v>purchase</v>
      </c>
      <c r="D1928" s="10">
        <f t="shared" si="1"/>
        <v>45473</v>
      </c>
      <c r="E1928" s="10">
        <f t="shared" si="2"/>
        <v>45467</v>
      </c>
      <c r="F1928" s="10">
        <f t="shared" si="3"/>
        <v>45444</v>
      </c>
      <c r="G1928" s="11"/>
    </row>
    <row r="1929">
      <c r="A1929" s="5">
        <f>IFERROR(__xludf.DUMMYFUNCTION("""COMPUTED_VALUE"""),409.0)</f>
        <v>409</v>
      </c>
      <c r="B1929" s="9">
        <f>IFERROR(__xludf.DUMMYFUNCTION("""COMPUTED_VALUE"""),45473.60928240741)</f>
        <v>45473.60928</v>
      </c>
      <c r="C1929" s="5" t="str">
        <f>IFERROR(__xludf.DUMMYFUNCTION("""COMPUTED_VALUE"""),"purchase")</f>
        <v>purchase</v>
      </c>
      <c r="D1929" s="10">
        <f t="shared" si="1"/>
        <v>45473</v>
      </c>
      <c r="E1929" s="10">
        <f t="shared" si="2"/>
        <v>45467</v>
      </c>
      <c r="F1929" s="10">
        <f t="shared" si="3"/>
        <v>45444</v>
      </c>
      <c r="G1929" s="11"/>
    </row>
    <row r="1930">
      <c r="A1930" s="5">
        <f>IFERROR(__xludf.DUMMYFUNCTION("""COMPUTED_VALUE"""),6813.0)</f>
        <v>6813</v>
      </c>
      <c r="B1930" s="9">
        <f>IFERROR(__xludf.DUMMYFUNCTION("""COMPUTED_VALUE"""),45473.66138888889)</f>
        <v>45473.66139</v>
      </c>
      <c r="C1930" s="5" t="str">
        <f>IFERROR(__xludf.DUMMYFUNCTION("""COMPUTED_VALUE"""),"purchase")</f>
        <v>purchase</v>
      </c>
      <c r="D1930" s="10">
        <f t="shared" si="1"/>
        <v>45473</v>
      </c>
      <c r="E1930" s="10">
        <f t="shared" si="2"/>
        <v>45467</v>
      </c>
      <c r="F1930" s="10">
        <f t="shared" si="3"/>
        <v>45444</v>
      </c>
      <c r="G1930" s="11"/>
    </row>
    <row r="1931">
      <c r="A1931" s="5">
        <f>IFERROR(__xludf.DUMMYFUNCTION("""COMPUTED_VALUE"""),1371.0)</f>
        <v>1371</v>
      </c>
      <c r="B1931" s="9">
        <f>IFERROR(__xludf.DUMMYFUNCTION("""COMPUTED_VALUE"""),45473.99784722222)</f>
        <v>45473.99785</v>
      </c>
      <c r="C1931" s="5" t="str">
        <f>IFERROR(__xludf.DUMMYFUNCTION("""COMPUTED_VALUE"""),"purchase")</f>
        <v>purchase</v>
      </c>
      <c r="D1931" s="10">
        <f t="shared" si="1"/>
        <v>45473</v>
      </c>
      <c r="E1931" s="10">
        <f t="shared" si="2"/>
        <v>45467</v>
      </c>
      <c r="F1931" s="10">
        <f t="shared" si="3"/>
        <v>45444</v>
      </c>
      <c r="G1931" s="11"/>
    </row>
    <row r="1932">
      <c r="A1932" s="5">
        <f>IFERROR(__xludf.DUMMYFUNCTION("""COMPUTED_VALUE"""),1719.0)</f>
        <v>1719</v>
      </c>
      <c r="B1932" s="9">
        <f>IFERROR(__xludf.DUMMYFUNCTION("""COMPUTED_VALUE"""),45474.049479166664)</f>
        <v>45474.04948</v>
      </c>
      <c r="C1932" s="5" t="str">
        <f>IFERROR(__xludf.DUMMYFUNCTION("""COMPUTED_VALUE"""),"purchase")</f>
        <v>purchase</v>
      </c>
      <c r="D1932" s="10">
        <f t="shared" si="1"/>
        <v>45474</v>
      </c>
      <c r="E1932" s="10">
        <f t="shared" si="2"/>
        <v>45474</v>
      </c>
      <c r="F1932" s="10">
        <f t="shared" si="3"/>
        <v>45474</v>
      </c>
      <c r="G1932" s="11"/>
    </row>
    <row r="1933">
      <c r="A1933" s="5">
        <f>IFERROR(__xludf.DUMMYFUNCTION("""COMPUTED_VALUE"""),3263.0)</f>
        <v>3263</v>
      </c>
      <c r="B1933" s="9">
        <f>IFERROR(__xludf.DUMMYFUNCTION("""COMPUTED_VALUE"""),45474.278657407405)</f>
        <v>45474.27866</v>
      </c>
      <c r="C1933" s="5" t="str">
        <f>IFERROR(__xludf.DUMMYFUNCTION("""COMPUTED_VALUE"""),"purchase")</f>
        <v>purchase</v>
      </c>
      <c r="D1933" s="10">
        <f t="shared" si="1"/>
        <v>45474</v>
      </c>
      <c r="E1933" s="10">
        <f t="shared" si="2"/>
        <v>45474</v>
      </c>
      <c r="F1933" s="10">
        <f t="shared" si="3"/>
        <v>45474</v>
      </c>
      <c r="G1933" s="11"/>
    </row>
    <row r="1934">
      <c r="A1934" s="5">
        <f>IFERROR(__xludf.DUMMYFUNCTION("""COMPUTED_VALUE"""),1220.0)</f>
        <v>1220</v>
      </c>
      <c r="B1934" s="9">
        <f>IFERROR(__xludf.DUMMYFUNCTION("""COMPUTED_VALUE"""),45474.309479166666)</f>
        <v>45474.30948</v>
      </c>
      <c r="C1934" s="5" t="str">
        <f>IFERROR(__xludf.DUMMYFUNCTION("""COMPUTED_VALUE"""),"purchase")</f>
        <v>purchase</v>
      </c>
      <c r="D1934" s="10">
        <f t="shared" si="1"/>
        <v>45474</v>
      </c>
      <c r="E1934" s="10">
        <f t="shared" si="2"/>
        <v>45474</v>
      </c>
      <c r="F1934" s="10">
        <f t="shared" si="3"/>
        <v>45474</v>
      </c>
      <c r="G1934" s="11"/>
    </row>
    <row r="1935">
      <c r="A1935" s="5">
        <f>IFERROR(__xludf.DUMMYFUNCTION("""COMPUTED_VALUE"""),2192.0)</f>
        <v>2192</v>
      </c>
      <c r="B1935" s="9">
        <f>IFERROR(__xludf.DUMMYFUNCTION("""COMPUTED_VALUE"""),45474.360300925924)</f>
        <v>45474.3603</v>
      </c>
      <c r="C1935" s="5" t="str">
        <f>IFERROR(__xludf.DUMMYFUNCTION("""COMPUTED_VALUE"""),"purchase")</f>
        <v>purchase</v>
      </c>
      <c r="D1935" s="10">
        <f t="shared" si="1"/>
        <v>45474</v>
      </c>
      <c r="E1935" s="10">
        <f t="shared" si="2"/>
        <v>45474</v>
      </c>
      <c r="F1935" s="10">
        <f t="shared" si="3"/>
        <v>45474</v>
      </c>
      <c r="G1935" s="11"/>
    </row>
    <row r="1936">
      <c r="A1936" s="5">
        <f>IFERROR(__xludf.DUMMYFUNCTION("""COMPUTED_VALUE"""),7711.0)</f>
        <v>7711</v>
      </c>
      <c r="B1936" s="9">
        <f>IFERROR(__xludf.DUMMYFUNCTION("""COMPUTED_VALUE"""),45474.44357638889)</f>
        <v>45474.44358</v>
      </c>
      <c r="C1936" s="5" t="str">
        <f>IFERROR(__xludf.DUMMYFUNCTION("""COMPUTED_VALUE"""),"purchase")</f>
        <v>purchase</v>
      </c>
      <c r="D1936" s="10">
        <f t="shared" si="1"/>
        <v>45474</v>
      </c>
      <c r="E1936" s="10">
        <f t="shared" si="2"/>
        <v>45474</v>
      </c>
      <c r="F1936" s="10">
        <f t="shared" si="3"/>
        <v>45474</v>
      </c>
      <c r="G1936" s="11"/>
    </row>
    <row r="1937">
      <c r="A1937" s="5">
        <f>IFERROR(__xludf.DUMMYFUNCTION("""COMPUTED_VALUE"""),4672.0)</f>
        <v>4672</v>
      </c>
      <c r="B1937" s="9">
        <f>IFERROR(__xludf.DUMMYFUNCTION("""COMPUTED_VALUE"""),45474.455046296294)</f>
        <v>45474.45505</v>
      </c>
      <c r="C1937" s="5" t="str">
        <f>IFERROR(__xludf.DUMMYFUNCTION("""COMPUTED_VALUE"""),"purchase")</f>
        <v>purchase</v>
      </c>
      <c r="D1937" s="10">
        <f t="shared" si="1"/>
        <v>45474</v>
      </c>
      <c r="E1937" s="10">
        <f t="shared" si="2"/>
        <v>45474</v>
      </c>
      <c r="F1937" s="10">
        <f t="shared" si="3"/>
        <v>45474</v>
      </c>
      <c r="G1937" s="11"/>
    </row>
    <row r="1938">
      <c r="A1938" s="5">
        <f>IFERROR(__xludf.DUMMYFUNCTION("""COMPUTED_VALUE"""),1159.0)</f>
        <v>1159</v>
      </c>
      <c r="B1938" s="9">
        <f>IFERROR(__xludf.DUMMYFUNCTION("""COMPUTED_VALUE"""),45474.518217592595)</f>
        <v>45474.51822</v>
      </c>
      <c r="C1938" s="5" t="str">
        <f>IFERROR(__xludf.DUMMYFUNCTION("""COMPUTED_VALUE"""),"purchase")</f>
        <v>purchase</v>
      </c>
      <c r="D1938" s="10">
        <f t="shared" si="1"/>
        <v>45474</v>
      </c>
      <c r="E1938" s="10">
        <f t="shared" si="2"/>
        <v>45474</v>
      </c>
      <c r="F1938" s="10">
        <f t="shared" si="3"/>
        <v>45474</v>
      </c>
      <c r="G1938" s="11"/>
    </row>
    <row r="1939">
      <c r="A1939" s="5">
        <f>IFERROR(__xludf.DUMMYFUNCTION("""COMPUTED_VALUE"""),3916.0)</f>
        <v>3916</v>
      </c>
      <c r="B1939" s="9">
        <f>IFERROR(__xludf.DUMMYFUNCTION("""COMPUTED_VALUE"""),45474.637395833335)</f>
        <v>45474.6374</v>
      </c>
      <c r="C1939" s="5" t="str">
        <f>IFERROR(__xludf.DUMMYFUNCTION("""COMPUTED_VALUE"""),"purchase")</f>
        <v>purchase</v>
      </c>
      <c r="D1939" s="10">
        <f t="shared" si="1"/>
        <v>45474</v>
      </c>
      <c r="E1939" s="10">
        <f t="shared" si="2"/>
        <v>45474</v>
      </c>
      <c r="F1939" s="10">
        <f t="shared" si="3"/>
        <v>45474</v>
      </c>
      <c r="G1939" s="11"/>
    </row>
    <row r="1940">
      <c r="A1940" s="5">
        <f>IFERROR(__xludf.DUMMYFUNCTION("""COMPUTED_VALUE"""),1594.0)</f>
        <v>1594</v>
      </c>
      <c r="B1940" s="9">
        <f>IFERROR(__xludf.DUMMYFUNCTION("""COMPUTED_VALUE"""),45474.662407407406)</f>
        <v>45474.66241</v>
      </c>
      <c r="C1940" s="5" t="str">
        <f>IFERROR(__xludf.DUMMYFUNCTION("""COMPUTED_VALUE"""),"purchase")</f>
        <v>purchase</v>
      </c>
      <c r="D1940" s="10">
        <f t="shared" si="1"/>
        <v>45474</v>
      </c>
      <c r="E1940" s="10">
        <f t="shared" si="2"/>
        <v>45474</v>
      </c>
      <c r="F1940" s="10">
        <f t="shared" si="3"/>
        <v>45474</v>
      </c>
      <c r="G1940" s="11"/>
    </row>
    <row r="1941">
      <c r="A1941" s="5">
        <f>IFERROR(__xludf.DUMMYFUNCTION("""COMPUTED_VALUE"""),6853.0)</f>
        <v>6853</v>
      </c>
      <c r="B1941" s="9">
        <f>IFERROR(__xludf.DUMMYFUNCTION("""COMPUTED_VALUE"""),45474.751979166664)</f>
        <v>45474.75198</v>
      </c>
      <c r="C1941" s="5" t="str">
        <f>IFERROR(__xludf.DUMMYFUNCTION("""COMPUTED_VALUE"""),"purchase")</f>
        <v>purchase</v>
      </c>
      <c r="D1941" s="10">
        <f t="shared" si="1"/>
        <v>45474</v>
      </c>
      <c r="E1941" s="10">
        <f t="shared" si="2"/>
        <v>45474</v>
      </c>
      <c r="F1941" s="10">
        <f t="shared" si="3"/>
        <v>45474</v>
      </c>
      <c r="G1941" s="11"/>
    </row>
    <row r="1942">
      <c r="A1942" s="5">
        <f>IFERROR(__xludf.DUMMYFUNCTION("""COMPUTED_VALUE"""),7417.0)</f>
        <v>7417</v>
      </c>
      <c r="B1942" s="9">
        <f>IFERROR(__xludf.DUMMYFUNCTION("""COMPUTED_VALUE"""),45474.79210648148)</f>
        <v>45474.79211</v>
      </c>
      <c r="C1942" s="5" t="str">
        <f>IFERROR(__xludf.DUMMYFUNCTION("""COMPUTED_VALUE"""),"purchase")</f>
        <v>purchase</v>
      </c>
      <c r="D1942" s="10">
        <f t="shared" si="1"/>
        <v>45474</v>
      </c>
      <c r="E1942" s="10">
        <f t="shared" si="2"/>
        <v>45474</v>
      </c>
      <c r="F1942" s="10">
        <f t="shared" si="3"/>
        <v>45474</v>
      </c>
      <c r="G1942" s="11"/>
    </row>
    <row r="1943">
      <c r="A1943" s="5">
        <f>IFERROR(__xludf.DUMMYFUNCTION("""COMPUTED_VALUE"""),5235.0)</f>
        <v>5235</v>
      </c>
      <c r="B1943" s="9">
        <f>IFERROR(__xludf.DUMMYFUNCTION("""COMPUTED_VALUE"""),45474.83863425926)</f>
        <v>45474.83863</v>
      </c>
      <c r="C1943" s="5" t="str">
        <f>IFERROR(__xludf.DUMMYFUNCTION("""COMPUTED_VALUE"""),"purchase")</f>
        <v>purchase</v>
      </c>
      <c r="D1943" s="10">
        <f t="shared" si="1"/>
        <v>45474</v>
      </c>
      <c r="E1943" s="10">
        <f t="shared" si="2"/>
        <v>45474</v>
      </c>
      <c r="F1943" s="10">
        <f t="shared" si="3"/>
        <v>45474</v>
      </c>
      <c r="G1943" s="11"/>
    </row>
    <row r="1944">
      <c r="A1944" s="5">
        <f>IFERROR(__xludf.DUMMYFUNCTION("""COMPUTED_VALUE"""),4467.0)</f>
        <v>4467</v>
      </c>
      <c r="B1944" s="9">
        <f>IFERROR(__xludf.DUMMYFUNCTION("""COMPUTED_VALUE"""),45474.83951388889)</f>
        <v>45474.83951</v>
      </c>
      <c r="C1944" s="5" t="str">
        <f>IFERROR(__xludf.DUMMYFUNCTION("""COMPUTED_VALUE"""),"purchase")</f>
        <v>purchase</v>
      </c>
      <c r="D1944" s="10">
        <f t="shared" si="1"/>
        <v>45474</v>
      </c>
      <c r="E1944" s="10">
        <f t="shared" si="2"/>
        <v>45474</v>
      </c>
      <c r="F1944" s="10">
        <f t="shared" si="3"/>
        <v>45474</v>
      </c>
      <c r="G1944" s="11"/>
    </row>
    <row r="1945">
      <c r="A1945" s="5">
        <f>IFERROR(__xludf.DUMMYFUNCTION("""COMPUTED_VALUE"""),7692.0)</f>
        <v>7692</v>
      </c>
      <c r="B1945" s="9">
        <f>IFERROR(__xludf.DUMMYFUNCTION("""COMPUTED_VALUE"""),45474.89268518519)</f>
        <v>45474.89269</v>
      </c>
      <c r="C1945" s="5" t="str">
        <f>IFERROR(__xludf.DUMMYFUNCTION("""COMPUTED_VALUE"""),"purchase")</f>
        <v>purchase</v>
      </c>
      <c r="D1945" s="10">
        <f t="shared" si="1"/>
        <v>45474</v>
      </c>
      <c r="E1945" s="10">
        <f t="shared" si="2"/>
        <v>45474</v>
      </c>
      <c r="F1945" s="10">
        <f t="shared" si="3"/>
        <v>45474</v>
      </c>
      <c r="G1945" s="11"/>
    </row>
    <row r="1946">
      <c r="A1946" s="5">
        <f>IFERROR(__xludf.DUMMYFUNCTION("""COMPUTED_VALUE"""),2885.0)</f>
        <v>2885</v>
      </c>
      <c r="B1946" s="9">
        <f>IFERROR(__xludf.DUMMYFUNCTION("""COMPUTED_VALUE"""),45474.90020833333)</f>
        <v>45474.90021</v>
      </c>
      <c r="C1946" s="5" t="str">
        <f>IFERROR(__xludf.DUMMYFUNCTION("""COMPUTED_VALUE"""),"purchase")</f>
        <v>purchase</v>
      </c>
      <c r="D1946" s="10">
        <f t="shared" si="1"/>
        <v>45474</v>
      </c>
      <c r="E1946" s="10">
        <f t="shared" si="2"/>
        <v>45474</v>
      </c>
      <c r="F1946" s="10">
        <f t="shared" si="3"/>
        <v>45474</v>
      </c>
      <c r="G1946" s="11"/>
    </row>
    <row r="1947">
      <c r="A1947" s="5">
        <f>IFERROR(__xludf.DUMMYFUNCTION("""COMPUTED_VALUE"""),1198.0)</f>
        <v>1198</v>
      </c>
      <c r="B1947" s="9">
        <f>IFERROR(__xludf.DUMMYFUNCTION("""COMPUTED_VALUE"""),45474.98684027778)</f>
        <v>45474.98684</v>
      </c>
      <c r="C1947" s="5" t="str">
        <f>IFERROR(__xludf.DUMMYFUNCTION("""COMPUTED_VALUE"""),"purchase")</f>
        <v>purchase</v>
      </c>
      <c r="D1947" s="10">
        <f t="shared" si="1"/>
        <v>45474</v>
      </c>
      <c r="E1947" s="10">
        <f t="shared" si="2"/>
        <v>45474</v>
      </c>
      <c r="F1947" s="10">
        <f t="shared" si="3"/>
        <v>45474</v>
      </c>
      <c r="G1947" s="11"/>
    </row>
    <row r="1948">
      <c r="A1948" s="5">
        <f>IFERROR(__xludf.DUMMYFUNCTION("""COMPUTED_VALUE"""),2070.0)</f>
        <v>2070</v>
      </c>
      <c r="B1948" s="9">
        <f>IFERROR(__xludf.DUMMYFUNCTION("""COMPUTED_VALUE"""),45475.01232638889)</f>
        <v>45475.01233</v>
      </c>
      <c r="C1948" s="5" t="str">
        <f>IFERROR(__xludf.DUMMYFUNCTION("""COMPUTED_VALUE"""),"purchase")</f>
        <v>purchase</v>
      </c>
      <c r="D1948" s="10">
        <f t="shared" si="1"/>
        <v>45475</v>
      </c>
      <c r="E1948" s="10">
        <f t="shared" si="2"/>
        <v>45474</v>
      </c>
      <c r="F1948" s="10">
        <f t="shared" si="3"/>
        <v>45474</v>
      </c>
      <c r="G1948" s="11"/>
    </row>
    <row r="1949">
      <c r="A1949" s="5">
        <f>IFERROR(__xludf.DUMMYFUNCTION("""COMPUTED_VALUE"""),6956.0)</f>
        <v>6956</v>
      </c>
      <c r="B1949" s="9">
        <f>IFERROR(__xludf.DUMMYFUNCTION("""COMPUTED_VALUE"""),45475.039131944446)</f>
        <v>45475.03913</v>
      </c>
      <c r="C1949" s="5" t="str">
        <f>IFERROR(__xludf.DUMMYFUNCTION("""COMPUTED_VALUE"""),"purchase")</f>
        <v>purchase</v>
      </c>
      <c r="D1949" s="10">
        <f t="shared" si="1"/>
        <v>45475</v>
      </c>
      <c r="E1949" s="10">
        <f t="shared" si="2"/>
        <v>45474</v>
      </c>
      <c r="F1949" s="10">
        <f t="shared" si="3"/>
        <v>45474</v>
      </c>
      <c r="G1949" s="11"/>
    </row>
    <row r="1950">
      <c r="A1950" s="5">
        <f>IFERROR(__xludf.DUMMYFUNCTION("""COMPUTED_VALUE"""),402.0)</f>
        <v>402</v>
      </c>
      <c r="B1950" s="9">
        <f>IFERROR(__xludf.DUMMYFUNCTION("""COMPUTED_VALUE"""),45475.11158564815)</f>
        <v>45475.11159</v>
      </c>
      <c r="C1950" s="5" t="str">
        <f>IFERROR(__xludf.DUMMYFUNCTION("""COMPUTED_VALUE"""),"purchase")</f>
        <v>purchase</v>
      </c>
      <c r="D1950" s="10">
        <f t="shared" si="1"/>
        <v>45475</v>
      </c>
      <c r="E1950" s="10">
        <f t="shared" si="2"/>
        <v>45474</v>
      </c>
      <c r="F1950" s="10">
        <f t="shared" si="3"/>
        <v>45474</v>
      </c>
      <c r="G1950" s="11"/>
    </row>
    <row r="1951">
      <c r="A1951" s="5">
        <f>IFERROR(__xludf.DUMMYFUNCTION("""COMPUTED_VALUE"""),4839.0)</f>
        <v>4839</v>
      </c>
      <c r="B1951" s="9">
        <f>IFERROR(__xludf.DUMMYFUNCTION("""COMPUTED_VALUE"""),45475.12761574074)</f>
        <v>45475.12762</v>
      </c>
      <c r="C1951" s="5" t="str">
        <f>IFERROR(__xludf.DUMMYFUNCTION("""COMPUTED_VALUE"""),"purchase")</f>
        <v>purchase</v>
      </c>
      <c r="D1951" s="10">
        <f t="shared" si="1"/>
        <v>45475</v>
      </c>
      <c r="E1951" s="10">
        <f t="shared" si="2"/>
        <v>45474</v>
      </c>
      <c r="F1951" s="10">
        <f t="shared" si="3"/>
        <v>45474</v>
      </c>
      <c r="G1951" s="11"/>
    </row>
    <row r="1952">
      <c r="A1952" s="5">
        <f>IFERROR(__xludf.DUMMYFUNCTION("""COMPUTED_VALUE"""),4520.0)</f>
        <v>4520</v>
      </c>
      <c r="B1952" s="9">
        <f>IFERROR(__xludf.DUMMYFUNCTION("""COMPUTED_VALUE"""),45475.13107638889)</f>
        <v>45475.13108</v>
      </c>
      <c r="C1952" s="5" t="str">
        <f>IFERROR(__xludf.DUMMYFUNCTION("""COMPUTED_VALUE"""),"purchase")</f>
        <v>purchase</v>
      </c>
      <c r="D1952" s="10">
        <f t="shared" si="1"/>
        <v>45475</v>
      </c>
      <c r="E1952" s="10">
        <f t="shared" si="2"/>
        <v>45474</v>
      </c>
      <c r="F1952" s="10">
        <f t="shared" si="3"/>
        <v>45474</v>
      </c>
      <c r="G1952" s="11"/>
    </row>
    <row r="1953">
      <c r="A1953" s="5">
        <f>IFERROR(__xludf.DUMMYFUNCTION("""COMPUTED_VALUE"""),1466.0)</f>
        <v>1466</v>
      </c>
      <c r="B1953" s="9">
        <f>IFERROR(__xludf.DUMMYFUNCTION("""COMPUTED_VALUE"""),45475.14239583333)</f>
        <v>45475.1424</v>
      </c>
      <c r="C1953" s="5" t="str">
        <f>IFERROR(__xludf.DUMMYFUNCTION("""COMPUTED_VALUE"""),"purchase")</f>
        <v>purchase</v>
      </c>
      <c r="D1953" s="10">
        <f t="shared" si="1"/>
        <v>45475</v>
      </c>
      <c r="E1953" s="10">
        <f t="shared" si="2"/>
        <v>45474</v>
      </c>
      <c r="F1953" s="10">
        <f t="shared" si="3"/>
        <v>45474</v>
      </c>
      <c r="G1953" s="11"/>
    </row>
    <row r="1954">
      <c r="A1954" s="5">
        <f>IFERROR(__xludf.DUMMYFUNCTION("""COMPUTED_VALUE"""),938.0)</f>
        <v>938</v>
      </c>
      <c r="B1954" s="9">
        <f>IFERROR(__xludf.DUMMYFUNCTION("""COMPUTED_VALUE"""),45475.25111111111)</f>
        <v>45475.25111</v>
      </c>
      <c r="C1954" s="5" t="str">
        <f>IFERROR(__xludf.DUMMYFUNCTION("""COMPUTED_VALUE"""),"purchase")</f>
        <v>purchase</v>
      </c>
      <c r="D1954" s="10">
        <f t="shared" si="1"/>
        <v>45475</v>
      </c>
      <c r="E1954" s="10">
        <f t="shared" si="2"/>
        <v>45474</v>
      </c>
      <c r="F1954" s="10">
        <f t="shared" si="3"/>
        <v>45474</v>
      </c>
      <c r="G1954" s="11"/>
    </row>
    <row r="1955">
      <c r="A1955" s="5">
        <f>IFERROR(__xludf.DUMMYFUNCTION("""COMPUTED_VALUE"""),1426.0)</f>
        <v>1426</v>
      </c>
      <c r="B1955" s="9">
        <f>IFERROR(__xludf.DUMMYFUNCTION("""COMPUTED_VALUE"""),45475.45481481482)</f>
        <v>45475.45481</v>
      </c>
      <c r="C1955" s="5" t="str">
        <f>IFERROR(__xludf.DUMMYFUNCTION("""COMPUTED_VALUE"""),"purchase")</f>
        <v>purchase</v>
      </c>
      <c r="D1955" s="10">
        <f t="shared" si="1"/>
        <v>45475</v>
      </c>
      <c r="E1955" s="10">
        <f t="shared" si="2"/>
        <v>45474</v>
      </c>
      <c r="F1955" s="10">
        <f t="shared" si="3"/>
        <v>45474</v>
      </c>
      <c r="G1955" s="11"/>
    </row>
    <row r="1956">
      <c r="A1956" s="5">
        <f>IFERROR(__xludf.DUMMYFUNCTION("""COMPUTED_VALUE"""),2586.0)</f>
        <v>2586</v>
      </c>
      <c r="B1956" s="9">
        <f>IFERROR(__xludf.DUMMYFUNCTION("""COMPUTED_VALUE"""),45475.66709490741)</f>
        <v>45475.66709</v>
      </c>
      <c r="C1956" s="5" t="str">
        <f>IFERROR(__xludf.DUMMYFUNCTION("""COMPUTED_VALUE"""),"purchase")</f>
        <v>purchase</v>
      </c>
      <c r="D1956" s="10">
        <f t="shared" si="1"/>
        <v>45475</v>
      </c>
      <c r="E1956" s="10">
        <f t="shared" si="2"/>
        <v>45474</v>
      </c>
      <c r="F1956" s="10">
        <f t="shared" si="3"/>
        <v>45474</v>
      </c>
      <c r="G1956" s="11"/>
    </row>
    <row r="1957">
      <c r="A1957" s="5">
        <f>IFERROR(__xludf.DUMMYFUNCTION("""COMPUTED_VALUE"""),4906.0)</f>
        <v>4906</v>
      </c>
      <c r="B1957" s="9">
        <f>IFERROR(__xludf.DUMMYFUNCTION("""COMPUTED_VALUE"""),45475.67177083333)</f>
        <v>45475.67177</v>
      </c>
      <c r="C1957" s="5" t="str">
        <f>IFERROR(__xludf.DUMMYFUNCTION("""COMPUTED_VALUE"""),"purchase")</f>
        <v>purchase</v>
      </c>
      <c r="D1957" s="10">
        <f t="shared" si="1"/>
        <v>45475</v>
      </c>
      <c r="E1957" s="10">
        <f t="shared" si="2"/>
        <v>45474</v>
      </c>
      <c r="F1957" s="10">
        <f t="shared" si="3"/>
        <v>45474</v>
      </c>
      <c r="G1957" s="11"/>
    </row>
    <row r="1958">
      <c r="A1958" s="5">
        <f>IFERROR(__xludf.DUMMYFUNCTION("""COMPUTED_VALUE"""),7312.0)</f>
        <v>7312</v>
      </c>
      <c r="B1958" s="9">
        <f>IFERROR(__xludf.DUMMYFUNCTION("""COMPUTED_VALUE"""),45475.736122685186)</f>
        <v>45475.73612</v>
      </c>
      <c r="C1958" s="5" t="str">
        <f>IFERROR(__xludf.DUMMYFUNCTION("""COMPUTED_VALUE"""),"purchase")</f>
        <v>purchase</v>
      </c>
      <c r="D1958" s="10">
        <f t="shared" si="1"/>
        <v>45475</v>
      </c>
      <c r="E1958" s="10">
        <f t="shared" si="2"/>
        <v>45474</v>
      </c>
      <c r="F1958" s="10">
        <f t="shared" si="3"/>
        <v>45474</v>
      </c>
      <c r="G1958" s="11"/>
    </row>
    <row r="1959">
      <c r="A1959" s="5">
        <f>IFERROR(__xludf.DUMMYFUNCTION("""COMPUTED_VALUE"""),5150.0)</f>
        <v>5150</v>
      </c>
      <c r="B1959" s="9">
        <f>IFERROR(__xludf.DUMMYFUNCTION("""COMPUTED_VALUE"""),45475.82424768519)</f>
        <v>45475.82425</v>
      </c>
      <c r="C1959" s="5" t="str">
        <f>IFERROR(__xludf.DUMMYFUNCTION("""COMPUTED_VALUE"""),"purchase")</f>
        <v>purchase</v>
      </c>
      <c r="D1959" s="10">
        <f t="shared" si="1"/>
        <v>45475</v>
      </c>
      <c r="E1959" s="10">
        <f t="shared" si="2"/>
        <v>45474</v>
      </c>
      <c r="F1959" s="10">
        <f t="shared" si="3"/>
        <v>45474</v>
      </c>
      <c r="G1959" s="11"/>
    </row>
    <row r="1960">
      <c r="A1960" s="5">
        <f>IFERROR(__xludf.DUMMYFUNCTION("""COMPUTED_VALUE"""),4081.0)</f>
        <v>4081</v>
      </c>
      <c r="B1960" s="9">
        <f>IFERROR(__xludf.DUMMYFUNCTION("""COMPUTED_VALUE"""),45475.94863425926)</f>
        <v>45475.94863</v>
      </c>
      <c r="C1960" s="5" t="str">
        <f>IFERROR(__xludf.DUMMYFUNCTION("""COMPUTED_VALUE"""),"purchase")</f>
        <v>purchase</v>
      </c>
      <c r="D1960" s="10">
        <f t="shared" si="1"/>
        <v>45475</v>
      </c>
      <c r="E1960" s="10">
        <f t="shared" si="2"/>
        <v>45474</v>
      </c>
      <c r="F1960" s="10">
        <f t="shared" si="3"/>
        <v>45474</v>
      </c>
      <c r="G1960" s="11"/>
    </row>
    <row r="1961">
      <c r="A1961" s="5">
        <f>IFERROR(__xludf.DUMMYFUNCTION("""COMPUTED_VALUE"""),4794.0)</f>
        <v>4794</v>
      </c>
      <c r="B1961" s="9">
        <f>IFERROR(__xludf.DUMMYFUNCTION("""COMPUTED_VALUE"""),45476.08850694444)</f>
        <v>45476.08851</v>
      </c>
      <c r="C1961" s="5" t="str">
        <f>IFERROR(__xludf.DUMMYFUNCTION("""COMPUTED_VALUE"""),"purchase")</f>
        <v>purchase</v>
      </c>
      <c r="D1961" s="10">
        <f t="shared" si="1"/>
        <v>45476</v>
      </c>
      <c r="E1961" s="10">
        <f t="shared" si="2"/>
        <v>45474</v>
      </c>
      <c r="F1961" s="10">
        <f t="shared" si="3"/>
        <v>45474</v>
      </c>
      <c r="G1961" s="11"/>
    </row>
    <row r="1962">
      <c r="A1962" s="5">
        <f>IFERROR(__xludf.DUMMYFUNCTION("""COMPUTED_VALUE"""),474.0)</f>
        <v>474</v>
      </c>
      <c r="B1962" s="9">
        <f>IFERROR(__xludf.DUMMYFUNCTION("""COMPUTED_VALUE"""),45476.18232638889)</f>
        <v>45476.18233</v>
      </c>
      <c r="C1962" s="5" t="str">
        <f>IFERROR(__xludf.DUMMYFUNCTION("""COMPUTED_VALUE"""),"purchase")</f>
        <v>purchase</v>
      </c>
      <c r="D1962" s="10">
        <f t="shared" si="1"/>
        <v>45476</v>
      </c>
      <c r="E1962" s="10">
        <f t="shared" si="2"/>
        <v>45474</v>
      </c>
      <c r="F1962" s="10">
        <f t="shared" si="3"/>
        <v>45474</v>
      </c>
      <c r="G1962" s="11"/>
    </row>
    <row r="1963">
      <c r="A1963" s="5">
        <f>IFERROR(__xludf.DUMMYFUNCTION("""COMPUTED_VALUE"""),6430.0)</f>
        <v>6430</v>
      </c>
      <c r="B1963" s="9">
        <f>IFERROR(__xludf.DUMMYFUNCTION("""COMPUTED_VALUE"""),45476.26390046296)</f>
        <v>45476.2639</v>
      </c>
      <c r="C1963" s="5" t="str">
        <f>IFERROR(__xludf.DUMMYFUNCTION("""COMPUTED_VALUE"""),"purchase")</f>
        <v>purchase</v>
      </c>
      <c r="D1963" s="10">
        <f t="shared" si="1"/>
        <v>45476</v>
      </c>
      <c r="E1963" s="10">
        <f t="shared" si="2"/>
        <v>45474</v>
      </c>
      <c r="F1963" s="10">
        <f t="shared" si="3"/>
        <v>45474</v>
      </c>
      <c r="G1963" s="11"/>
    </row>
    <row r="1964">
      <c r="A1964" s="5">
        <f>IFERROR(__xludf.DUMMYFUNCTION("""COMPUTED_VALUE"""),3040.0)</f>
        <v>3040</v>
      </c>
      <c r="B1964" s="9">
        <f>IFERROR(__xludf.DUMMYFUNCTION("""COMPUTED_VALUE"""),45476.42563657407)</f>
        <v>45476.42564</v>
      </c>
      <c r="C1964" s="5" t="str">
        <f>IFERROR(__xludf.DUMMYFUNCTION("""COMPUTED_VALUE"""),"purchase")</f>
        <v>purchase</v>
      </c>
      <c r="D1964" s="10">
        <f t="shared" si="1"/>
        <v>45476</v>
      </c>
      <c r="E1964" s="10">
        <f t="shared" si="2"/>
        <v>45474</v>
      </c>
      <c r="F1964" s="10">
        <f t="shared" si="3"/>
        <v>45474</v>
      </c>
      <c r="G1964" s="11"/>
    </row>
    <row r="1965">
      <c r="A1965" s="5">
        <f>IFERROR(__xludf.DUMMYFUNCTION("""COMPUTED_VALUE"""),6527.0)</f>
        <v>6527</v>
      </c>
      <c r="B1965" s="9">
        <f>IFERROR(__xludf.DUMMYFUNCTION("""COMPUTED_VALUE"""),45476.443819444445)</f>
        <v>45476.44382</v>
      </c>
      <c r="C1965" s="5" t="str">
        <f>IFERROR(__xludf.DUMMYFUNCTION("""COMPUTED_VALUE"""),"purchase")</f>
        <v>purchase</v>
      </c>
      <c r="D1965" s="10">
        <f t="shared" si="1"/>
        <v>45476</v>
      </c>
      <c r="E1965" s="10">
        <f t="shared" si="2"/>
        <v>45474</v>
      </c>
      <c r="F1965" s="10">
        <f t="shared" si="3"/>
        <v>45474</v>
      </c>
      <c r="G1965" s="11"/>
    </row>
    <row r="1966">
      <c r="A1966" s="5">
        <f>IFERROR(__xludf.DUMMYFUNCTION("""COMPUTED_VALUE"""),2437.0)</f>
        <v>2437</v>
      </c>
      <c r="B1966" s="9">
        <f>IFERROR(__xludf.DUMMYFUNCTION("""COMPUTED_VALUE"""),45476.47789351852)</f>
        <v>45476.47789</v>
      </c>
      <c r="C1966" s="5" t="str">
        <f>IFERROR(__xludf.DUMMYFUNCTION("""COMPUTED_VALUE"""),"purchase")</f>
        <v>purchase</v>
      </c>
      <c r="D1966" s="10">
        <f t="shared" si="1"/>
        <v>45476</v>
      </c>
      <c r="E1966" s="10">
        <f t="shared" si="2"/>
        <v>45474</v>
      </c>
      <c r="F1966" s="10">
        <f t="shared" si="3"/>
        <v>45474</v>
      </c>
      <c r="G1966" s="11"/>
    </row>
    <row r="1967">
      <c r="A1967" s="5">
        <f>IFERROR(__xludf.DUMMYFUNCTION("""COMPUTED_VALUE"""),7963.0)</f>
        <v>7963</v>
      </c>
      <c r="B1967" s="9">
        <f>IFERROR(__xludf.DUMMYFUNCTION("""COMPUTED_VALUE"""),45476.53833333333)</f>
        <v>45476.53833</v>
      </c>
      <c r="C1967" s="5" t="str">
        <f>IFERROR(__xludf.DUMMYFUNCTION("""COMPUTED_VALUE"""),"purchase")</f>
        <v>purchase</v>
      </c>
      <c r="D1967" s="10">
        <f t="shared" si="1"/>
        <v>45476</v>
      </c>
      <c r="E1967" s="10">
        <f t="shared" si="2"/>
        <v>45474</v>
      </c>
      <c r="F1967" s="10">
        <f t="shared" si="3"/>
        <v>45474</v>
      </c>
      <c r="G1967" s="11"/>
    </row>
    <row r="1968">
      <c r="A1968" s="5">
        <f>IFERROR(__xludf.DUMMYFUNCTION("""COMPUTED_VALUE"""),5217.0)</f>
        <v>5217</v>
      </c>
      <c r="B1968" s="9">
        <f>IFERROR(__xludf.DUMMYFUNCTION("""COMPUTED_VALUE"""),45476.65133101852)</f>
        <v>45476.65133</v>
      </c>
      <c r="C1968" s="5" t="str">
        <f>IFERROR(__xludf.DUMMYFUNCTION("""COMPUTED_VALUE"""),"purchase")</f>
        <v>purchase</v>
      </c>
      <c r="D1968" s="10">
        <f t="shared" si="1"/>
        <v>45476</v>
      </c>
      <c r="E1968" s="10">
        <f t="shared" si="2"/>
        <v>45474</v>
      </c>
      <c r="F1968" s="10">
        <f t="shared" si="3"/>
        <v>45474</v>
      </c>
      <c r="G1968" s="11"/>
    </row>
    <row r="1969">
      <c r="A1969" s="5">
        <f>IFERROR(__xludf.DUMMYFUNCTION("""COMPUTED_VALUE"""),2355.0)</f>
        <v>2355</v>
      </c>
      <c r="B1969" s="9">
        <f>IFERROR(__xludf.DUMMYFUNCTION("""COMPUTED_VALUE"""),45476.682071759256)</f>
        <v>45476.68207</v>
      </c>
      <c r="C1969" s="5" t="str">
        <f>IFERROR(__xludf.DUMMYFUNCTION("""COMPUTED_VALUE"""),"purchase")</f>
        <v>purchase</v>
      </c>
      <c r="D1969" s="10">
        <f t="shared" si="1"/>
        <v>45476</v>
      </c>
      <c r="E1969" s="10">
        <f t="shared" si="2"/>
        <v>45474</v>
      </c>
      <c r="F1969" s="10">
        <f t="shared" si="3"/>
        <v>45474</v>
      </c>
      <c r="G1969" s="11"/>
    </row>
    <row r="1970">
      <c r="A1970" s="5">
        <f>IFERROR(__xludf.DUMMYFUNCTION("""COMPUTED_VALUE"""),961.0)</f>
        <v>961</v>
      </c>
      <c r="B1970" s="9">
        <f>IFERROR(__xludf.DUMMYFUNCTION("""COMPUTED_VALUE"""),45476.95278935185)</f>
        <v>45476.95279</v>
      </c>
      <c r="C1970" s="5" t="str">
        <f>IFERROR(__xludf.DUMMYFUNCTION("""COMPUTED_VALUE"""),"purchase")</f>
        <v>purchase</v>
      </c>
      <c r="D1970" s="10">
        <f t="shared" si="1"/>
        <v>45476</v>
      </c>
      <c r="E1970" s="10">
        <f t="shared" si="2"/>
        <v>45474</v>
      </c>
      <c r="F1970" s="10">
        <f t="shared" si="3"/>
        <v>45474</v>
      </c>
      <c r="G1970" s="11"/>
    </row>
    <row r="1971">
      <c r="A1971" s="5">
        <f>IFERROR(__xludf.DUMMYFUNCTION("""COMPUTED_VALUE"""),4961.0)</f>
        <v>4961</v>
      </c>
      <c r="B1971" s="9">
        <f>IFERROR(__xludf.DUMMYFUNCTION("""COMPUTED_VALUE"""),45477.401284722226)</f>
        <v>45477.40128</v>
      </c>
      <c r="C1971" s="5" t="str">
        <f>IFERROR(__xludf.DUMMYFUNCTION("""COMPUTED_VALUE"""),"purchase")</f>
        <v>purchase</v>
      </c>
      <c r="D1971" s="10">
        <f t="shared" si="1"/>
        <v>45477</v>
      </c>
      <c r="E1971" s="10">
        <f t="shared" si="2"/>
        <v>45474</v>
      </c>
      <c r="F1971" s="10">
        <f t="shared" si="3"/>
        <v>45474</v>
      </c>
      <c r="G1971" s="11"/>
    </row>
    <row r="1972">
      <c r="A1972" s="5">
        <f>IFERROR(__xludf.DUMMYFUNCTION("""COMPUTED_VALUE"""),6396.0)</f>
        <v>6396</v>
      </c>
      <c r="B1972" s="9">
        <f>IFERROR(__xludf.DUMMYFUNCTION("""COMPUTED_VALUE"""),45477.52033564815)</f>
        <v>45477.52034</v>
      </c>
      <c r="C1972" s="5" t="str">
        <f>IFERROR(__xludf.DUMMYFUNCTION("""COMPUTED_VALUE"""),"purchase")</f>
        <v>purchase</v>
      </c>
      <c r="D1972" s="10">
        <f t="shared" si="1"/>
        <v>45477</v>
      </c>
      <c r="E1972" s="10">
        <f t="shared" si="2"/>
        <v>45474</v>
      </c>
      <c r="F1972" s="10">
        <f t="shared" si="3"/>
        <v>45474</v>
      </c>
      <c r="G1972" s="11"/>
    </row>
    <row r="1973">
      <c r="A1973" s="5">
        <f>IFERROR(__xludf.DUMMYFUNCTION("""COMPUTED_VALUE"""),7288.0)</f>
        <v>7288</v>
      </c>
      <c r="B1973" s="9">
        <f>IFERROR(__xludf.DUMMYFUNCTION("""COMPUTED_VALUE"""),45477.619837962964)</f>
        <v>45477.61984</v>
      </c>
      <c r="C1973" s="5" t="str">
        <f>IFERROR(__xludf.DUMMYFUNCTION("""COMPUTED_VALUE"""),"purchase")</f>
        <v>purchase</v>
      </c>
      <c r="D1973" s="10">
        <f t="shared" si="1"/>
        <v>45477</v>
      </c>
      <c r="E1973" s="10">
        <f t="shared" si="2"/>
        <v>45474</v>
      </c>
      <c r="F1973" s="10">
        <f t="shared" si="3"/>
        <v>45474</v>
      </c>
      <c r="G1973" s="11"/>
    </row>
    <row r="1974">
      <c r="A1974" s="5">
        <f>IFERROR(__xludf.DUMMYFUNCTION("""COMPUTED_VALUE"""),3079.0)</f>
        <v>3079</v>
      </c>
      <c r="B1974" s="9">
        <f>IFERROR(__xludf.DUMMYFUNCTION("""COMPUTED_VALUE"""),45477.625601851854)</f>
        <v>45477.6256</v>
      </c>
      <c r="C1974" s="5" t="str">
        <f>IFERROR(__xludf.DUMMYFUNCTION("""COMPUTED_VALUE"""),"purchase")</f>
        <v>purchase</v>
      </c>
      <c r="D1974" s="10">
        <f t="shared" si="1"/>
        <v>45477</v>
      </c>
      <c r="E1974" s="10">
        <f t="shared" si="2"/>
        <v>45474</v>
      </c>
      <c r="F1974" s="10">
        <f t="shared" si="3"/>
        <v>45474</v>
      </c>
      <c r="G1974" s="11"/>
    </row>
    <row r="1975">
      <c r="A1975" s="5">
        <f>IFERROR(__xludf.DUMMYFUNCTION("""COMPUTED_VALUE"""),231.0)</f>
        <v>231</v>
      </c>
      <c r="B1975" s="9">
        <f>IFERROR(__xludf.DUMMYFUNCTION("""COMPUTED_VALUE"""),45477.99146990741)</f>
        <v>45477.99147</v>
      </c>
      <c r="C1975" s="5" t="str">
        <f>IFERROR(__xludf.DUMMYFUNCTION("""COMPUTED_VALUE"""),"purchase")</f>
        <v>purchase</v>
      </c>
      <c r="D1975" s="10">
        <f t="shared" si="1"/>
        <v>45477</v>
      </c>
      <c r="E1975" s="10">
        <f t="shared" si="2"/>
        <v>45474</v>
      </c>
      <c r="F1975" s="10">
        <f t="shared" si="3"/>
        <v>45474</v>
      </c>
      <c r="G1975" s="11"/>
    </row>
    <row r="1976">
      <c r="A1976" s="5">
        <f>IFERROR(__xludf.DUMMYFUNCTION("""COMPUTED_VALUE"""),6142.0)</f>
        <v>6142</v>
      </c>
      <c r="B1976" s="9">
        <f>IFERROR(__xludf.DUMMYFUNCTION("""COMPUTED_VALUE"""),45477.99704861111)</f>
        <v>45477.99705</v>
      </c>
      <c r="C1976" s="5" t="str">
        <f>IFERROR(__xludf.DUMMYFUNCTION("""COMPUTED_VALUE"""),"purchase")</f>
        <v>purchase</v>
      </c>
      <c r="D1976" s="10">
        <f t="shared" si="1"/>
        <v>45477</v>
      </c>
      <c r="E1976" s="10">
        <f t="shared" si="2"/>
        <v>45474</v>
      </c>
      <c r="F1976" s="10">
        <f t="shared" si="3"/>
        <v>45474</v>
      </c>
      <c r="G1976" s="11"/>
    </row>
    <row r="1977">
      <c r="A1977" s="5">
        <f>IFERROR(__xludf.DUMMYFUNCTION("""COMPUTED_VALUE"""),1488.0)</f>
        <v>1488</v>
      </c>
      <c r="B1977" s="9">
        <f>IFERROR(__xludf.DUMMYFUNCTION("""COMPUTED_VALUE"""),45478.173726851855)</f>
        <v>45478.17373</v>
      </c>
      <c r="C1977" s="5" t="str">
        <f>IFERROR(__xludf.DUMMYFUNCTION("""COMPUTED_VALUE"""),"purchase")</f>
        <v>purchase</v>
      </c>
      <c r="D1977" s="10">
        <f t="shared" si="1"/>
        <v>45478</v>
      </c>
      <c r="E1977" s="10">
        <f t="shared" si="2"/>
        <v>45474</v>
      </c>
      <c r="F1977" s="10">
        <f t="shared" si="3"/>
        <v>45474</v>
      </c>
      <c r="G1977" s="11"/>
    </row>
    <row r="1978">
      <c r="A1978" s="5">
        <f>IFERROR(__xludf.DUMMYFUNCTION("""COMPUTED_VALUE"""),621.0)</f>
        <v>621</v>
      </c>
      <c r="B1978" s="9">
        <f>IFERROR(__xludf.DUMMYFUNCTION("""COMPUTED_VALUE"""),45478.207025462965)</f>
        <v>45478.20703</v>
      </c>
      <c r="C1978" s="5" t="str">
        <f>IFERROR(__xludf.DUMMYFUNCTION("""COMPUTED_VALUE"""),"purchase")</f>
        <v>purchase</v>
      </c>
      <c r="D1978" s="10">
        <f t="shared" si="1"/>
        <v>45478</v>
      </c>
      <c r="E1978" s="10">
        <f t="shared" si="2"/>
        <v>45474</v>
      </c>
      <c r="F1978" s="10">
        <f t="shared" si="3"/>
        <v>45474</v>
      </c>
      <c r="G1978" s="11"/>
    </row>
    <row r="1979">
      <c r="A1979" s="5">
        <f>IFERROR(__xludf.DUMMYFUNCTION("""COMPUTED_VALUE"""),7936.0)</f>
        <v>7936</v>
      </c>
      <c r="B1979" s="9">
        <f>IFERROR(__xludf.DUMMYFUNCTION("""COMPUTED_VALUE"""),45478.22603009259)</f>
        <v>45478.22603</v>
      </c>
      <c r="C1979" s="5" t="str">
        <f>IFERROR(__xludf.DUMMYFUNCTION("""COMPUTED_VALUE"""),"purchase")</f>
        <v>purchase</v>
      </c>
      <c r="D1979" s="10">
        <f t="shared" si="1"/>
        <v>45478</v>
      </c>
      <c r="E1979" s="10">
        <f t="shared" si="2"/>
        <v>45474</v>
      </c>
      <c r="F1979" s="10">
        <f t="shared" si="3"/>
        <v>45474</v>
      </c>
      <c r="G1979" s="11"/>
    </row>
    <row r="1980">
      <c r="A1980" s="5">
        <f>IFERROR(__xludf.DUMMYFUNCTION("""COMPUTED_VALUE"""),7043.0)</f>
        <v>7043</v>
      </c>
      <c r="B1980" s="9">
        <f>IFERROR(__xludf.DUMMYFUNCTION("""COMPUTED_VALUE"""),45478.24883101852)</f>
        <v>45478.24883</v>
      </c>
      <c r="C1980" s="5" t="str">
        <f>IFERROR(__xludf.DUMMYFUNCTION("""COMPUTED_VALUE"""),"purchase")</f>
        <v>purchase</v>
      </c>
      <c r="D1980" s="10">
        <f t="shared" si="1"/>
        <v>45478</v>
      </c>
      <c r="E1980" s="10">
        <f t="shared" si="2"/>
        <v>45474</v>
      </c>
      <c r="F1980" s="10">
        <f t="shared" si="3"/>
        <v>45474</v>
      </c>
      <c r="G1980" s="11"/>
    </row>
    <row r="1981">
      <c r="A1981" s="5">
        <f>IFERROR(__xludf.DUMMYFUNCTION("""COMPUTED_VALUE"""),1040.0)</f>
        <v>1040</v>
      </c>
      <c r="B1981" s="9">
        <f>IFERROR(__xludf.DUMMYFUNCTION("""COMPUTED_VALUE"""),45478.26480324074)</f>
        <v>45478.2648</v>
      </c>
      <c r="C1981" s="5" t="str">
        <f>IFERROR(__xludf.DUMMYFUNCTION("""COMPUTED_VALUE"""),"purchase")</f>
        <v>purchase</v>
      </c>
      <c r="D1981" s="10">
        <f t="shared" si="1"/>
        <v>45478</v>
      </c>
      <c r="E1981" s="10">
        <f t="shared" si="2"/>
        <v>45474</v>
      </c>
      <c r="F1981" s="10">
        <f t="shared" si="3"/>
        <v>45474</v>
      </c>
      <c r="G1981" s="11"/>
    </row>
    <row r="1982">
      <c r="A1982" s="5">
        <f>IFERROR(__xludf.DUMMYFUNCTION("""COMPUTED_VALUE"""),3300.0)</f>
        <v>3300</v>
      </c>
      <c r="B1982" s="9">
        <f>IFERROR(__xludf.DUMMYFUNCTION("""COMPUTED_VALUE"""),45478.352743055555)</f>
        <v>45478.35274</v>
      </c>
      <c r="C1982" s="5" t="str">
        <f>IFERROR(__xludf.DUMMYFUNCTION("""COMPUTED_VALUE"""),"purchase")</f>
        <v>purchase</v>
      </c>
      <c r="D1982" s="10">
        <f t="shared" si="1"/>
        <v>45478</v>
      </c>
      <c r="E1982" s="10">
        <f t="shared" si="2"/>
        <v>45474</v>
      </c>
      <c r="F1982" s="10">
        <f t="shared" si="3"/>
        <v>45474</v>
      </c>
      <c r="G1982" s="11"/>
    </row>
    <row r="1983">
      <c r="A1983" s="5">
        <f>IFERROR(__xludf.DUMMYFUNCTION("""COMPUTED_VALUE"""),1996.0)</f>
        <v>1996</v>
      </c>
      <c r="B1983" s="9">
        <f>IFERROR(__xludf.DUMMYFUNCTION("""COMPUTED_VALUE"""),45478.50613425926)</f>
        <v>45478.50613</v>
      </c>
      <c r="C1983" s="5" t="str">
        <f>IFERROR(__xludf.DUMMYFUNCTION("""COMPUTED_VALUE"""),"purchase")</f>
        <v>purchase</v>
      </c>
      <c r="D1983" s="10">
        <f t="shared" si="1"/>
        <v>45478</v>
      </c>
      <c r="E1983" s="10">
        <f t="shared" si="2"/>
        <v>45474</v>
      </c>
      <c r="F1983" s="10">
        <f t="shared" si="3"/>
        <v>45474</v>
      </c>
      <c r="G1983" s="11"/>
    </row>
    <row r="1984">
      <c r="A1984" s="5">
        <f>IFERROR(__xludf.DUMMYFUNCTION("""COMPUTED_VALUE"""),5328.0)</f>
        <v>5328</v>
      </c>
      <c r="B1984" s="9">
        <f>IFERROR(__xludf.DUMMYFUNCTION("""COMPUTED_VALUE"""),45478.57231481482)</f>
        <v>45478.57231</v>
      </c>
      <c r="C1984" s="5" t="str">
        <f>IFERROR(__xludf.DUMMYFUNCTION("""COMPUTED_VALUE"""),"purchase")</f>
        <v>purchase</v>
      </c>
      <c r="D1984" s="10">
        <f t="shared" si="1"/>
        <v>45478</v>
      </c>
      <c r="E1984" s="10">
        <f t="shared" si="2"/>
        <v>45474</v>
      </c>
      <c r="F1984" s="10">
        <f t="shared" si="3"/>
        <v>45474</v>
      </c>
      <c r="G1984" s="11"/>
    </row>
    <row r="1985">
      <c r="A1985" s="5">
        <f>IFERROR(__xludf.DUMMYFUNCTION("""COMPUTED_VALUE"""),1021.0)</f>
        <v>1021</v>
      </c>
      <c r="B1985" s="9">
        <f>IFERROR(__xludf.DUMMYFUNCTION("""COMPUTED_VALUE"""),45478.58021990741)</f>
        <v>45478.58022</v>
      </c>
      <c r="C1985" s="5" t="str">
        <f>IFERROR(__xludf.DUMMYFUNCTION("""COMPUTED_VALUE"""),"purchase")</f>
        <v>purchase</v>
      </c>
      <c r="D1985" s="10">
        <f t="shared" si="1"/>
        <v>45478</v>
      </c>
      <c r="E1985" s="10">
        <f t="shared" si="2"/>
        <v>45474</v>
      </c>
      <c r="F1985" s="10">
        <f t="shared" si="3"/>
        <v>45474</v>
      </c>
      <c r="G1985" s="11"/>
    </row>
    <row r="1986">
      <c r="A1986" s="5">
        <f>IFERROR(__xludf.DUMMYFUNCTION("""COMPUTED_VALUE"""),6636.0)</f>
        <v>6636</v>
      </c>
      <c r="B1986" s="9">
        <f>IFERROR(__xludf.DUMMYFUNCTION("""COMPUTED_VALUE"""),45478.677141203705)</f>
        <v>45478.67714</v>
      </c>
      <c r="C1986" s="5" t="str">
        <f>IFERROR(__xludf.DUMMYFUNCTION("""COMPUTED_VALUE"""),"purchase")</f>
        <v>purchase</v>
      </c>
      <c r="D1986" s="10">
        <f t="shared" si="1"/>
        <v>45478</v>
      </c>
      <c r="E1986" s="10">
        <f t="shared" si="2"/>
        <v>45474</v>
      </c>
      <c r="F1986" s="10">
        <f t="shared" si="3"/>
        <v>45474</v>
      </c>
      <c r="G1986" s="11"/>
    </row>
    <row r="1987">
      <c r="A1987" s="5">
        <f>IFERROR(__xludf.DUMMYFUNCTION("""COMPUTED_VALUE"""),5236.0)</f>
        <v>5236</v>
      </c>
      <c r="B1987" s="9">
        <f>IFERROR(__xludf.DUMMYFUNCTION("""COMPUTED_VALUE"""),45478.69609953704)</f>
        <v>45478.6961</v>
      </c>
      <c r="C1987" s="5" t="str">
        <f>IFERROR(__xludf.DUMMYFUNCTION("""COMPUTED_VALUE"""),"purchase")</f>
        <v>purchase</v>
      </c>
      <c r="D1987" s="10">
        <f t="shared" si="1"/>
        <v>45478</v>
      </c>
      <c r="E1987" s="10">
        <f t="shared" si="2"/>
        <v>45474</v>
      </c>
      <c r="F1987" s="10">
        <f t="shared" si="3"/>
        <v>45474</v>
      </c>
      <c r="G1987" s="11"/>
    </row>
    <row r="1988">
      <c r="A1988" s="5">
        <f>IFERROR(__xludf.DUMMYFUNCTION("""COMPUTED_VALUE"""),6207.0)</f>
        <v>6207</v>
      </c>
      <c r="B1988" s="9">
        <f>IFERROR(__xludf.DUMMYFUNCTION("""COMPUTED_VALUE"""),45478.76540509259)</f>
        <v>45478.76541</v>
      </c>
      <c r="C1988" s="5" t="str">
        <f>IFERROR(__xludf.DUMMYFUNCTION("""COMPUTED_VALUE"""),"purchase")</f>
        <v>purchase</v>
      </c>
      <c r="D1988" s="10">
        <f t="shared" si="1"/>
        <v>45478</v>
      </c>
      <c r="E1988" s="10">
        <f t="shared" si="2"/>
        <v>45474</v>
      </c>
      <c r="F1988" s="10">
        <f t="shared" si="3"/>
        <v>45474</v>
      </c>
      <c r="G1988" s="11"/>
    </row>
    <row r="1989">
      <c r="A1989" s="5">
        <f>IFERROR(__xludf.DUMMYFUNCTION("""COMPUTED_VALUE"""),297.0)</f>
        <v>297</v>
      </c>
      <c r="B1989" s="9">
        <f>IFERROR(__xludf.DUMMYFUNCTION("""COMPUTED_VALUE"""),45479.2374537037)</f>
        <v>45479.23745</v>
      </c>
      <c r="C1989" s="5" t="str">
        <f>IFERROR(__xludf.DUMMYFUNCTION("""COMPUTED_VALUE"""),"purchase")</f>
        <v>purchase</v>
      </c>
      <c r="D1989" s="10">
        <f t="shared" si="1"/>
        <v>45479</v>
      </c>
      <c r="E1989" s="10">
        <f t="shared" si="2"/>
        <v>45474</v>
      </c>
      <c r="F1989" s="10">
        <f t="shared" si="3"/>
        <v>45474</v>
      </c>
      <c r="G1989" s="11"/>
    </row>
    <row r="1990">
      <c r="A1990" s="5">
        <f>IFERROR(__xludf.DUMMYFUNCTION("""COMPUTED_VALUE"""),2587.0)</f>
        <v>2587</v>
      </c>
      <c r="B1990" s="9">
        <f>IFERROR(__xludf.DUMMYFUNCTION("""COMPUTED_VALUE"""),45479.634050925924)</f>
        <v>45479.63405</v>
      </c>
      <c r="C1990" s="5" t="str">
        <f>IFERROR(__xludf.DUMMYFUNCTION("""COMPUTED_VALUE"""),"purchase")</f>
        <v>purchase</v>
      </c>
      <c r="D1990" s="10">
        <f t="shared" si="1"/>
        <v>45479</v>
      </c>
      <c r="E1990" s="10">
        <f t="shared" si="2"/>
        <v>45474</v>
      </c>
      <c r="F1990" s="10">
        <f t="shared" si="3"/>
        <v>45474</v>
      </c>
      <c r="G1990" s="11"/>
    </row>
    <row r="1991">
      <c r="A1991" s="5">
        <f>IFERROR(__xludf.DUMMYFUNCTION("""COMPUTED_VALUE"""),1740.0)</f>
        <v>1740</v>
      </c>
      <c r="B1991" s="9">
        <f>IFERROR(__xludf.DUMMYFUNCTION("""COMPUTED_VALUE"""),45479.70290509259)</f>
        <v>45479.70291</v>
      </c>
      <c r="C1991" s="5" t="str">
        <f>IFERROR(__xludf.DUMMYFUNCTION("""COMPUTED_VALUE"""),"purchase")</f>
        <v>purchase</v>
      </c>
      <c r="D1991" s="10">
        <f t="shared" si="1"/>
        <v>45479</v>
      </c>
      <c r="E1991" s="10">
        <f t="shared" si="2"/>
        <v>45474</v>
      </c>
      <c r="F1991" s="10">
        <f t="shared" si="3"/>
        <v>45474</v>
      </c>
      <c r="G1991" s="11"/>
    </row>
    <row r="1992">
      <c r="A1992" s="5">
        <f>IFERROR(__xludf.DUMMYFUNCTION("""COMPUTED_VALUE"""),4082.0)</f>
        <v>4082</v>
      </c>
      <c r="B1992" s="9">
        <f>IFERROR(__xludf.DUMMYFUNCTION("""COMPUTED_VALUE"""),45479.71331018519)</f>
        <v>45479.71331</v>
      </c>
      <c r="C1992" s="5" t="str">
        <f>IFERROR(__xludf.DUMMYFUNCTION("""COMPUTED_VALUE"""),"purchase")</f>
        <v>purchase</v>
      </c>
      <c r="D1992" s="10">
        <f t="shared" si="1"/>
        <v>45479</v>
      </c>
      <c r="E1992" s="10">
        <f t="shared" si="2"/>
        <v>45474</v>
      </c>
      <c r="F1992" s="10">
        <f t="shared" si="3"/>
        <v>45474</v>
      </c>
      <c r="G1992" s="11"/>
    </row>
    <row r="1993">
      <c r="A1993" s="5">
        <f>IFERROR(__xludf.DUMMYFUNCTION("""COMPUTED_VALUE"""),5913.0)</f>
        <v>5913</v>
      </c>
      <c r="B1993" s="9">
        <f>IFERROR(__xludf.DUMMYFUNCTION("""COMPUTED_VALUE"""),45480.28304398148)</f>
        <v>45480.28304</v>
      </c>
      <c r="C1993" s="5" t="str">
        <f>IFERROR(__xludf.DUMMYFUNCTION("""COMPUTED_VALUE"""),"purchase")</f>
        <v>purchase</v>
      </c>
      <c r="D1993" s="10">
        <f t="shared" si="1"/>
        <v>45480</v>
      </c>
      <c r="E1993" s="10">
        <f t="shared" si="2"/>
        <v>45474</v>
      </c>
      <c r="F1993" s="10">
        <f t="shared" si="3"/>
        <v>45474</v>
      </c>
      <c r="G1993" s="11"/>
    </row>
    <row r="1994">
      <c r="A1994" s="5">
        <f>IFERROR(__xludf.DUMMYFUNCTION("""COMPUTED_VALUE"""),5980.0)</f>
        <v>5980</v>
      </c>
      <c r="B1994" s="9">
        <f>IFERROR(__xludf.DUMMYFUNCTION("""COMPUTED_VALUE"""),45480.38731481481)</f>
        <v>45480.38731</v>
      </c>
      <c r="C1994" s="5" t="str">
        <f>IFERROR(__xludf.DUMMYFUNCTION("""COMPUTED_VALUE"""),"purchase")</f>
        <v>purchase</v>
      </c>
      <c r="D1994" s="10">
        <f t="shared" si="1"/>
        <v>45480</v>
      </c>
      <c r="E1994" s="10">
        <f t="shared" si="2"/>
        <v>45474</v>
      </c>
      <c r="F1994" s="10">
        <f t="shared" si="3"/>
        <v>45474</v>
      </c>
      <c r="G1994" s="11"/>
    </row>
    <row r="1995">
      <c r="A1995" s="5">
        <f>IFERROR(__xludf.DUMMYFUNCTION("""COMPUTED_VALUE"""),7051.0)</f>
        <v>7051</v>
      </c>
      <c r="B1995" s="9">
        <f>IFERROR(__xludf.DUMMYFUNCTION("""COMPUTED_VALUE"""),45480.547314814816)</f>
        <v>45480.54731</v>
      </c>
      <c r="C1995" s="5" t="str">
        <f>IFERROR(__xludf.DUMMYFUNCTION("""COMPUTED_VALUE"""),"purchase")</f>
        <v>purchase</v>
      </c>
      <c r="D1995" s="10">
        <f t="shared" si="1"/>
        <v>45480</v>
      </c>
      <c r="E1995" s="10">
        <f t="shared" si="2"/>
        <v>45474</v>
      </c>
      <c r="F1995" s="10">
        <f t="shared" si="3"/>
        <v>45474</v>
      </c>
      <c r="G1995" s="11"/>
    </row>
    <row r="1996">
      <c r="A1996" s="5">
        <f>IFERROR(__xludf.DUMMYFUNCTION("""COMPUTED_VALUE"""),97.0)</f>
        <v>97</v>
      </c>
      <c r="B1996" s="9">
        <f>IFERROR(__xludf.DUMMYFUNCTION("""COMPUTED_VALUE"""),45480.590474537035)</f>
        <v>45480.59047</v>
      </c>
      <c r="C1996" s="5" t="str">
        <f>IFERROR(__xludf.DUMMYFUNCTION("""COMPUTED_VALUE"""),"purchase")</f>
        <v>purchase</v>
      </c>
      <c r="D1996" s="10">
        <f t="shared" si="1"/>
        <v>45480</v>
      </c>
      <c r="E1996" s="10">
        <f t="shared" si="2"/>
        <v>45474</v>
      </c>
      <c r="F1996" s="10">
        <f t="shared" si="3"/>
        <v>45474</v>
      </c>
      <c r="G1996" s="11"/>
    </row>
    <row r="1997">
      <c r="A1997" s="5">
        <f>IFERROR(__xludf.DUMMYFUNCTION("""COMPUTED_VALUE"""),1955.0)</f>
        <v>1955</v>
      </c>
      <c r="B1997" s="9">
        <f>IFERROR(__xludf.DUMMYFUNCTION("""COMPUTED_VALUE"""),45480.96263888889)</f>
        <v>45480.96264</v>
      </c>
      <c r="C1997" s="5" t="str">
        <f>IFERROR(__xludf.DUMMYFUNCTION("""COMPUTED_VALUE"""),"purchase")</f>
        <v>purchase</v>
      </c>
      <c r="D1997" s="10">
        <f t="shared" si="1"/>
        <v>45480</v>
      </c>
      <c r="E1997" s="10">
        <f t="shared" si="2"/>
        <v>45474</v>
      </c>
      <c r="F1997" s="10">
        <f t="shared" si="3"/>
        <v>45474</v>
      </c>
      <c r="G1997" s="11"/>
    </row>
    <row r="1998">
      <c r="A1998" s="5">
        <f>IFERROR(__xludf.DUMMYFUNCTION("""COMPUTED_VALUE"""),1742.0)</f>
        <v>1742</v>
      </c>
      <c r="B1998" s="9">
        <f>IFERROR(__xludf.DUMMYFUNCTION("""COMPUTED_VALUE"""),45480.9712037037)</f>
        <v>45480.9712</v>
      </c>
      <c r="C1998" s="5" t="str">
        <f>IFERROR(__xludf.DUMMYFUNCTION("""COMPUTED_VALUE"""),"purchase")</f>
        <v>purchase</v>
      </c>
      <c r="D1998" s="10">
        <f t="shared" si="1"/>
        <v>45480</v>
      </c>
      <c r="E1998" s="10">
        <f t="shared" si="2"/>
        <v>45474</v>
      </c>
      <c r="F1998" s="10">
        <f t="shared" si="3"/>
        <v>45474</v>
      </c>
      <c r="G1998" s="11"/>
    </row>
    <row r="1999">
      <c r="A1999" s="5">
        <f>IFERROR(__xludf.DUMMYFUNCTION("""COMPUTED_VALUE"""),422.0)</f>
        <v>422</v>
      </c>
      <c r="B1999" s="9">
        <f>IFERROR(__xludf.DUMMYFUNCTION("""COMPUTED_VALUE"""),45482.0219212963)</f>
        <v>45482.02192</v>
      </c>
      <c r="C1999" s="5" t="str">
        <f>IFERROR(__xludf.DUMMYFUNCTION("""COMPUTED_VALUE"""),"purchase")</f>
        <v>purchase</v>
      </c>
      <c r="D1999" s="10">
        <f t="shared" si="1"/>
        <v>45482</v>
      </c>
      <c r="E1999" s="10">
        <f t="shared" si="2"/>
        <v>45481</v>
      </c>
      <c r="F1999" s="10">
        <f t="shared" si="3"/>
        <v>45474</v>
      </c>
      <c r="G1999" s="11"/>
    </row>
    <row r="2000">
      <c r="A2000" s="5">
        <f>IFERROR(__xludf.DUMMYFUNCTION("""COMPUTED_VALUE"""),4367.0)</f>
        <v>4367</v>
      </c>
      <c r="B2000" s="9">
        <f>IFERROR(__xludf.DUMMYFUNCTION("""COMPUTED_VALUE"""),45482.6496875)</f>
        <v>45482.64969</v>
      </c>
      <c r="C2000" s="5" t="str">
        <f>IFERROR(__xludf.DUMMYFUNCTION("""COMPUTED_VALUE"""),"purchase")</f>
        <v>purchase</v>
      </c>
      <c r="D2000" s="10">
        <f t="shared" si="1"/>
        <v>45482</v>
      </c>
      <c r="E2000" s="10">
        <f t="shared" si="2"/>
        <v>45481</v>
      </c>
      <c r="F2000" s="10">
        <f t="shared" si="3"/>
        <v>45474</v>
      </c>
      <c r="G2000" s="11"/>
    </row>
    <row r="2001">
      <c r="A2001" s="5">
        <f>IFERROR(__xludf.DUMMYFUNCTION("""COMPUTED_VALUE"""),7616.0)</f>
        <v>7616</v>
      </c>
      <c r="B2001" s="9">
        <f>IFERROR(__xludf.DUMMYFUNCTION("""COMPUTED_VALUE"""),45482.70549768519)</f>
        <v>45482.7055</v>
      </c>
      <c r="C2001" s="5" t="str">
        <f>IFERROR(__xludf.DUMMYFUNCTION("""COMPUTED_VALUE"""),"purchase")</f>
        <v>purchase</v>
      </c>
      <c r="D2001" s="10">
        <f t="shared" si="1"/>
        <v>45482</v>
      </c>
      <c r="E2001" s="10">
        <f t="shared" si="2"/>
        <v>45481</v>
      </c>
      <c r="F2001" s="10">
        <f t="shared" si="3"/>
        <v>45474</v>
      </c>
      <c r="G2001" s="11"/>
    </row>
    <row r="2002">
      <c r="A2002" s="5"/>
      <c r="B2002" s="5"/>
      <c r="C2002" s="5"/>
      <c r="D2002" s="10"/>
      <c r="E2002" s="5"/>
      <c r="F2002" s="10"/>
      <c r="G2002" s="11"/>
    </row>
    <row r="2003">
      <c r="A2003" s="5"/>
      <c r="B2003" s="5"/>
      <c r="C2003" s="5"/>
      <c r="D2003" s="10"/>
      <c r="E2003" s="5"/>
      <c r="F2003" s="10"/>
      <c r="G2003" s="11"/>
    </row>
    <row r="2004">
      <c r="A2004" s="5"/>
      <c r="B2004" s="5"/>
      <c r="C2004" s="5"/>
      <c r="D2004" s="10"/>
      <c r="E2004" s="5"/>
      <c r="F2004" s="10"/>
      <c r="G2004" s="11"/>
    </row>
    <row r="2005">
      <c r="A2005" s="5"/>
      <c r="B2005" s="5"/>
      <c r="C2005" s="5"/>
      <c r="D2005" s="10"/>
      <c r="E2005" s="5"/>
      <c r="F2005" s="10"/>
      <c r="G2005" s="11"/>
    </row>
    <row r="2006">
      <c r="A2006" s="5"/>
      <c r="B2006" s="5"/>
      <c r="C2006" s="5"/>
      <c r="D2006" s="10"/>
      <c r="E2006" s="5"/>
      <c r="F2006" s="10"/>
      <c r="G2006" s="11"/>
    </row>
    <row r="2007">
      <c r="A2007" s="5"/>
      <c r="B2007" s="5"/>
      <c r="C2007" s="5"/>
      <c r="D2007" s="10"/>
      <c r="E2007" s="5"/>
      <c r="F2007" s="10"/>
      <c r="G2007" s="11"/>
    </row>
    <row r="2008">
      <c r="A2008" s="5"/>
      <c r="B2008" s="5"/>
      <c r="C2008" s="5"/>
      <c r="D2008" s="10"/>
      <c r="E2008" s="5"/>
      <c r="F2008" s="10"/>
      <c r="G2008" s="11"/>
    </row>
    <row r="2009">
      <c r="A2009" s="5"/>
      <c r="B2009" s="5"/>
      <c r="C2009" s="5"/>
      <c r="D2009" s="10"/>
      <c r="E2009" s="5"/>
      <c r="F2009" s="10"/>
      <c r="G2009" s="11"/>
    </row>
    <row r="2010">
      <c r="A2010" s="5"/>
      <c r="B2010" s="5"/>
      <c r="C2010" s="5"/>
      <c r="D2010" s="10"/>
      <c r="E2010" s="5"/>
      <c r="F2010" s="10"/>
      <c r="G2010" s="11"/>
    </row>
    <row r="2011">
      <c r="A2011" s="5"/>
      <c r="B2011" s="5"/>
      <c r="C2011" s="5"/>
      <c r="D2011" s="10"/>
      <c r="E2011" s="5"/>
      <c r="F2011" s="10"/>
      <c r="G2011" s="11"/>
    </row>
    <row r="2012">
      <c r="A2012" s="5"/>
      <c r="B2012" s="5"/>
      <c r="C2012" s="5"/>
      <c r="D2012" s="10"/>
      <c r="E2012" s="5"/>
      <c r="F2012" s="10"/>
      <c r="G2012" s="11"/>
    </row>
    <row r="2013">
      <c r="A2013" s="5"/>
      <c r="B2013" s="5"/>
      <c r="C2013" s="5"/>
      <c r="D2013" s="10"/>
      <c r="E2013" s="5"/>
      <c r="F2013" s="10"/>
      <c r="G2013" s="11"/>
    </row>
    <row r="2014">
      <c r="A2014" s="5"/>
      <c r="B2014" s="5"/>
      <c r="C2014" s="5"/>
      <c r="D2014" s="10"/>
      <c r="E2014" s="5"/>
      <c r="F2014" s="10"/>
      <c r="G2014" s="11"/>
    </row>
    <row r="2015">
      <c r="A2015" s="5"/>
      <c r="B2015" s="5"/>
      <c r="C2015" s="5"/>
      <c r="D2015" s="10"/>
      <c r="E2015" s="5"/>
      <c r="F2015" s="10"/>
      <c r="G2015" s="11"/>
    </row>
    <row r="2016">
      <c r="A2016" s="5"/>
      <c r="B2016" s="5"/>
      <c r="C2016" s="5"/>
      <c r="D2016" s="10"/>
      <c r="E2016" s="5"/>
      <c r="F2016" s="10"/>
      <c r="G2016" s="11"/>
    </row>
    <row r="2017">
      <c r="A2017" s="5"/>
      <c r="B2017" s="5"/>
      <c r="C2017" s="5"/>
      <c r="D2017" s="10"/>
      <c r="E2017" s="5"/>
      <c r="F2017" s="10"/>
      <c r="G2017" s="11"/>
    </row>
    <row r="2018">
      <c r="A2018" s="5"/>
      <c r="B2018" s="5"/>
      <c r="C2018" s="5"/>
      <c r="D2018" s="10"/>
      <c r="E2018" s="5"/>
      <c r="F2018" s="10"/>
      <c r="G2018" s="11"/>
    </row>
    <row r="2019">
      <c r="A2019" s="5"/>
      <c r="B2019" s="5"/>
      <c r="C2019" s="5"/>
      <c r="D2019" s="10"/>
      <c r="E2019" s="5"/>
      <c r="F2019" s="10"/>
      <c r="G2019" s="11"/>
    </row>
    <row r="2020">
      <c r="A2020" s="5"/>
      <c r="B2020" s="5"/>
      <c r="C2020" s="5"/>
      <c r="D2020" s="10"/>
      <c r="E2020" s="5"/>
      <c r="F2020" s="10"/>
      <c r="G2020" s="11"/>
    </row>
    <row r="2021">
      <c r="A2021" s="5"/>
      <c r="B2021" s="5"/>
      <c r="C2021" s="5"/>
      <c r="D2021" s="10"/>
      <c r="E2021" s="5"/>
      <c r="F2021" s="10"/>
      <c r="G2021" s="11"/>
    </row>
    <row r="2022">
      <c r="A2022" s="5"/>
      <c r="B2022" s="5"/>
      <c r="C2022" s="5"/>
      <c r="D2022" s="10"/>
      <c r="E2022" s="5"/>
      <c r="F2022" s="10"/>
      <c r="G2022" s="11"/>
    </row>
    <row r="2023">
      <c r="A2023" s="5"/>
      <c r="B2023" s="5"/>
      <c r="C2023" s="5"/>
      <c r="D2023" s="10"/>
      <c r="E2023" s="5"/>
      <c r="F2023" s="10"/>
      <c r="G2023" s="11"/>
    </row>
    <row r="2024">
      <c r="A2024" s="5"/>
      <c r="B2024" s="5"/>
      <c r="C2024" s="5"/>
      <c r="D2024" s="10"/>
      <c r="E2024" s="5"/>
      <c r="F2024" s="10"/>
      <c r="G2024" s="11"/>
    </row>
    <row r="2025">
      <c r="A2025" s="5"/>
      <c r="B2025" s="5"/>
      <c r="C2025" s="5"/>
      <c r="D2025" s="10"/>
      <c r="E2025" s="5"/>
      <c r="F2025" s="10"/>
      <c r="G2025" s="11"/>
    </row>
    <row r="2026">
      <c r="A2026" s="5"/>
      <c r="B2026" s="5"/>
      <c r="C2026" s="5"/>
      <c r="D2026" s="10"/>
      <c r="E2026" s="5"/>
      <c r="F2026" s="10"/>
      <c r="G2026" s="11"/>
    </row>
    <row r="2027">
      <c r="A2027" s="5"/>
      <c r="B2027" s="5"/>
      <c r="C2027" s="5"/>
      <c r="D2027" s="10"/>
      <c r="E2027" s="5"/>
      <c r="F2027" s="10"/>
      <c r="G2027" s="11"/>
    </row>
    <row r="2028">
      <c r="A2028" s="5"/>
      <c r="B2028" s="5"/>
      <c r="C2028" s="5"/>
      <c r="D2028" s="10"/>
      <c r="E2028" s="5"/>
      <c r="F2028" s="10"/>
      <c r="G2028" s="11"/>
    </row>
    <row r="2029">
      <c r="A2029" s="5"/>
      <c r="B2029" s="5"/>
      <c r="C2029" s="5"/>
      <c r="D2029" s="10"/>
      <c r="E2029" s="5"/>
      <c r="F2029" s="10"/>
      <c r="G2029" s="11"/>
    </row>
    <row r="2030">
      <c r="A2030" s="5"/>
      <c r="B2030" s="5"/>
      <c r="C2030" s="5"/>
      <c r="D2030" s="10"/>
      <c r="E2030" s="5"/>
      <c r="F2030" s="10"/>
      <c r="G2030" s="11"/>
    </row>
    <row r="2031">
      <c r="A2031" s="5"/>
      <c r="B2031" s="5"/>
      <c r="C2031" s="5"/>
      <c r="D2031" s="10"/>
      <c r="E2031" s="5"/>
      <c r="F2031" s="10"/>
      <c r="G2031" s="11"/>
    </row>
    <row r="2032">
      <c r="A2032" s="5"/>
      <c r="B2032" s="5"/>
      <c r="C2032" s="5"/>
      <c r="D2032" s="10"/>
      <c r="E2032" s="5"/>
      <c r="F2032" s="10"/>
      <c r="G2032" s="11"/>
    </row>
    <row r="2033">
      <c r="A2033" s="5"/>
      <c r="B2033" s="5"/>
      <c r="C2033" s="5"/>
      <c r="D2033" s="10"/>
      <c r="E2033" s="5"/>
      <c r="F2033" s="10"/>
      <c r="G2033" s="11"/>
    </row>
    <row r="2034">
      <c r="A2034" s="5"/>
      <c r="B2034" s="5"/>
      <c r="C2034" s="5"/>
      <c r="D2034" s="10"/>
      <c r="E2034" s="5"/>
      <c r="F2034" s="10"/>
      <c r="G2034" s="11"/>
    </row>
    <row r="2035">
      <c r="A2035" s="5"/>
      <c r="B2035" s="5"/>
      <c r="C2035" s="5"/>
      <c r="D2035" s="10"/>
      <c r="E2035" s="5"/>
      <c r="F2035" s="10"/>
      <c r="G2035" s="11"/>
    </row>
    <row r="2036">
      <c r="A2036" s="5"/>
      <c r="B2036" s="5"/>
      <c r="C2036" s="5"/>
      <c r="D2036" s="10"/>
      <c r="E2036" s="5"/>
      <c r="F2036" s="10"/>
      <c r="G2036" s="11"/>
    </row>
    <row r="2037">
      <c r="A2037" s="5"/>
      <c r="B2037" s="5"/>
      <c r="C2037" s="5"/>
      <c r="D2037" s="10"/>
      <c r="E2037" s="5"/>
      <c r="F2037" s="10"/>
      <c r="G2037" s="11"/>
    </row>
    <row r="2038">
      <c r="A2038" s="5"/>
      <c r="B2038" s="5"/>
      <c r="C2038" s="5"/>
      <c r="D2038" s="10"/>
      <c r="E2038" s="5"/>
      <c r="F2038" s="10"/>
      <c r="G2038" s="11"/>
    </row>
    <row r="2039">
      <c r="A2039" s="5"/>
      <c r="B2039" s="5"/>
      <c r="C2039" s="5"/>
      <c r="D2039" s="10"/>
      <c r="E2039" s="5"/>
      <c r="F2039" s="10"/>
      <c r="G2039" s="11"/>
    </row>
    <row r="2040">
      <c r="A2040" s="5"/>
      <c r="B2040" s="5"/>
      <c r="C2040" s="5"/>
      <c r="D2040" s="10"/>
      <c r="E2040" s="5"/>
      <c r="F2040" s="10"/>
      <c r="G2040" s="11"/>
    </row>
    <row r="2041">
      <c r="A2041" s="5"/>
      <c r="B2041" s="5"/>
      <c r="C2041" s="5"/>
      <c r="D2041" s="10"/>
      <c r="E2041" s="5"/>
      <c r="F2041" s="10"/>
      <c r="G2041" s="11"/>
    </row>
    <row r="2042">
      <c r="A2042" s="5"/>
      <c r="B2042" s="5"/>
      <c r="C2042" s="5"/>
      <c r="D2042" s="10"/>
      <c r="E2042" s="5"/>
      <c r="F2042" s="10"/>
      <c r="G2042" s="11"/>
    </row>
    <row r="2043">
      <c r="A2043" s="5"/>
      <c r="B2043" s="5"/>
      <c r="C2043" s="5"/>
      <c r="D2043" s="10"/>
      <c r="E2043" s="5"/>
      <c r="F2043" s="10"/>
      <c r="G2043" s="11"/>
    </row>
    <row r="2044">
      <c r="A2044" s="5"/>
      <c r="B2044" s="5"/>
      <c r="C2044" s="5"/>
      <c r="D2044" s="10"/>
      <c r="E2044" s="5"/>
      <c r="F2044" s="10"/>
      <c r="G2044" s="11"/>
    </row>
    <row r="2045">
      <c r="A2045" s="5"/>
      <c r="B2045" s="5"/>
      <c r="C2045" s="5"/>
      <c r="D2045" s="10"/>
      <c r="E2045" s="5"/>
      <c r="F2045" s="10"/>
      <c r="G2045" s="11"/>
    </row>
    <row r="2046">
      <c r="A2046" s="5"/>
      <c r="B2046" s="5"/>
      <c r="C2046" s="5"/>
      <c r="D2046" s="10"/>
      <c r="E2046" s="5"/>
      <c r="F2046" s="10"/>
      <c r="G2046" s="11"/>
    </row>
    <row r="2047">
      <c r="A2047" s="5"/>
      <c r="B2047" s="5"/>
      <c r="C2047" s="5"/>
      <c r="D2047" s="10"/>
      <c r="E2047" s="5"/>
      <c r="F2047" s="10"/>
      <c r="G2047" s="11"/>
    </row>
    <row r="2048">
      <c r="A2048" s="5"/>
      <c r="B2048" s="5"/>
      <c r="C2048" s="5"/>
      <c r="D2048" s="10"/>
      <c r="E2048" s="5"/>
      <c r="F2048" s="10"/>
      <c r="G2048" s="11"/>
    </row>
    <row r="2049">
      <c r="A2049" s="5"/>
      <c r="B2049" s="5"/>
      <c r="C2049" s="5"/>
      <c r="D2049" s="10"/>
      <c r="E2049" s="5"/>
      <c r="F2049" s="10"/>
      <c r="G2049" s="11"/>
    </row>
    <row r="2050">
      <c r="A2050" s="5"/>
      <c r="B2050" s="5"/>
      <c r="C2050" s="5"/>
      <c r="D2050" s="10"/>
      <c r="E2050" s="5"/>
      <c r="F2050" s="10"/>
      <c r="G2050" s="11"/>
    </row>
    <row r="2051">
      <c r="A2051" s="5"/>
      <c r="B2051" s="5"/>
      <c r="C2051" s="5"/>
      <c r="D2051" s="10"/>
      <c r="E2051" s="5"/>
      <c r="F2051" s="10"/>
      <c r="G2051" s="11"/>
    </row>
    <row r="2052">
      <c r="A2052" s="5"/>
      <c r="B2052" s="5"/>
      <c r="C2052" s="5"/>
      <c r="D2052" s="10"/>
      <c r="E2052" s="5"/>
      <c r="F2052" s="10"/>
      <c r="G2052" s="11"/>
    </row>
    <row r="2053">
      <c r="A2053" s="5"/>
      <c r="B2053" s="5"/>
      <c r="C2053" s="5"/>
      <c r="D2053" s="10"/>
      <c r="E2053" s="5"/>
      <c r="F2053" s="10"/>
      <c r="G2053" s="11"/>
    </row>
    <row r="2054">
      <c r="A2054" s="5"/>
      <c r="B2054" s="5"/>
      <c r="C2054" s="5"/>
      <c r="D2054" s="10"/>
      <c r="E2054" s="5"/>
      <c r="F2054" s="10"/>
      <c r="G2054" s="11"/>
    </row>
    <row r="2055">
      <c r="A2055" s="5"/>
      <c r="B2055" s="5"/>
      <c r="C2055" s="5"/>
      <c r="D2055" s="10"/>
      <c r="E2055" s="5"/>
      <c r="F2055" s="10"/>
      <c r="G2055" s="11"/>
    </row>
    <row r="2056">
      <c r="A2056" s="5"/>
      <c r="B2056" s="5"/>
      <c r="C2056" s="5"/>
      <c r="D2056" s="10"/>
      <c r="E2056" s="5"/>
      <c r="F2056" s="10"/>
      <c r="G2056" s="11"/>
    </row>
    <row r="2057">
      <c r="A2057" s="5"/>
      <c r="B2057" s="5"/>
      <c r="C2057" s="5"/>
      <c r="D2057" s="10"/>
      <c r="E2057" s="5"/>
      <c r="F2057" s="10"/>
      <c r="G2057" s="11"/>
    </row>
    <row r="2058">
      <c r="A2058" s="5"/>
      <c r="B2058" s="5"/>
      <c r="C2058" s="5"/>
      <c r="D2058" s="10"/>
      <c r="E2058" s="5"/>
      <c r="F2058" s="10"/>
      <c r="G2058" s="11"/>
    </row>
    <row r="2059">
      <c r="A2059" s="5"/>
      <c r="B2059" s="5"/>
      <c r="C2059" s="5"/>
      <c r="D2059" s="10"/>
      <c r="E2059" s="5"/>
      <c r="F2059" s="10"/>
      <c r="G2059" s="11"/>
    </row>
    <row r="2060">
      <c r="A2060" s="5"/>
      <c r="B2060" s="5"/>
      <c r="C2060" s="5"/>
      <c r="D2060" s="10"/>
      <c r="E2060" s="5"/>
      <c r="F2060" s="10"/>
      <c r="G2060" s="11"/>
    </row>
    <row r="2061">
      <c r="A2061" s="5"/>
      <c r="B2061" s="5"/>
      <c r="C2061" s="5"/>
      <c r="D2061" s="10"/>
      <c r="E2061" s="5"/>
      <c r="F2061" s="10"/>
      <c r="G2061" s="11"/>
    </row>
    <row r="2062">
      <c r="A2062" s="5"/>
      <c r="B2062" s="5"/>
      <c r="C2062" s="5"/>
      <c r="D2062" s="10"/>
      <c r="E2062" s="5"/>
      <c r="F2062" s="10"/>
      <c r="G2062" s="11"/>
    </row>
    <row r="2063">
      <c r="A2063" s="5"/>
      <c r="B2063" s="5"/>
      <c r="C2063" s="5"/>
      <c r="D2063" s="10"/>
      <c r="E2063" s="5"/>
      <c r="F2063" s="10"/>
      <c r="G2063" s="11"/>
    </row>
    <row r="2064">
      <c r="A2064" s="5"/>
      <c r="B2064" s="5"/>
      <c r="C2064" s="5"/>
      <c r="D2064" s="10"/>
      <c r="E2064" s="5"/>
      <c r="F2064" s="10"/>
      <c r="G2064" s="11"/>
    </row>
    <row r="2065">
      <c r="A2065" s="5"/>
      <c r="B2065" s="5"/>
      <c r="C2065" s="5"/>
      <c r="D2065" s="10"/>
      <c r="E2065" s="5"/>
      <c r="F2065" s="10"/>
      <c r="G2065" s="11"/>
    </row>
    <row r="2066">
      <c r="A2066" s="5"/>
      <c r="B2066" s="5"/>
      <c r="C2066" s="5"/>
      <c r="D2066" s="10"/>
      <c r="E2066" s="5"/>
      <c r="F2066" s="10"/>
      <c r="G2066" s="11"/>
    </row>
    <row r="2067">
      <c r="A2067" s="5"/>
      <c r="B2067" s="5"/>
      <c r="C2067" s="5"/>
      <c r="D2067" s="10"/>
      <c r="E2067" s="5"/>
      <c r="F2067" s="10"/>
      <c r="G2067" s="11"/>
    </row>
    <row r="2068">
      <c r="A2068" s="5"/>
      <c r="B2068" s="5"/>
      <c r="C2068" s="5"/>
      <c r="D2068" s="10"/>
      <c r="E2068" s="5"/>
      <c r="F2068" s="10"/>
      <c r="G2068" s="11"/>
    </row>
    <row r="2069">
      <c r="A2069" s="5"/>
      <c r="B2069" s="5"/>
      <c r="C2069" s="5"/>
      <c r="D2069" s="10"/>
      <c r="E2069" s="5"/>
      <c r="F2069" s="10"/>
      <c r="G2069" s="11"/>
    </row>
    <row r="2070">
      <c r="A2070" s="5"/>
      <c r="B2070" s="5"/>
      <c r="C2070" s="5"/>
      <c r="D2070" s="10"/>
      <c r="E2070" s="5"/>
      <c r="F2070" s="10"/>
      <c r="G2070" s="11"/>
    </row>
    <row r="2071">
      <c r="A2071" s="5"/>
      <c r="B2071" s="5"/>
      <c r="C2071" s="5"/>
      <c r="D2071" s="10"/>
      <c r="E2071" s="5"/>
      <c r="F2071" s="10"/>
      <c r="G2071" s="11"/>
    </row>
    <row r="2072">
      <c r="A2072" s="5"/>
      <c r="B2072" s="5"/>
      <c r="C2072" s="5"/>
      <c r="D2072" s="10"/>
      <c r="E2072" s="5"/>
      <c r="F2072" s="10"/>
      <c r="G2072" s="11"/>
    </row>
    <row r="2073">
      <c r="A2073" s="5"/>
      <c r="B2073" s="5"/>
      <c r="C2073" s="5"/>
      <c r="D2073" s="10"/>
      <c r="E2073" s="5"/>
      <c r="F2073" s="10"/>
      <c r="G2073" s="11"/>
    </row>
    <row r="2074">
      <c r="A2074" s="5"/>
      <c r="B2074" s="5"/>
      <c r="C2074" s="5"/>
      <c r="D2074" s="10"/>
      <c r="E2074" s="5"/>
      <c r="F2074" s="10"/>
      <c r="G2074" s="11"/>
    </row>
    <row r="2075">
      <c r="A2075" s="5"/>
      <c r="B2075" s="5"/>
      <c r="C2075" s="5"/>
      <c r="D2075" s="10"/>
      <c r="E2075" s="5"/>
      <c r="F2075" s="10"/>
      <c r="G2075" s="11"/>
    </row>
    <row r="2076">
      <c r="A2076" s="5"/>
      <c r="B2076" s="5"/>
      <c r="C2076" s="5"/>
      <c r="D2076" s="10"/>
      <c r="E2076" s="5"/>
      <c r="F2076" s="10"/>
      <c r="G2076" s="11"/>
    </row>
    <row r="2077">
      <c r="A2077" s="5"/>
      <c r="B2077" s="5"/>
      <c r="C2077" s="5"/>
      <c r="D2077" s="10"/>
      <c r="E2077" s="5"/>
      <c r="F2077" s="10"/>
      <c r="G2077" s="11"/>
    </row>
    <row r="2078">
      <c r="A2078" s="5"/>
      <c r="B2078" s="5"/>
      <c r="C2078" s="5"/>
      <c r="D2078" s="10"/>
      <c r="E2078" s="5"/>
      <c r="F2078" s="10"/>
      <c r="G2078" s="11"/>
    </row>
    <row r="2079">
      <c r="A2079" s="5"/>
      <c r="B2079" s="5"/>
      <c r="C2079" s="5"/>
      <c r="D2079" s="10"/>
      <c r="E2079" s="5"/>
      <c r="F2079" s="10"/>
      <c r="G2079" s="11"/>
    </row>
    <row r="2080">
      <c r="A2080" s="5"/>
      <c r="B2080" s="5"/>
      <c r="C2080" s="5"/>
      <c r="D2080" s="10"/>
      <c r="E2080" s="5"/>
      <c r="F2080" s="10"/>
      <c r="G2080" s="11"/>
    </row>
    <row r="2081">
      <c r="A2081" s="5"/>
      <c r="B2081" s="5"/>
      <c r="C2081" s="5"/>
      <c r="D2081" s="10"/>
      <c r="E2081" s="5"/>
      <c r="F2081" s="10"/>
      <c r="G2081" s="11"/>
    </row>
    <row r="2082">
      <c r="A2082" s="5"/>
      <c r="B2082" s="5"/>
      <c r="C2082" s="5"/>
      <c r="D2082" s="10"/>
      <c r="E2082" s="5"/>
      <c r="F2082" s="10"/>
      <c r="G2082" s="11"/>
    </row>
    <row r="2083">
      <c r="A2083" s="5"/>
      <c r="B2083" s="5"/>
      <c r="C2083" s="5"/>
      <c r="D2083" s="10"/>
      <c r="E2083" s="5"/>
      <c r="F2083" s="10"/>
      <c r="G2083" s="11"/>
    </row>
    <row r="2084">
      <c r="A2084" s="5"/>
      <c r="B2084" s="5"/>
      <c r="C2084" s="5"/>
      <c r="D2084" s="10"/>
      <c r="E2084" s="5"/>
      <c r="F2084" s="10"/>
      <c r="G2084" s="11"/>
    </row>
    <row r="2085">
      <c r="A2085" s="5"/>
      <c r="B2085" s="5"/>
      <c r="C2085" s="5"/>
      <c r="D2085" s="10"/>
      <c r="E2085" s="5"/>
      <c r="F2085" s="10"/>
      <c r="G2085" s="11"/>
    </row>
    <row r="2086">
      <c r="A2086" s="5"/>
      <c r="B2086" s="5"/>
      <c r="C2086" s="5"/>
      <c r="D2086" s="10"/>
      <c r="E2086" s="5"/>
      <c r="F2086" s="10"/>
      <c r="G2086" s="11"/>
    </row>
    <row r="2087">
      <c r="A2087" s="5"/>
      <c r="B2087" s="5"/>
      <c r="C2087" s="5"/>
      <c r="D2087" s="10"/>
      <c r="E2087" s="5"/>
      <c r="F2087" s="10"/>
      <c r="G2087" s="11"/>
    </row>
    <row r="2088">
      <c r="A2088" s="5"/>
      <c r="B2088" s="5"/>
      <c r="C2088" s="5"/>
      <c r="D2088" s="10"/>
      <c r="E2088" s="5"/>
      <c r="F2088" s="10"/>
      <c r="G2088" s="11"/>
    </row>
    <row r="2089">
      <c r="A2089" s="5"/>
      <c r="B2089" s="5"/>
      <c r="C2089" s="5"/>
      <c r="D2089" s="10"/>
      <c r="E2089" s="5"/>
      <c r="F2089" s="10"/>
      <c r="G2089" s="11"/>
    </row>
    <row r="2090">
      <c r="A2090" s="5"/>
      <c r="B2090" s="5"/>
      <c r="C2090" s="5"/>
      <c r="D2090" s="10"/>
      <c r="E2090" s="5"/>
      <c r="F2090" s="10"/>
      <c r="G2090" s="11"/>
    </row>
    <row r="2091">
      <c r="A2091" s="5"/>
      <c r="B2091" s="5"/>
      <c r="C2091" s="5"/>
      <c r="D2091" s="10"/>
      <c r="E2091" s="5"/>
      <c r="F2091" s="10"/>
      <c r="G2091" s="11"/>
    </row>
    <row r="2092">
      <c r="A2092" s="5"/>
      <c r="B2092" s="5"/>
      <c r="C2092" s="5"/>
      <c r="D2092" s="10"/>
      <c r="E2092" s="5"/>
      <c r="F2092" s="10"/>
      <c r="G2092" s="11"/>
    </row>
    <row r="2093">
      <c r="A2093" s="5"/>
      <c r="B2093" s="5"/>
      <c r="C2093" s="5"/>
      <c r="D2093" s="10"/>
      <c r="E2093" s="5"/>
      <c r="F2093" s="10"/>
      <c r="G2093" s="11"/>
    </row>
    <row r="2094">
      <c r="A2094" s="5"/>
      <c r="B2094" s="5"/>
      <c r="C2094" s="5"/>
      <c r="D2094" s="10"/>
      <c r="E2094" s="5"/>
      <c r="F2094" s="10"/>
      <c r="G2094" s="11"/>
    </row>
    <row r="2095">
      <c r="A2095" s="5"/>
      <c r="B2095" s="5"/>
      <c r="C2095" s="5"/>
      <c r="D2095" s="10"/>
      <c r="E2095" s="5"/>
      <c r="F2095" s="10"/>
      <c r="G2095" s="11"/>
    </row>
    <row r="2096">
      <c r="A2096" s="5"/>
      <c r="B2096" s="5"/>
      <c r="C2096" s="5"/>
      <c r="D2096" s="10"/>
      <c r="E2096" s="5"/>
      <c r="F2096" s="10"/>
      <c r="G2096" s="11"/>
    </row>
    <row r="2097">
      <c r="A2097" s="5"/>
      <c r="B2097" s="5"/>
      <c r="C2097" s="5"/>
      <c r="D2097" s="10"/>
      <c r="E2097" s="5"/>
      <c r="F2097" s="10"/>
      <c r="G2097" s="11"/>
    </row>
    <row r="2098">
      <c r="A2098" s="5"/>
      <c r="B2098" s="5"/>
      <c r="C2098" s="5"/>
      <c r="D2098" s="10"/>
      <c r="E2098" s="5"/>
      <c r="F2098" s="10"/>
      <c r="G2098" s="11"/>
    </row>
    <row r="2099">
      <c r="A2099" s="5"/>
      <c r="B2099" s="5"/>
      <c r="C2099" s="5"/>
      <c r="D2099" s="10"/>
      <c r="E2099" s="5"/>
      <c r="F2099" s="10"/>
      <c r="G2099" s="11"/>
    </row>
    <row r="2100">
      <c r="A2100" s="5"/>
      <c r="B2100" s="5"/>
      <c r="C2100" s="5"/>
      <c r="D2100" s="10"/>
      <c r="E2100" s="5"/>
      <c r="F2100" s="10"/>
      <c r="G2100" s="11"/>
    </row>
    <row r="2101">
      <c r="A2101" s="5"/>
      <c r="B2101" s="5"/>
      <c r="C2101" s="5"/>
      <c r="D2101" s="10"/>
      <c r="E2101" s="5"/>
      <c r="F2101" s="10"/>
      <c r="G2101" s="11"/>
    </row>
    <row r="2102">
      <c r="A2102" s="5"/>
      <c r="B2102" s="5"/>
      <c r="C2102" s="5"/>
      <c r="D2102" s="10"/>
      <c r="E2102" s="5"/>
      <c r="F2102" s="10"/>
      <c r="G2102" s="11"/>
    </row>
    <row r="2103">
      <c r="A2103" s="5"/>
      <c r="B2103" s="5"/>
      <c r="C2103" s="5"/>
      <c r="D2103" s="10"/>
      <c r="E2103" s="5"/>
      <c r="F2103" s="10"/>
      <c r="G2103" s="11"/>
    </row>
    <row r="2104">
      <c r="A2104" s="5"/>
      <c r="B2104" s="5"/>
      <c r="C2104" s="5"/>
      <c r="D2104" s="10"/>
      <c r="E2104" s="5"/>
      <c r="F2104" s="10"/>
      <c r="G2104" s="11"/>
    </row>
    <row r="2105">
      <c r="A2105" s="5"/>
      <c r="B2105" s="5"/>
      <c r="C2105" s="5"/>
      <c r="D2105" s="10"/>
      <c r="E2105" s="5"/>
      <c r="F2105" s="10"/>
      <c r="G2105" s="11"/>
    </row>
    <row r="2106">
      <c r="A2106" s="5"/>
      <c r="B2106" s="5"/>
      <c r="C2106" s="5"/>
      <c r="D2106" s="10"/>
      <c r="E2106" s="5"/>
      <c r="F2106" s="10"/>
      <c r="G2106" s="11"/>
    </row>
    <row r="2107">
      <c r="A2107" s="5"/>
      <c r="B2107" s="5"/>
      <c r="C2107" s="5"/>
      <c r="D2107" s="10"/>
      <c r="E2107" s="5"/>
      <c r="F2107" s="10"/>
      <c r="G2107" s="11"/>
    </row>
    <row r="2108">
      <c r="A2108" s="5"/>
      <c r="B2108" s="5"/>
      <c r="C2108" s="5"/>
      <c r="D2108" s="10"/>
      <c r="E2108" s="5"/>
      <c r="F2108" s="10"/>
      <c r="G2108" s="11"/>
    </row>
    <row r="2109">
      <c r="A2109" s="5"/>
      <c r="B2109" s="5"/>
      <c r="C2109" s="5"/>
      <c r="D2109" s="10"/>
      <c r="E2109" s="5"/>
      <c r="F2109" s="10"/>
      <c r="G2109" s="11"/>
    </row>
    <row r="2110">
      <c r="A2110" s="5"/>
      <c r="B2110" s="5"/>
      <c r="C2110" s="5"/>
      <c r="D2110" s="10"/>
      <c r="E2110" s="5"/>
      <c r="F2110" s="10"/>
      <c r="G2110" s="11"/>
    </row>
    <row r="2111">
      <c r="A2111" s="5"/>
      <c r="B2111" s="5"/>
      <c r="C2111" s="5"/>
      <c r="D2111" s="10"/>
      <c r="E2111" s="5"/>
      <c r="F2111" s="10"/>
      <c r="G2111" s="11"/>
    </row>
    <row r="2112">
      <c r="A2112" s="5"/>
      <c r="B2112" s="5"/>
      <c r="C2112" s="5"/>
      <c r="D2112" s="10"/>
      <c r="E2112" s="5"/>
      <c r="F2112" s="10"/>
      <c r="G2112" s="11"/>
    </row>
    <row r="2113">
      <c r="A2113" s="5"/>
      <c r="B2113" s="5"/>
      <c r="C2113" s="5"/>
      <c r="D2113" s="10"/>
      <c r="E2113" s="5"/>
      <c r="F2113" s="10"/>
      <c r="G2113" s="11"/>
    </row>
    <row r="2114">
      <c r="A2114" s="5"/>
      <c r="B2114" s="5"/>
      <c r="C2114" s="5"/>
      <c r="D2114" s="10"/>
      <c r="E2114" s="5"/>
      <c r="F2114" s="10"/>
      <c r="G2114" s="11"/>
    </row>
    <row r="2115">
      <c r="A2115" s="5"/>
      <c r="B2115" s="5"/>
      <c r="C2115" s="5"/>
      <c r="D2115" s="10"/>
      <c r="E2115" s="5"/>
      <c r="F2115" s="10"/>
      <c r="G2115" s="11"/>
    </row>
    <row r="2116">
      <c r="A2116" s="5"/>
      <c r="B2116" s="5"/>
      <c r="C2116" s="5"/>
      <c r="D2116" s="10"/>
      <c r="E2116" s="5"/>
      <c r="F2116" s="10"/>
      <c r="G2116" s="11"/>
    </row>
    <row r="2117">
      <c r="A2117" s="5"/>
      <c r="B2117" s="5"/>
      <c r="C2117" s="5"/>
      <c r="D2117" s="10"/>
      <c r="E2117" s="5"/>
      <c r="F2117" s="10"/>
      <c r="G2117" s="11"/>
    </row>
    <row r="2118">
      <c r="A2118" s="5"/>
      <c r="B2118" s="5"/>
      <c r="C2118" s="5"/>
      <c r="D2118" s="10"/>
      <c r="E2118" s="5"/>
      <c r="F2118" s="10"/>
      <c r="G2118" s="11"/>
    </row>
    <row r="2119">
      <c r="A2119" s="5"/>
      <c r="B2119" s="5"/>
      <c r="C2119" s="5"/>
      <c r="D2119" s="10"/>
      <c r="E2119" s="5"/>
      <c r="F2119" s="10"/>
      <c r="G2119" s="11"/>
    </row>
    <row r="2120">
      <c r="A2120" s="5"/>
      <c r="B2120" s="5"/>
      <c r="C2120" s="5"/>
      <c r="D2120" s="10"/>
      <c r="E2120" s="5"/>
      <c r="F2120" s="10"/>
      <c r="G2120" s="11"/>
    </row>
    <row r="2121">
      <c r="A2121" s="5"/>
      <c r="B2121" s="5"/>
      <c r="C2121" s="5"/>
      <c r="D2121" s="10"/>
      <c r="E2121" s="5"/>
      <c r="F2121" s="10"/>
      <c r="G2121" s="11"/>
    </row>
    <row r="2122">
      <c r="A2122" s="5"/>
      <c r="B2122" s="5"/>
      <c r="C2122" s="5"/>
      <c r="D2122" s="10"/>
      <c r="E2122" s="5"/>
      <c r="F2122" s="10"/>
      <c r="G2122" s="11"/>
    </row>
    <row r="2123">
      <c r="A2123" s="5"/>
      <c r="B2123" s="5"/>
      <c r="C2123" s="5"/>
      <c r="D2123" s="10"/>
      <c r="E2123" s="5"/>
      <c r="F2123" s="10"/>
      <c r="G2123" s="11"/>
    </row>
    <row r="2124">
      <c r="A2124" s="5"/>
      <c r="B2124" s="5"/>
      <c r="C2124" s="5"/>
      <c r="D2124" s="10"/>
      <c r="E2124" s="5"/>
      <c r="F2124" s="10"/>
      <c r="G2124" s="11"/>
    </row>
    <row r="2125">
      <c r="A2125" s="5"/>
      <c r="B2125" s="5"/>
      <c r="C2125" s="5"/>
      <c r="D2125" s="10"/>
      <c r="E2125" s="5"/>
      <c r="F2125" s="10"/>
      <c r="G2125" s="11"/>
    </row>
    <row r="2126">
      <c r="A2126" s="5"/>
      <c r="B2126" s="5"/>
      <c r="C2126" s="5"/>
      <c r="D2126" s="10"/>
      <c r="E2126" s="5"/>
      <c r="F2126" s="10"/>
      <c r="G2126" s="11"/>
    </row>
    <row r="2127">
      <c r="A2127" s="5"/>
      <c r="B2127" s="5"/>
      <c r="C2127" s="5"/>
      <c r="D2127" s="10"/>
      <c r="E2127" s="5"/>
      <c r="F2127" s="10"/>
      <c r="G2127" s="11"/>
    </row>
    <row r="2128">
      <c r="A2128" s="5"/>
      <c r="B2128" s="5"/>
      <c r="C2128" s="5"/>
      <c r="D2128" s="10"/>
      <c r="E2128" s="5"/>
      <c r="F2128" s="10"/>
      <c r="G2128" s="11"/>
    </row>
    <row r="2129">
      <c r="A2129" s="5"/>
      <c r="B2129" s="5"/>
      <c r="C2129" s="5"/>
      <c r="D2129" s="10"/>
      <c r="E2129" s="5"/>
      <c r="F2129" s="10"/>
      <c r="G2129" s="11"/>
    </row>
    <row r="2130">
      <c r="A2130" s="5"/>
      <c r="B2130" s="5"/>
      <c r="C2130" s="5"/>
      <c r="D2130" s="10"/>
      <c r="E2130" s="5"/>
      <c r="F2130" s="10"/>
      <c r="G2130" s="11"/>
    </row>
    <row r="2131">
      <c r="A2131" s="5"/>
      <c r="B2131" s="5"/>
      <c r="C2131" s="5"/>
      <c r="D2131" s="10"/>
      <c r="E2131" s="5"/>
      <c r="F2131" s="10"/>
      <c r="G2131" s="11"/>
    </row>
    <row r="2132">
      <c r="A2132" s="5"/>
      <c r="B2132" s="5"/>
      <c r="C2132" s="5"/>
      <c r="D2132" s="10"/>
      <c r="E2132" s="5"/>
      <c r="F2132" s="10"/>
      <c r="G2132" s="11"/>
    </row>
    <row r="2133">
      <c r="A2133" s="5"/>
      <c r="B2133" s="5"/>
      <c r="C2133" s="5"/>
      <c r="D2133" s="10"/>
      <c r="E2133" s="5"/>
      <c r="F2133" s="10"/>
      <c r="G2133" s="11"/>
    </row>
    <row r="2134">
      <c r="A2134" s="5"/>
      <c r="B2134" s="5"/>
      <c r="C2134" s="5"/>
      <c r="D2134" s="10"/>
      <c r="E2134" s="5"/>
      <c r="F2134" s="10"/>
      <c r="G2134" s="11"/>
    </row>
    <row r="2135">
      <c r="A2135" s="5"/>
      <c r="B2135" s="5"/>
      <c r="C2135" s="5"/>
      <c r="D2135" s="10"/>
      <c r="E2135" s="5"/>
      <c r="F2135" s="10"/>
      <c r="G2135" s="11"/>
    </row>
    <row r="2136">
      <c r="A2136" s="5"/>
      <c r="B2136" s="5"/>
      <c r="C2136" s="5"/>
      <c r="D2136" s="10"/>
      <c r="E2136" s="5"/>
      <c r="F2136" s="10"/>
      <c r="G2136" s="11"/>
    </row>
    <row r="2137">
      <c r="A2137" s="5"/>
      <c r="B2137" s="5"/>
      <c r="C2137" s="5"/>
      <c r="D2137" s="10"/>
      <c r="E2137" s="5"/>
      <c r="F2137" s="10"/>
      <c r="G2137" s="11"/>
    </row>
    <row r="2138">
      <c r="A2138" s="5"/>
      <c r="B2138" s="5"/>
      <c r="C2138" s="5"/>
      <c r="D2138" s="10"/>
      <c r="E2138" s="5"/>
      <c r="F2138" s="10"/>
      <c r="G2138" s="11"/>
    </row>
    <row r="2139">
      <c r="A2139" s="5"/>
      <c r="B2139" s="5"/>
      <c r="C2139" s="5"/>
      <c r="D2139" s="10"/>
      <c r="E2139" s="5"/>
      <c r="F2139" s="10"/>
      <c r="G2139" s="11"/>
    </row>
    <row r="2140">
      <c r="A2140" s="5"/>
      <c r="B2140" s="5"/>
      <c r="C2140" s="5"/>
      <c r="D2140" s="10"/>
      <c r="E2140" s="5"/>
      <c r="F2140" s="10"/>
      <c r="G2140" s="11"/>
    </row>
    <row r="2141">
      <c r="A2141" s="5"/>
      <c r="B2141" s="5"/>
      <c r="C2141" s="5"/>
      <c r="D2141" s="10"/>
      <c r="E2141" s="5"/>
      <c r="F2141" s="10"/>
      <c r="G2141" s="11"/>
    </row>
    <row r="2142">
      <c r="A2142" s="5"/>
      <c r="B2142" s="5"/>
      <c r="C2142" s="5"/>
      <c r="D2142" s="10"/>
      <c r="E2142" s="5"/>
      <c r="F2142" s="10"/>
      <c r="G2142" s="11"/>
    </row>
    <row r="2143">
      <c r="A2143" s="5"/>
      <c r="B2143" s="5"/>
      <c r="C2143" s="5"/>
      <c r="D2143" s="10"/>
      <c r="E2143" s="5"/>
      <c r="F2143" s="10"/>
      <c r="G2143" s="11"/>
    </row>
    <row r="2144">
      <c r="A2144" s="5"/>
      <c r="B2144" s="5"/>
      <c r="C2144" s="5"/>
      <c r="D2144" s="10"/>
      <c r="E2144" s="5"/>
      <c r="F2144" s="10"/>
      <c r="G2144" s="11"/>
    </row>
    <row r="2145">
      <c r="A2145" s="5"/>
      <c r="B2145" s="5"/>
      <c r="C2145" s="5"/>
      <c r="D2145" s="10"/>
      <c r="E2145" s="5"/>
      <c r="F2145" s="10"/>
      <c r="G2145" s="11"/>
    </row>
    <row r="2146">
      <c r="A2146" s="5"/>
      <c r="B2146" s="5"/>
      <c r="C2146" s="5"/>
      <c r="D2146" s="10"/>
      <c r="E2146" s="5"/>
      <c r="F2146" s="10"/>
      <c r="G2146" s="11"/>
    </row>
    <row r="2147">
      <c r="A2147" s="5"/>
      <c r="B2147" s="5"/>
      <c r="C2147" s="5"/>
      <c r="D2147" s="10"/>
      <c r="E2147" s="5"/>
      <c r="F2147" s="10"/>
      <c r="G2147" s="11"/>
    </row>
    <row r="2148">
      <c r="A2148" s="5"/>
      <c r="B2148" s="5"/>
      <c r="C2148" s="5"/>
      <c r="D2148" s="10"/>
      <c r="E2148" s="5"/>
      <c r="F2148" s="10"/>
      <c r="G2148" s="11"/>
    </row>
    <row r="2149">
      <c r="A2149" s="5"/>
      <c r="B2149" s="5"/>
      <c r="C2149" s="5"/>
      <c r="D2149" s="10"/>
      <c r="E2149" s="5"/>
      <c r="F2149" s="10"/>
      <c r="G2149" s="11"/>
    </row>
    <row r="2150">
      <c r="A2150" s="5"/>
      <c r="B2150" s="5"/>
      <c r="C2150" s="5"/>
      <c r="D2150" s="10"/>
      <c r="E2150" s="5"/>
      <c r="F2150" s="10"/>
      <c r="G2150" s="11"/>
    </row>
    <row r="2151">
      <c r="A2151" s="5"/>
      <c r="B2151" s="5"/>
      <c r="C2151" s="5"/>
      <c r="D2151" s="10"/>
      <c r="E2151" s="5"/>
      <c r="F2151" s="10"/>
      <c r="G2151" s="11"/>
    </row>
    <row r="2152">
      <c r="A2152" s="5"/>
      <c r="B2152" s="5"/>
      <c r="C2152" s="5"/>
      <c r="D2152" s="10"/>
      <c r="E2152" s="5"/>
      <c r="F2152" s="10"/>
      <c r="G2152" s="11"/>
    </row>
    <row r="2153">
      <c r="A2153" s="5"/>
      <c r="B2153" s="5"/>
      <c r="C2153" s="5"/>
      <c r="D2153" s="10"/>
      <c r="E2153" s="5"/>
      <c r="F2153" s="10"/>
      <c r="G2153" s="11"/>
    </row>
    <row r="2154">
      <c r="A2154" s="5"/>
      <c r="B2154" s="5"/>
      <c r="C2154" s="5"/>
      <c r="D2154" s="10"/>
      <c r="E2154" s="5"/>
      <c r="F2154" s="10"/>
      <c r="G2154" s="11"/>
    </row>
    <row r="2155">
      <c r="A2155" s="5"/>
      <c r="B2155" s="5"/>
      <c r="C2155" s="5"/>
      <c r="D2155" s="10"/>
      <c r="E2155" s="5"/>
      <c r="F2155" s="10"/>
      <c r="G2155" s="11"/>
    </row>
    <row r="2156">
      <c r="A2156" s="5"/>
      <c r="B2156" s="5"/>
      <c r="C2156" s="5"/>
      <c r="D2156" s="10"/>
      <c r="E2156" s="5"/>
      <c r="F2156" s="10"/>
      <c r="G2156" s="11"/>
    </row>
    <row r="2157">
      <c r="A2157" s="5"/>
      <c r="B2157" s="5"/>
      <c r="C2157" s="5"/>
      <c r="D2157" s="10"/>
      <c r="E2157" s="5"/>
      <c r="F2157" s="10"/>
      <c r="G2157" s="11"/>
    </row>
    <row r="2158">
      <c r="A2158" s="5"/>
      <c r="B2158" s="5"/>
      <c r="C2158" s="5"/>
      <c r="D2158" s="10"/>
      <c r="E2158" s="5"/>
      <c r="F2158" s="10"/>
      <c r="G2158" s="11"/>
    </row>
    <row r="2159">
      <c r="A2159" s="5"/>
      <c r="B2159" s="5"/>
      <c r="C2159" s="5"/>
      <c r="D2159" s="10"/>
      <c r="E2159" s="5"/>
      <c r="F2159" s="10"/>
      <c r="G2159" s="11"/>
    </row>
    <row r="2160">
      <c r="A2160" s="5"/>
      <c r="B2160" s="5"/>
      <c r="C2160" s="5"/>
      <c r="D2160" s="10"/>
      <c r="E2160" s="5"/>
      <c r="F2160" s="10"/>
      <c r="G2160" s="11"/>
    </row>
    <row r="2161">
      <c r="A2161" s="5"/>
      <c r="B2161" s="5"/>
      <c r="C2161" s="5"/>
      <c r="D2161" s="10"/>
      <c r="E2161" s="5"/>
      <c r="F2161" s="10"/>
      <c r="G2161" s="11"/>
    </row>
    <row r="2162">
      <c r="A2162" s="5"/>
      <c r="B2162" s="5"/>
      <c r="C2162" s="5"/>
      <c r="D2162" s="10"/>
      <c r="E2162" s="5"/>
      <c r="F2162" s="10"/>
      <c r="G2162" s="11"/>
    </row>
    <row r="2163">
      <c r="A2163" s="5"/>
      <c r="B2163" s="5"/>
      <c r="C2163" s="5"/>
      <c r="D2163" s="10"/>
      <c r="E2163" s="5"/>
      <c r="F2163" s="10"/>
      <c r="G2163" s="11"/>
    </row>
    <row r="2164">
      <c r="A2164" s="5"/>
      <c r="B2164" s="5"/>
      <c r="C2164" s="5"/>
      <c r="D2164" s="10"/>
      <c r="E2164" s="5"/>
      <c r="F2164" s="10"/>
      <c r="G2164" s="11"/>
    </row>
    <row r="2165">
      <c r="A2165" s="5"/>
      <c r="B2165" s="5"/>
      <c r="C2165" s="5"/>
      <c r="D2165" s="10"/>
      <c r="E2165" s="5"/>
      <c r="F2165" s="10"/>
      <c r="G2165" s="11"/>
    </row>
    <row r="2166">
      <c r="A2166" s="5"/>
      <c r="B2166" s="5"/>
      <c r="C2166" s="5"/>
      <c r="D2166" s="10"/>
      <c r="E2166" s="5"/>
      <c r="F2166" s="10"/>
      <c r="G2166" s="11"/>
    </row>
    <row r="2167">
      <c r="A2167" s="5"/>
      <c r="B2167" s="5"/>
      <c r="C2167" s="5"/>
      <c r="D2167" s="10"/>
      <c r="E2167" s="5"/>
      <c r="F2167" s="10"/>
      <c r="G2167" s="11"/>
    </row>
    <row r="2168">
      <c r="A2168" s="5"/>
      <c r="B2168" s="5"/>
      <c r="C2168" s="5"/>
      <c r="D2168" s="10"/>
      <c r="E2168" s="5"/>
      <c r="F2168" s="10"/>
      <c r="G2168" s="11"/>
    </row>
    <row r="2169">
      <c r="A2169" s="5"/>
      <c r="B2169" s="5"/>
      <c r="C2169" s="5"/>
      <c r="D2169" s="10"/>
      <c r="E2169" s="5"/>
      <c r="F2169" s="10"/>
      <c r="G2169" s="11"/>
    </row>
    <row r="2170">
      <c r="A2170" s="5"/>
      <c r="B2170" s="5"/>
      <c r="C2170" s="5"/>
      <c r="D2170" s="10"/>
      <c r="E2170" s="5"/>
      <c r="F2170" s="10"/>
      <c r="G2170" s="11"/>
    </row>
    <row r="2171">
      <c r="A2171" s="5"/>
      <c r="B2171" s="5"/>
      <c r="C2171" s="5"/>
      <c r="D2171" s="10"/>
      <c r="E2171" s="5"/>
      <c r="F2171" s="10"/>
      <c r="G2171" s="11"/>
    </row>
    <row r="2172">
      <c r="A2172" s="5"/>
      <c r="B2172" s="5"/>
      <c r="C2172" s="5"/>
      <c r="D2172" s="10"/>
      <c r="E2172" s="5"/>
      <c r="F2172" s="10"/>
      <c r="G2172" s="11"/>
    </row>
    <row r="2173">
      <c r="A2173" s="5"/>
      <c r="B2173" s="5"/>
      <c r="C2173" s="5"/>
      <c r="D2173" s="10"/>
      <c r="E2173" s="5"/>
      <c r="F2173" s="10"/>
      <c r="G2173" s="11"/>
    </row>
    <row r="2174">
      <c r="A2174" s="5"/>
      <c r="B2174" s="5"/>
      <c r="C2174" s="5"/>
      <c r="D2174" s="10"/>
      <c r="E2174" s="5"/>
      <c r="F2174" s="10"/>
      <c r="G2174" s="11"/>
    </row>
    <row r="2175">
      <c r="A2175" s="5"/>
      <c r="B2175" s="5"/>
      <c r="C2175" s="5"/>
      <c r="D2175" s="10"/>
      <c r="E2175" s="5"/>
      <c r="F2175" s="10"/>
      <c r="G2175" s="11"/>
    </row>
    <row r="2176">
      <c r="A2176" s="5"/>
      <c r="B2176" s="5"/>
      <c r="C2176" s="5"/>
      <c r="D2176" s="10"/>
      <c r="E2176" s="5"/>
      <c r="F2176" s="10"/>
      <c r="G2176" s="11"/>
    </row>
    <row r="2177">
      <c r="A2177" s="5"/>
      <c r="B2177" s="5"/>
      <c r="C2177" s="5"/>
      <c r="D2177" s="10"/>
      <c r="E2177" s="5"/>
      <c r="F2177" s="10"/>
      <c r="G2177" s="11"/>
    </row>
    <row r="2178">
      <c r="A2178" s="5"/>
      <c r="B2178" s="5"/>
      <c r="C2178" s="5"/>
      <c r="D2178" s="10"/>
      <c r="E2178" s="5"/>
      <c r="F2178" s="10"/>
      <c r="G2178" s="11"/>
    </row>
    <row r="2179">
      <c r="A2179" s="5"/>
      <c r="B2179" s="5"/>
      <c r="C2179" s="5"/>
      <c r="D2179" s="10"/>
      <c r="E2179" s="5"/>
      <c r="F2179" s="10"/>
      <c r="G2179" s="11"/>
    </row>
    <row r="2180">
      <c r="A2180" s="5"/>
      <c r="B2180" s="5"/>
      <c r="C2180" s="5"/>
      <c r="D2180" s="10"/>
      <c r="E2180" s="5"/>
      <c r="F2180" s="10"/>
      <c r="G2180" s="11"/>
    </row>
    <row r="2181">
      <c r="A2181" s="5"/>
      <c r="B2181" s="5"/>
      <c r="C2181" s="5"/>
      <c r="D2181" s="10"/>
      <c r="E2181" s="5"/>
      <c r="F2181" s="10"/>
      <c r="G2181" s="11"/>
    </row>
    <row r="2182">
      <c r="A2182" s="5"/>
      <c r="B2182" s="5"/>
      <c r="C2182" s="5"/>
      <c r="D2182" s="10"/>
      <c r="E2182" s="5"/>
      <c r="F2182" s="10"/>
      <c r="G2182" s="11"/>
    </row>
    <row r="2183">
      <c r="A2183" s="5"/>
      <c r="B2183" s="5"/>
      <c r="C2183" s="5"/>
      <c r="D2183" s="10"/>
      <c r="E2183" s="5"/>
      <c r="F2183" s="10"/>
      <c r="G2183" s="11"/>
    </row>
    <row r="2184">
      <c r="A2184" s="5"/>
      <c r="B2184" s="5"/>
      <c r="C2184" s="5"/>
      <c r="D2184" s="10"/>
      <c r="E2184" s="5"/>
      <c r="F2184" s="10"/>
      <c r="G2184" s="11"/>
    </row>
    <row r="2185">
      <c r="A2185" s="5"/>
      <c r="B2185" s="5"/>
      <c r="C2185" s="5"/>
      <c r="D2185" s="10"/>
      <c r="E2185" s="5"/>
      <c r="F2185" s="10"/>
      <c r="G2185" s="11"/>
    </row>
    <row r="2186">
      <c r="A2186" s="5"/>
      <c r="B2186" s="5"/>
      <c r="C2186" s="5"/>
      <c r="D2186" s="10"/>
      <c r="E2186" s="5"/>
      <c r="F2186" s="10"/>
      <c r="G2186" s="11"/>
    </row>
    <row r="2187">
      <c r="A2187" s="5"/>
      <c r="B2187" s="5"/>
      <c r="C2187" s="5"/>
      <c r="D2187" s="10"/>
      <c r="E2187" s="5"/>
      <c r="F2187" s="10"/>
      <c r="G2187" s="11"/>
    </row>
    <row r="2188">
      <c r="A2188" s="5"/>
      <c r="B2188" s="5"/>
      <c r="C2188" s="5"/>
      <c r="D2188" s="10"/>
      <c r="E2188" s="5"/>
      <c r="F2188" s="10"/>
      <c r="G2188" s="11"/>
    </row>
    <row r="2189">
      <c r="A2189" s="5"/>
      <c r="B2189" s="5"/>
      <c r="C2189" s="5"/>
      <c r="D2189" s="10"/>
      <c r="E2189" s="5"/>
      <c r="F2189" s="10"/>
      <c r="G2189" s="11"/>
    </row>
    <row r="2190">
      <c r="A2190" s="5"/>
      <c r="B2190" s="5"/>
      <c r="C2190" s="5"/>
      <c r="D2190" s="10"/>
      <c r="E2190" s="5"/>
      <c r="F2190" s="10"/>
      <c r="G2190" s="11"/>
    </row>
    <row r="2191">
      <c r="A2191" s="5"/>
      <c r="B2191" s="5"/>
      <c r="C2191" s="5"/>
      <c r="D2191" s="10"/>
      <c r="E2191" s="5"/>
      <c r="F2191" s="10"/>
      <c r="G2191" s="11"/>
    </row>
    <row r="2192">
      <c r="A2192" s="5"/>
      <c r="B2192" s="5"/>
      <c r="C2192" s="5"/>
      <c r="D2192" s="10"/>
      <c r="E2192" s="5"/>
      <c r="F2192" s="10"/>
      <c r="G2192" s="11"/>
    </row>
    <row r="2193">
      <c r="A2193" s="5"/>
      <c r="B2193" s="5"/>
      <c r="C2193" s="5"/>
      <c r="D2193" s="10"/>
      <c r="E2193" s="5"/>
      <c r="F2193" s="10"/>
      <c r="G2193" s="11"/>
    </row>
    <row r="2194">
      <c r="A2194" s="5"/>
      <c r="B2194" s="5"/>
      <c r="C2194" s="5"/>
      <c r="D2194" s="10"/>
      <c r="E2194" s="5"/>
      <c r="F2194" s="10"/>
      <c r="G2194" s="11"/>
    </row>
    <row r="2195">
      <c r="A2195" s="5"/>
      <c r="B2195" s="5"/>
      <c r="C2195" s="5"/>
      <c r="D2195" s="10"/>
      <c r="E2195" s="5"/>
      <c r="F2195" s="10"/>
      <c r="G2195" s="11"/>
    </row>
    <row r="2196">
      <c r="A2196" s="5"/>
      <c r="B2196" s="5"/>
      <c r="C2196" s="5"/>
      <c r="D2196" s="10"/>
      <c r="E2196" s="5"/>
      <c r="F2196" s="10"/>
      <c r="G2196" s="11"/>
    </row>
    <row r="2197">
      <c r="A2197" s="5"/>
      <c r="B2197" s="5"/>
      <c r="C2197" s="5"/>
      <c r="D2197" s="10"/>
      <c r="E2197" s="5"/>
      <c r="F2197" s="10"/>
      <c r="G2197" s="11"/>
    </row>
    <row r="2198">
      <c r="A2198" s="5"/>
      <c r="B2198" s="5"/>
      <c r="C2198" s="5"/>
      <c r="D2198" s="10"/>
      <c r="E2198" s="5"/>
      <c r="F2198" s="10"/>
      <c r="G2198" s="11"/>
    </row>
    <row r="2199">
      <c r="A2199" s="5"/>
      <c r="B2199" s="5"/>
      <c r="C2199" s="5"/>
      <c r="D2199" s="10"/>
      <c r="E2199" s="5"/>
      <c r="F2199" s="10"/>
      <c r="G2199" s="11"/>
    </row>
    <row r="2200">
      <c r="A2200" s="5"/>
      <c r="B2200" s="5"/>
      <c r="C2200" s="5"/>
      <c r="D2200" s="10"/>
      <c r="E2200" s="5"/>
      <c r="F2200" s="10"/>
      <c r="G2200" s="11"/>
    </row>
    <row r="2201">
      <c r="A2201" s="5"/>
      <c r="B2201" s="5"/>
      <c r="C2201" s="5"/>
      <c r="D2201" s="10"/>
      <c r="E2201" s="5"/>
      <c r="F2201" s="10"/>
      <c r="G2201" s="11"/>
    </row>
    <row r="2202">
      <c r="A2202" s="5"/>
      <c r="B2202" s="5"/>
      <c r="C2202" s="5"/>
      <c r="D2202" s="10"/>
      <c r="E2202" s="5"/>
      <c r="F2202" s="10"/>
      <c r="G2202" s="11"/>
    </row>
    <row r="2203">
      <c r="A2203" s="5"/>
      <c r="B2203" s="5"/>
      <c r="C2203" s="5"/>
      <c r="D2203" s="10"/>
      <c r="E2203" s="5"/>
      <c r="F2203" s="10"/>
      <c r="G2203" s="11"/>
    </row>
    <row r="2204">
      <c r="A2204" s="5"/>
      <c r="B2204" s="5"/>
      <c r="C2204" s="5"/>
      <c r="D2204" s="10"/>
      <c r="E2204" s="5"/>
      <c r="F2204" s="10"/>
      <c r="G2204" s="11"/>
    </row>
    <row r="2205">
      <c r="A2205" s="5"/>
      <c r="B2205" s="5"/>
      <c r="C2205" s="5"/>
      <c r="D2205" s="10"/>
      <c r="E2205" s="5"/>
      <c r="F2205" s="10"/>
      <c r="G2205" s="11"/>
    </row>
    <row r="2206">
      <c r="A2206" s="5"/>
      <c r="B2206" s="5"/>
      <c r="C2206" s="5"/>
      <c r="D2206" s="10"/>
      <c r="E2206" s="5"/>
      <c r="F2206" s="10"/>
      <c r="G2206" s="11"/>
    </row>
    <row r="2207">
      <c r="A2207" s="5"/>
      <c r="B2207" s="5"/>
      <c r="C2207" s="5"/>
      <c r="D2207" s="10"/>
      <c r="E2207" s="5"/>
      <c r="F2207" s="10"/>
      <c r="G2207" s="11"/>
    </row>
    <row r="2208">
      <c r="A2208" s="5"/>
      <c r="B2208" s="5"/>
      <c r="C2208" s="5"/>
      <c r="D2208" s="10"/>
      <c r="E2208" s="5"/>
      <c r="F2208" s="10"/>
      <c r="G2208" s="11"/>
    </row>
    <row r="2209">
      <c r="A2209" s="5"/>
      <c r="B2209" s="5"/>
      <c r="C2209" s="5"/>
      <c r="D2209" s="10"/>
      <c r="E2209" s="5"/>
      <c r="F2209" s="10"/>
      <c r="G2209" s="11"/>
    </row>
    <row r="2210">
      <c r="A2210" s="5"/>
      <c r="B2210" s="5"/>
      <c r="C2210" s="5"/>
      <c r="D2210" s="10"/>
      <c r="E2210" s="5"/>
      <c r="F2210" s="10"/>
      <c r="G2210" s="11"/>
    </row>
    <row r="2211">
      <c r="A2211" s="5"/>
      <c r="B2211" s="5"/>
      <c r="C2211" s="5"/>
      <c r="D2211" s="10"/>
      <c r="E2211" s="5"/>
      <c r="F2211" s="10"/>
      <c r="G2211" s="11"/>
    </row>
    <row r="2212">
      <c r="A2212" s="5"/>
      <c r="B2212" s="5"/>
      <c r="C2212" s="5"/>
      <c r="D2212" s="10"/>
      <c r="E2212" s="5"/>
      <c r="F2212" s="10"/>
      <c r="G2212" s="11"/>
    </row>
    <row r="2213">
      <c r="A2213" s="5"/>
      <c r="B2213" s="5"/>
      <c r="C2213" s="5"/>
      <c r="D2213" s="10"/>
      <c r="E2213" s="5"/>
      <c r="F2213" s="10"/>
      <c r="G2213" s="11"/>
    </row>
    <row r="2214">
      <c r="A2214" s="5"/>
      <c r="B2214" s="5"/>
      <c r="C2214" s="5"/>
      <c r="D2214" s="10"/>
      <c r="E2214" s="5"/>
      <c r="F2214" s="10"/>
      <c r="G2214" s="11"/>
    </row>
    <row r="2215">
      <c r="A2215" s="5"/>
      <c r="B2215" s="5"/>
      <c r="C2215" s="5"/>
      <c r="D2215" s="10"/>
      <c r="E2215" s="5"/>
      <c r="F2215" s="10"/>
      <c r="G2215" s="11"/>
    </row>
    <row r="2216">
      <c r="A2216" s="5"/>
      <c r="B2216" s="5"/>
      <c r="C2216" s="5"/>
      <c r="D2216" s="10"/>
      <c r="E2216" s="5"/>
      <c r="F2216" s="10"/>
      <c r="G2216" s="11"/>
    </row>
    <row r="2217">
      <c r="A2217" s="5"/>
      <c r="B2217" s="5"/>
      <c r="C2217" s="5"/>
      <c r="D2217" s="10"/>
      <c r="E2217" s="5"/>
      <c r="F2217" s="10"/>
      <c r="G2217" s="11"/>
    </row>
    <row r="2218">
      <c r="A2218" s="5"/>
      <c r="B2218" s="5"/>
      <c r="C2218" s="5"/>
      <c r="D2218" s="10"/>
      <c r="E2218" s="5"/>
      <c r="F2218" s="10"/>
      <c r="G2218" s="11"/>
    </row>
    <row r="2219">
      <c r="A2219" s="5"/>
      <c r="B2219" s="5"/>
      <c r="C2219" s="5"/>
      <c r="D2219" s="10"/>
      <c r="E2219" s="5"/>
      <c r="F2219" s="10"/>
      <c r="G2219" s="11"/>
    </row>
    <row r="2220">
      <c r="A2220" s="5"/>
      <c r="B2220" s="5"/>
      <c r="C2220" s="5"/>
      <c r="D2220" s="10"/>
      <c r="E2220" s="5"/>
      <c r="F2220" s="10"/>
      <c r="G2220" s="11"/>
    </row>
    <row r="2221">
      <c r="A2221" s="5"/>
      <c r="B2221" s="5"/>
      <c r="C2221" s="5"/>
      <c r="D2221" s="10"/>
      <c r="E2221" s="5"/>
      <c r="F2221" s="10"/>
      <c r="G2221" s="11"/>
    </row>
    <row r="2222">
      <c r="A2222" s="5"/>
      <c r="B2222" s="5"/>
      <c r="C2222" s="5"/>
      <c r="D2222" s="10"/>
      <c r="E2222" s="5"/>
      <c r="F2222" s="10"/>
      <c r="G2222" s="11"/>
    </row>
    <row r="2223">
      <c r="A2223" s="5"/>
      <c r="B2223" s="5"/>
      <c r="C2223" s="5"/>
      <c r="D2223" s="10"/>
      <c r="E2223" s="5"/>
      <c r="F2223" s="10"/>
      <c r="G2223" s="11"/>
    </row>
    <row r="2224">
      <c r="A2224" s="5"/>
      <c r="B2224" s="5"/>
      <c r="C2224" s="5"/>
      <c r="D2224" s="10"/>
      <c r="E2224" s="5"/>
      <c r="F2224" s="10"/>
      <c r="G2224" s="11"/>
    </row>
    <row r="2225">
      <c r="A2225" s="5"/>
      <c r="B2225" s="5"/>
      <c r="C2225" s="5"/>
      <c r="D2225" s="10"/>
      <c r="E2225" s="5"/>
      <c r="F2225" s="10"/>
      <c r="G2225" s="11"/>
    </row>
    <row r="2226">
      <c r="A2226" s="5"/>
      <c r="B2226" s="5"/>
      <c r="C2226" s="5"/>
      <c r="D2226" s="10"/>
      <c r="E2226" s="5"/>
      <c r="F2226" s="10"/>
      <c r="G2226" s="11"/>
    </row>
    <row r="2227">
      <c r="A2227" s="5"/>
      <c r="B2227" s="5"/>
      <c r="C2227" s="5"/>
      <c r="D2227" s="10"/>
      <c r="E2227" s="5"/>
      <c r="F2227" s="10"/>
      <c r="G2227" s="11"/>
    </row>
    <row r="2228">
      <c r="A2228" s="5"/>
      <c r="B2228" s="5"/>
      <c r="C2228" s="5"/>
      <c r="D2228" s="10"/>
      <c r="E2228" s="5"/>
      <c r="F2228" s="10"/>
      <c r="G2228" s="11"/>
    </row>
    <row r="2229">
      <c r="A2229" s="5"/>
      <c r="B2229" s="5"/>
      <c r="C2229" s="5"/>
      <c r="D2229" s="10"/>
      <c r="E2229" s="5"/>
      <c r="F2229" s="10"/>
      <c r="G2229" s="11"/>
    </row>
    <row r="2230">
      <c r="A2230" s="5"/>
      <c r="B2230" s="5"/>
      <c r="C2230" s="5"/>
      <c r="D2230" s="10"/>
      <c r="E2230" s="5"/>
      <c r="F2230" s="10"/>
      <c r="G2230" s="11"/>
    </row>
    <row r="2231">
      <c r="A2231" s="5"/>
      <c r="B2231" s="5"/>
      <c r="C2231" s="5"/>
      <c r="D2231" s="10"/>
      <c r="E2231" s="5"/>
      <c r="F2231" s="10"/>
      <c r="G2231" s="11"/>
    </row>
    <row r="2232">
      <c r="A2232" s="5"/>
      <c r="B2232" s="5"/>
      <c r="C2232" s="5"/>
      <c r="D2232" s="10"/>
      <c r="E2232" s="5"/>
      <c r="F2232" s="10"/>
      <c r="G2232" s="11"/>
    </row>
    <row r="2233">
      <c r="A2233" s="5"/>
      <c r="B2233" s="5"/>
      <c r="C2233" s="5"/>
      <c r="D2233" s="10"/>
      <c r="E2233" s="5"/>
      <c r="F2233" s="10"/>
      <c r="G2233" s="11"/>
    </row>
    <row r="2234">
      <c r="A2234" s="5"/>
      <c r="B2234" s="5"/>
      <c r="C2234" s="5"/>
      <c r="D2234" s="10"/>
      <c r="E2234" s="5"/>
      <c r="F2234" s="10"/>
      <c r="G2234" s="11"/>
    </row>
    <row r="2235">
      <c r="A2235" s="5"/>
      <c r="B2235" s="5"/>
      <c r="C2235" s="5"/>
      <c r="D2235" s="10"/>
      <c r="E2235" s="5"/>
      <c r="F2235" s="10"/>
      <c r="G2235" s="11"/>
    </row>
    <row r="2236">
      <c r="A2236" s="5"/>
      <c r="B2236" s="5"/>
      <c r="C2236" s="5"/>
      <c r="D2236" s="10"/>
      <c r="E2236" s="5"/>
      <c r="F2236" s="10"/>
      <c r="G2236" s="11"/>
    </row>
    <row r="2237">
      <c r="A2237" s="5"/>
      <c r="B2237" s="5"/>
      <c r="C2237" s="5"/>
      <c r="D2237" s="10"/>
      <c r="E2237" s="5"/>
      <c r="F2237" s="10"/>
      <c r="G2237" s="11"/>
    </row>
    <row r="2238">
      <c r="A2238" s="5"/>
      <c r="B2238" s="5"/>
      <c r="C2238" s="5"/>
      <c r="D2238" s="10"/>
      <c r="E2238" s="5"/>
      <c r="F2238" s="10"/>
      <c r="G2238" s="11"/>
    </row>
    <row r="2239">
      <c r="A2239" s="5"/>
      <c r="B2239" s="5"/>
      <c r="C2239" s="5"/>
      <c r="D2239" s="10"/>
      <c r="E2239" s="5"/>
      <c r="F2239" s="10"/>
      <c r="G2239" s="11"/>
    </row>
    <row r="2240">
      <c r="A2240" s="5"/>
      <c r="B2240" s="5"/>
      <c r="C2240" s="5"/>
      <c r="D2240" s="10"/>
      <c r="E2240" s="5"/>
      <c r="F2240" s="10"/>
      <c r="G2240" s="11"/>
    </row>
    <row r="2241">
      <c r="A2241" s="5"/>
      <c r="B2241" s="5"/>
      <c r="C2241" s="5"/>
      <c r="D2241" s="10"/>
      <c r="E2241" s="5"/>
      <c r="F2241" s="10"/>
      <c r="G2241" s="11"/>
    </row>
    <row r="2242">
      <c r="A2242" s="5"/>
      <c r="B2242" s="5"/>
      <c r="C2242" s="5"/>
      <c r="D2242" s="10"/>
      <c r="E2242" s="5"/>
      <c r="F2242" s="10"/>
      <c r="G2242" s="11"/>
    </row>
    <row r="2243">
      <c r="A2243" s="5"/>
      <c r="B2243" s="5"/>
      <c r="C2243" s="5"/>
      <c r="D2243" s="10"/>
      <c r="E2243" s="5"/>
      <c r="F2243" s="10"/>
      <c r="G2243" s="11"/>
    </row>
    <row r="2244">
      <c r="A2244" s="5"/>
      <c r="B2244" s="5"/>
      <c r="C2244" s="5"/>
      <c r="D2244" s="10"/>
      <c r="E2244" s="5"/>
      <c r="F2244" s="10"/>
      <c r="G2244" s="11"/>
    </row>
    <row r="2245">
      <c r="A2245" s="5"/>
      <c r="B2245" s="5"/>
      <c r="C2245" s="5"/>
      <c r="D2245" s="10"/>
      <c r="E2245" s="5"/>
      <c r="F2245" s="10"/>
      <c r="G2245" s="11"/>
    </row>
    <row r="2246">
      <c r="A2246" s="5"/>
      <c r="B2246" s="5"/>
      <c r="C2246" s="5"/>
      <c r="D2246" s="10"/>
      <c r="E2246" s="5"/>
      <c r="F2246" s="10"/>
      <c r="G2246" s="11"/>
    </row>
    <row r="2247">
      <c r="A2247" s="5"/>
      <c r="B2247" s="5"/>
      <c r="C2247" s="5"/>
      <c r="D2247" s="10"/>
      <c r="E2247" s="5"/>
      <c r="F2247" s="10"/>
      <c r="G2247" s="11"/>
    </row>
    <row r="2248">
      <c r="A2248" s="5"/>
      <c r="B2248" s="5"/>
      <c r="C2248" s="5"/>
      <c r="D2248" s="10"/>
      <c r="E2248" s="5"/>
      <c r="F2248" s="10"/>
      <c r="G2248" s="11"/>
    </row>
    <row r="2249">
      <c r="A2249" s="5"/>
      <c r="B2249" s="5"/>
      <c r="C2249" s="5"/>
      <c r="D2249" s="10"/>
      <c r="E2249" s="5"/>
      <c r="F2249" s="10"/>
      <c r="G2249" s="11"/>
    </row>
    <row r="2250">
      <c r="A2250" s="5"/>
      <c r="B2250" s="5"/>
      <c r="C2250" s="5"/>
      <c r="D2250" s="10"/>
      <c r="E2250" s="5"/>
      <c r="F2250" s="10"/>
      <c r="G2250" s="11"/>
    </row>
    <row r="2251">
      <c r="A2251" s="5"/>
      <c r="B2251" s="5"/>
      <c r="C2251" s="5"/>
      <c r="D2251" s="10"/>
      <c r="E2251" s="5"/>
      <c r="F2251" s="10"/>
      <c r="G2251" s="11"/>
    </row>
    <row r="2252">
      <c r="A2252" s="5"/>
      <c r="B2252" s="5"/>
      <c r="C2252" s="5"/>
      <c r="D2252" s="10"/>
      <c r="E2252" s="5"/>
      <c r="F2252" s="10"/>
      <c r="G2252" s="11"/>
    </row>
    <row r="2253">
      <c r="A2253" s="5"/>
      <c r="B2253" s="5"/>
      <c r="C2253" s="5"/>
      <c r="D2253" s="10"/>
      <c r="E2253" s="5"/>
      <c r="F2253" s="10"/>
      <c r="G2253" s="11"/>
    </row>
    <row r="2254">
      <c r="A2254" s="5"/>
      <c r="B2254" s="5"/>
      <c r="C2254" s="5"/>
      <c r="D2254" s="10"/>
      <c r="E2254" s="5"/>
      <c r="F2254" s="10"/>
      <c r="G2254" s="11"/>
    </row>
    <row r="2255">
      <c r="A2255" s="5"/>
      <c r="B2255" s="5"/>
      <c r="C2255" s="5"/>
      <c r="D2255" s="10"/>
      <c r="E2255" s="5"/>
      <c r="F2255" s="10"/>
      <c r="G2255" s="11"/>
    </row>
    <row r="2256">
      <c r="A2256" s="5"/>
      <c r="B2256" s="5"/>
      <c r="C2256" s="5"/>
      <c r="D2256" s="10"/>
      <c r="E2256" s="5"/>
      <c r="F2256" s="10"/>
      <c r="G2256" s="11"/>
    </row>
    <row r="2257">
      <c r="A2257" s="5"/>
      <c r="B2257" s="5"/>
      <c r="C2257" s="5"/>
      <c r="D2257" s="10"/>
      <c r="E2257" s="5"/>
      <c r="F2257" s="10"/>
      <c r="G2257" s="11"/>
    </row>
    <row r="2258">
      <c r="A2258" s="5"/>
      <c r="B2258" s="5"/>
      <c r="C2258" s="5"/>
      <c r="D2258" s="10"/>
      <c r="E2258" s="5"/>
      <c r="F2258" s="10"/>
      <c r="G2258" s="11"/>
    </row>
    <row r="2259">
      <c r="A2259" s="5"/>
      <c r="B2259" s="5"/>
      <c r="C2259" s="5"/>
      <c r="D2259" s="10"/>
      <c r="E2259" s="5"/>
      <c r="F2259" s="10"/>
      <c r="G2259" s="11"/>
    </row>
    <row r="2260">
      <c r="A2260" s="5"/>
      <c r="B2260" s="5"/>
      <c r="C2260" s="5"/>
      <c r="D2260" s="10"/>
      <c r="E2260" s="5"/>
      <c r="F2260" s="10"/>
      <c r="G2260" s="11"/>
    </row>
    <row r="2261">
      <c r="A2261" s="5"/>
      <c r="B2261" s="5"/>
      <c r="C2261" s="5"/>
      <c r="D2261" s="10"/>
      <c r="E2261" s="5"/>
      <c r="F2261" s="10"/>
      <c r="G2261" s="11"/>
    </row>
    <row r="2262">
      <c r="A2262" s="5"/>
      <c r="B2262" s="5"/>
      <c r="C2262" s="5"/>
      <c r="D2262" s="10"/>
      <c r="E2262" s="5"/>
      <c r="F2262" s="10"/>
      <c r="G2262" s="11"/>
    </row>
    <row r="2263">
      <c r="A2263" s="5"/>
      <c r="B2263" s="5"/>
      <c r="C2263" s="5"/>
      <c r="D2263" s="10"/>
      <c r="E2263" s="5"/>
      <c r="F2263" s="10"/>
      <c r="G2263" s="11"/>
    </row>
    <row r="2264">
      <c r="A2264" s="5"/>
      <c r="B2264" s="5"/>
      <c r="C2264" s="5"/>
      <c r="D2264" s="10"/>
      <c r="E2264" s="5"/>
      <c r="F2264" s="10"/>
      <c r="G2264" s="11"/>
    </row>
    <row r="2265">
      <c r="A2265" s="5"/>
      <c r="B2265" s="5"/>
      <c r="C2265" s="5"/>
      <c r="D2265" s="10"/>
      <c r="E2265" s="5"/>
      <c r="F2265" s="10"/>
      <c r="G2265" s="11"/>
    </row>
    <row r="2266">
      <c r="A2266" s="5"/>
      <c r="B2266" s="5"/>
      <c r="C2266" s="5"/>
      <c r="D2266" s="10"/>
      <c r="E2266" s="5"/>
      <c r="F2266" s="10"/>
      <c r="G2266" s="11"/>
    </row>
    <row r="2267">
      <c r="A2267" s="5"/>
      <c r="B2267" s="5"/>
      <c r="C2267" s="5"/>
      <c r="D2267" s="10"/>
      <c r="E2267" s="5"/>
      <c r="F2267" s="10"/>
      <c r="G2267" s="11"/>
    </row>
    <row r="2268">
      <c r="A2268" s="5"/>
      <c r="B2268" s="5"/>
      <c r="C2268" s="5"/>
      <c r="D2268" s="10"/>
      <c r="E2268" s="5"/>
      <c r="F2268" s="10"/>
      <c r="G2268" s="11"/>
    </row>
    <row r="2269">
      <c r="A2269" s="5"/>
      <c r="B2269" s="5"/>
      <c r="C2269" s="5"/>
      <c r="D2269" s="10"/>
      <c r="E2269" s="5"/>
      <c r="F2269" s="10"/>
      <c r="G2269" s="11"/>
    </row>
    <row r="2270">
      <c r="A2270" s="5"/>
      <c r="B2270" s="5"/>
      <c r="C2270" s="5"/>
      <c r="D2270" s="10"/>
      <c r="E2270" s="5"/>
      <c r="F2270" s="10"/>
      <c r="G2270" s="11"/>
    </row>
    <row r="2271">
      <c r="A2271" s="5"/>
      <c r="B2271" s="5"/>
      <c r="C2271" s="5"/>
      <c r="D2271" s="10"/>
      <c r="E2271" s="5"/>
      <c r="F2271" s="10"/>
      <c r="G2271" s="11"/>
    </row>
    <row r="2272">
      <c r="A2272" s="5"/>
      <c r="B2272" s="5"/>
      <c r="C2272" s="5"/>
      <c r="D2272" s="10"/>
      <c r="E2272" s="5"/>
      <c r="F2272" s="10"/>
      <c r="G2272" s="11"/>
    </row>
    <row r="2273">
      <c r="A2273" s="5"/>
      <c r="B2273" s="5"/>
      <c r="C2273" s="5"/>
      <c r="D2273" s="10"/>
      <c r="E2273" s="5"/>
      <c r="F2273" s="10"/>
      <c r="G2273" s="11"/>
    </row>
    <row r="2274">
      <c r="A2274" s="5"/>
      <c r="B2274" s="5"/>
      <c r="C2274" s="5"/>
      <c r="D2274" s="10"/>
      <c r="E2274" s="5"/>
      <c r="F2274" s="10"/>
      <c r="G2274" s="11"/>
    </row>
    <row r="2275">
      <c r="A2275" s="5"/>
      <c r="B2275" s="5"/>
      <c r="C2275" s="5"/>
      <c r="D2275" s="10"/>
      <c r="E2275" s="5"/>
      <c r="F2275" s="10"/>
      <c r="G2275" s="11"/>
    </row>
    <row r="2276">
      <c r="A2276" s="5"/>
      <c r="B2276" s="5"/>
      <c r="C2276" s="5"/>
      <c r="D2276" s="10"/>
      <c r="E2276" s="5"/>
      <c r="F2276" s="10"/>
      <c r="G2276" s="11"/>
    </row>
    <row r="2277">
      <c r="A2277" s="5"/>
      <c r="B2277" s="5"/>
      <c r="C2277" s="5"/>
      <c r="D2277" s="10"/>
      <c r="E2277" s="5"/>
      <c r="F2277" s="10"/>
      <c r="G2277" s="11"/>
    </row>
    <row r="2278">
      <c r="A2278" s="5"/>
      <c r="B2278" s="5"/>
      <c r="C2278" s="5"/>
      <c r="D2278" s="10"/>
      <c r="E2278" s="5"/>
      <c r="F2278" s="10"/>
      <c r="G2278" s="11"/>
    </row>
    <row r="2279">
      <c r="A2279" s="5"/>
      <c r="B2279" s="5"/>
      <c r="C2279" s="5"/>
      <c r="D2279" s="10"/>
      <c r="E2279" s="5"/>
      <c r="F2279" s="10"/>
      <c r="G2279" s="11"/>
    </row>
    <row r="2280">
      <c r="A2280" s="5"/>
      <c r="B2280" s="5"/>
      <c r="C2280" s="5"/>
      <c r="D2280" s="10"/>
      <c r="E2280" s="5"/>
      <c r="F2280" s="10"/>
      <c r="G2280" s="11"/>
    </row>
    <row r="2281">
      <c r="A2281" s="5"/>
      <c r="B2281" s="5"/>
      <c r="C2281" s="5"/>
      <c r="D2281" s="10"/>
      <c r="E2281" s="5"/>
      <c r="F2281" s="10"/>
      <c r="G2281" s="11"/>
    </row>
    <row r="2282">
      <c r="A2282" s="5"/>
      <c r="B2282" s="5"/>
      <c r="C2282" s="5"/>
      <c r="D2282" s="10"/>
      <c r="E2282" s="5"/>
      <c r="F2282" s="10"/>
      <c r="G2282" s="11"/>
    </row>
    <row r="2283">
      <c r="A2283" s="5"/>
      <c r="B2283" s="5"/>
      <c r="C2283" s="5"/>
      <c r="D2283" s="10"/>
      <c r="E2283" s="5"/>
      <c r="F2283" s="10"/>
      <c r="G2283" s="11"/>
    </row>
    <row r="2284">
      <c r="A2284" s="5"/>
      <c r="B2284" s="5"/>
      <c r="C2284" s="5"/>
      <c r="D2284" s="10"/>
      <c r="E2284" s="5"/>
      <c r="F2284" s="10"/>
      <c r="G2284" s="11"/>
    </row>
    <row r="2285">
      <c r="A2285" s="5"/>
      <c r="B2285" s="5"/>
      <c r="C2285" s="5"/>
      <c r="D2285" s="10"/>
      <c r="E2285" s="5"/>
      <c r="F2285" s="10"/>
      <c r="G2285" s="11"/>
    </row>
    <row r="2286">
      <c r="A2286" s="5"/>
      <c r="B2286" s="5"/>
      <c r="C2286" s="5"/>
      <c r="D2286" s="10"/>
      <c r="E2286" s="5"/>
      <c r="F2286" s="10"/>
      <c r="G2286" s="11"/>
    </row>
    <row r="2287">
      <c r="A2287" s="5"/>
      <c r="B2287" s="5"/>
      <c r="C2287" s="5"/>
      <c r="D2287" s="10"/>
      <c r="E2287" s="5"/>
      <c r="F2287" s="10"/>
      <c r="G2287" s="11"/>
    </row>
    <row r="2288">
      <c r="A2288" s="5"/>
      <c r="B2288" s="5"/>
      <c r="C2288" s="5"/>
      <c r="D2288" s="10"/>
      <c r="E2288" s="5"/>
      <c r="F2288" s="10"/>
      <c r="G2288" s="11"/>
    </row>
    <row r="2289">
      <c r="A2289" s="5"/>
      <c r="B2289" s="5"/>
      <c r="C2289" s="5"/>
      <c r="D2289" s="10"/>
      <c r="E2289" s="5"/>
      <c r="F2289" s="10"/>
      <c r="G2289" s="11"/>
    </row>
    <row r="2290">
      <c r="A2290" s="5"/>
      <c r="B2290" s="5"/>
      <c r="C2290" s="5"/>
      <c r="D2290" s="10"/>
      <c r="E2290" s="5"/>
      <c r="F2290" s="10"/>
      <c r="G2290" s="11"/>
    </row>
    <row r="2291">
      <c r="A2291" s="5"/>
      <c r="B2291" s="5"/>
      <c r="C2291" s="5"/>
      <c r="D2291" s="10"/>
      <c r="E2291" s="5"/>
      <c r="F2291" s="10"/>
      <c r="G2291" s="11"/>
    </row>
    <row r="2292">
      <c r="A2292" s="5"/>
      <c r="B2292" s="5"/>
      <c r="C2292" s="5"/>
      <c r="D2292" s="10"/>
      <c r="E2292" s="5"/>
      <c r="F2292" s="10"/>
      <c r="G2292" s="11"/>
    </row>
    <row r="2293">
      <c r="A2293" s="5"/>
      <c r="B2293" s="5"/>
      <c r="C2293" s="5"/>
      <c r="D2293" s="10"/>
      <c r="E2293" s="5"/>
      <c r="F2293" s="10"/>
      <c r="G2293" s="11"/>
    </row>
    <row r="2294">
      <c r="A2294" s="5"/>
      <c r="B2294" s="5"/>
      <c r="C2294" s="5"/>
      <c r="D2294" s="10"/>
      <c r="E2294" s="5"/>
      <c r="F2294" s="10"/>
      <c r="G2294" s="11"/>
    </row>
    <row r="2295">
      <c r="A2295" s="5"/>
      <c r="B2295" s="5"/>
      <c r="C2295" s="5"/>
      <c r="D2295" s="10"/>
      <c r="E2295" s="5"/>
      <c r="F2295" s="10"/>
      <c r="G2295" s="11"/>
    </row>
    <row r="2296">
      <c r="A2296" s="5"/>
      <c r="B2296" s="5"/>
      <c r="C2296" s="5"/>
      <c r="D2296" s="10"/>
      <c r="E2296" s="5"/>
      <c r="F2296" s="10"/>
      <c r="G2296" s="11"/>
    </row>
    <row r="2297">
      <c r="A2297" s="5"/>
      <c r="B2297" s="5"/>
      <c r="C2297" s="5"/>
      <c r="D2297" s="10"/>
      <c r="E2297" s="5"/>
      <c r="F2297" s="10"/>
      <c r="G2297" s="11"/>
    </row>
    <row r="2298">
      <c r="A2298" s="5"/>
      <c r="B2298" s="5"/>
      <c r="C2298" s="5"/>
      <c r="D2298" s="10"/>
      <c r="E2298" s="5"/>
      <c r="F2298" s="10"/>
      <c r="G2298" s="11"/>
    </row>
    <row r="2299">
      <c r="A2299" s="5"/>
      <c r="B2299" s="5"/>
      <c r="C2299" s="5"/>
      <c r="D2299" s="10"/>
      <c r="E2299" s="5"/>
      <c r="F2299" s="10"/>
      <c r="G2299" s="11"/>
    </row>
    <row r="2300">
      <c r="A2300" s="5"/>
      <c r="B2300" s="5"/>
      <c r="C2300" s="5"/>
      <c r="D2300" s="10"/>
      <c r="E2300" s="5"/>
      <c r="F2300" s="10"/>
      <c r="G2300" s="11"/>
    </row>
    <row r="2301">
      <c r="A2301" s="5"/>
      <c r="B2301" s="5"/>
      <c r="C2301" s="5"/>
      <c r="D2301" s="10"/>
      <c r="E2301" s="5"/>
      <c r="F2301" s="10"/>
      <c r="G2301" s="11"/>
    </row>
    <row r="2302">
      <c r="A2302" s="5"/>
      <c r="B2302" s="5"/>
      <c r="C2302" s="5"/>
      <c r="D2302" s="10"/>
      <c r="E2302" s="5"/>
      <c r="F2302" s="10"/>
      <c r="G2302" s="11"/>
    </row>
    <row r="2303">
      <c r="A2303" s="5"/>
      <c r="B2303" s="5"/>
      <c r="C2303" s="5"/>
      <c r="D2303" s="10"/>
      <c r="E2303" s="5"/>
      <c r="F2303" s="10"/>
      <c r="G2303" s="11"/>
    </row>
    <row r="2304">
      <c r="A2304" s="5"/>
      <c r="B2304" s="5"/>
      <c r="C2304" s="5"/>
      <c r="D2304" s="10"/>
      <c r="E2304" s="5"/>
      <c r="F2304" s="10"/>
      <c r="G2304" s="11"/>
    </row>
    <row r="2305">
      <c r="A2305" s="5"/>
      <c r="B2305" s="5"/>
      <c r="C2305" s="5"/>
      <c r="D2305" s="10"/>
      <c r="E2305" s="5"/>
      <c r="F2305" s="10"/>
      <c r="G2305" s="11"/>
    </row>
    <row r="2306">
      <c r="A2306" s="5"/>
      <c r="B2306" s="5"/>
      <c r="C2306" s="5"/>
      <c r="D2306" s="10"/>
      <c r="E2306" s="5"/>
      <c r="F2306" s="10"/>
      <c r="G2306" s="11"/>
    </row>
    <row r="2307">
      <c r="A2307" s="5"/>
      <c r="B2307" s="5"/>
      <c r="C2307" s="5"/>
      <c r="D2307" s="10"/>
      <c r="E2307" s="5"/>
      <c r="F2307" s="10"/>
      <c r="G2307" s="11"/>
    </row>
    <row r="2308">
      <c r="A2308" s="5"/>
      <c r="B2308" s="5"/>
      <c r="C2308" s="5"/>
      <c r="D2308" s="10"/>
      <c r="E2308" s="5"/>
      <c r="F2308" s="10"/>
      <c r="G2308" s="11"/>
    </row>
    <row r="2309">
      <c r="A2309" s="5"/>
      <c r="B2309" s="5"/>
      <c r="C2309" s="5"/>
      <c r="D2309" s="10"/>
      <c r="E2309" s="5"/>
      <c r="F2309" s="10"/>
      <c r="G2309" s="11"/>
    </row>
    <row r="2310">
      <c r="A2310" s="5"/>
      <c r="B2310" s="5"/>
      <c r="C2310" s="5"/>
      <c r="D2310" s="10"/>
      <c r="E2310" s="5"/>
      <c r="F2310" s="10"/>
      <c r="G2310" s="11"/>
    </row>
    <row r="2311">
      <c r="A2311" s="5"/>
      <c r="B2311" s="5"/>
      <c r="C2311" s="5"/>
      <c r="D2311" s="10"/>
      <c r="E2311" s="5"/>
      <c r="F2311" s="10"/>
      <c r="G2311" s="11"/>
    </row>
    <row r="2312">
      <c r="A2312" s="5"/>
      <c r="B2312" s="5"/>
      <c r="C2312" s="5"/>
      <c r="D2312" s="10"/>
      <c r="E2312" s="5"/>
      <c r="F2312" s="10"/>
      <c r="G2312" s="11"/>
    </row>
    <row r="2313">
      <c r="A2313" s="5"/>
      <c r="B2313" s="5"/>
      <c r="C2313" s="5"/>
      <c r="D2313" s="10"/>
      <c r="E2313" s="5"/>
      <c r="F2313" s="10"/>
      <c r="G2313" s="11"/>
    </row>
    <row r="2314">
      <c r="A2314" s="5"/>
      <c r="B2314" s="5"/>
      <c r="C2314" s="5"/>
      <c r="D2314" s="10"/>
      <c r="E2314" s="5"/>
      <c r="F2314" s="10"/>
      <c r="G2314" s="11"/>
    </row>
    <row r="2315">
      <c r="A2315" s="5"/>
      <c r="B2315" s="5"/>
      <c r="C2315" s="5"/>
      <c r="D2315" s="10"/>
      <c r="E2315" s="5"/>
      <c r="F2315" s="10"/>
      <c r="G2315" s="11"/>
    </row>
    <row r="2316">
      <c r="A2316" s="5"/>
      <c r="B2316" s="5"/>
      <c r="C2316" s="5"/>
      <c r="D2316" s="10"/>
      <c r="E2316" s="5"/>
      <c r="F2316" s="10"/>
      <c r="G2316" s="11"/>
    </row>
    <row r="2317">
      <c r="A2317" s="5"/>
      <c r="B2317" s="5"/>
      <c r="C2317" s="5"/>
      <c r="D2317" s="10"/>
      <c r="E2317" s="5"/>
      <c r="F2317" s="10"/>
      <c r="G2317" s="11"/>
    </row>
    <row r="2318">
      <c r="A2318" s="5"/>
      <c r="B2318" s="5"/>
      <c r="C2318" s="5"/>
      <c r="D2318" s="10"/>
      <c r="E2318" s="5"/>
      <c r="F2318" s="10"/>
      <c r="G2318" s="11"/>
    </row>
    <row r="2319">
      <c r="A2319" s="5"/>
      <c r="B2319" s="5"/>
      <c r="C2319" s="5"/>
      <c r="D2319" s="10"/>
      <c r="E2319" s="5"/>
      <c r="F2319" s="10"/>
      <c r="G2319" s="11"/>
    </row>
    <row r="2320">
      <c r="A2320" s="5"/>
      <c r="B2320" s="5"/>
      <c r="C2320" s="5"/>
      <c r="D2320" s="10"/>
      <c r="E2320" s="5"/>
      <c r="F2320" s="10"/>
      <c r="G2320" s="11"/>
    </row>
    <row r="2321">
      <c r="A2321" s="5"/>
      <c r="B2321" s="5"/>
      <c r="C2321" s="5"/>
      <c r="D2321" s="10"/>
      <c r="E2321" s="5"/>
      <c r="F2321" s="10"/>
      <c r="G2321" s="11"/>
    </row>
    <row r="2322">
      <c r="A2322" s="5"/>
      <c r="B2322" s="5"/>
      <c r="C2322" s="5"/>
      <c r="D2322" s="10"/>
      <c r="E2322" s="5"/>
      <c r="F2322" s="10"/>
      <c r="G2322" s="11"/>
    </row>
    <row r="2323">
      <c r="A2323" s="5"/>
      <c r="B2323" s="5"/>
      <c r="C2323" s="5"/>
      <c r="D2323" s="10"/>
      <c r="E2323" s="5"/>
      <c r="F2323" s="10"/>
      <c r="G2323" s="11"/>
    </row>
    <row r="2324">
      <c r="A2324" s="5"/>
      <c r="B2324" s="5"/>
      <c r="C2324" s="5"/>
      <c r="D2324" s="10"/>
      <c r="E2324" s="5"/>
      <c r="F2324" s="10"/>
      <c r="G2324" s="11"/>
    </row>
    <row r="2325">
      <c r="A2325" s="5"/>
      <c r="B2325" s="5"/>
      <c r="C2325" s="5"/>
      <c r="D2325" s="10"/>
      <c r="E2325" s="5"/>
      <c r="F2325" s="10"/>
      <c r="G2325" s="11"/>
    </row>
    <row r="2326">
      <c r="A2326" s="5"/>
      <c r="B2326" s="5"/>
      <c r="C2326" s="5"/>
      <c r="D2326" s="10"/>
      <c r="E2326" s="5"/>
      <c r="F2326" s="10"/>
      <c r="G2326" s="11"/>
    </row>
    <row r="2327">
      <c r="A2327" s="5"/>
      <c r="B2327" s="5"/>
      <c r="C2327" s="5"/>
      <c r="D2327" s="10"/>
      <c r="E2327" s="5"/>
      <c r="F2327" s="10"/>
      <c r="G2327" s="11"/>
    </row>
    <row r="2328">
      <c r="A2328" s="5"/>
      <c r="B2328" s="5"/>
      <c r="C2328" s="5"/>
      <c r="D2328" s="10"/>
      <c r="E2328" s="5"/>
      <c r="F2328" s="10"/>
      <c r="G2328" s="11"/>
    </row>
    <row r="2329">
      <c r="A2329" s="5"/>
      <c r="B2329" s="5"/>
      <c r="C2329" s="5"/>
      <c r="D2329" s="10"/>
      <c r="E2329" s="5"/>
      <c r="F2329" s="10"/>
      <c r="G2329" s="11"/>
    </row>
    <row r="2330">
      <c r="A2330" s="5"/>
      <c r="B2330" s="5"/>
      <c r="C2330" s="5"/>
      <c r="D2330" s="10"/>
      <c r="E2330" s="5"/>
      <c r="F2330" s="10"/>
      <c r="G2330" s="11"/>
    </row>
    <row r="2331">
      <c r="A2331" s="5"/>
      <c r="B2331" s="5"/>
      <c r="C2331" s="5"/>
      <c r="D2331" s="10"/>
      <c r="E2331" s="5"/>
      <c r="F2331" s="10"/>
      <c r="G2331" s="11"/>
    </row>
    <row r="2332">
      <c r="A2332" s="5"/>
      <c r="B2332" s="5"/>
      <c r="C2332" s="5"/>
      <c r="D2332" s="10"/>
      <c r="E2332" s="5"/>
      <c r="F2332" s="10"/>
      <c r="G2332" s="11"/>
    </row>
    <row r="2333">
      <c r="A2333" s="5"/>
      <c r="B2333" s="5"/>
      <c r="C2333" s="5"/>
      <c r="D2333" s="10"/>
      <c r="E2333" s="5"/>
      <c r="F2333" s="10"/>
      <c r="G2333" s="11"/>
    </row>
    <row r="2334">
      <c r="A2334" s="5"/>
      <c r="B2334" s="5"/>
      <c r="C2334" s="5"/>
      <c r="D2334" s="10"/>
      <c r="E2334" s="5"/>
      <c r="F2334" s="10"/>
      <c r="G2334" s="11"/>
    </row>
    <row r="2335">
      <c r="A2335" s="5"/>
      <c r="B2335" s="5"/>
      <c r="C2335" s="5"/>
      <c r="D2335" s="10"/>
      <c r="E2335" s="5"/>
      <c r="F2335" s="10"/>
      <c r="G2335" s="11"/>
    </row>
    <row r="2336">
      <c r="A2336" s="5"/>
      <c r="B2336" s="5"/>
      <c r="C2336" s="5"/>
      <c r="D2336" s="10"/>
      <c r="E2336" s="5"/>
      <c r="F2336" s="10"/>
      <c r="G2336" s="11"/>
    </row>
    <row r="2337">
      <c r="A2337" s="5"/>
      <c r="B2337" s="5"/>
      <c r="C2337" s="5"/>
      <c r="D2337" s="10"/>
      <c r="E2337" s="5"/>
      <c r="F2337" s="10"/>
      <c r="G2337" s="11"/>
    </row>
    <row r="2338">
      <c r="A2338" s="5"/>
      <c r="B2338" s="5"/>
      <c r="C2338" s="5"/>
      <c r="D2338" s="10"/>
      <c r="E2338" s="5"/>
      <c r="F2338" s="10"/>
      <c r="G2338" s="11"/>
    </row>
    <row r="2339">
      <c r="A2339" s="5"/>
      <c r="B2339" s="5"/>
      <c r="C2339" s="5"/>
      <c r="D2339" s="10"/>
      <c r="E2339" s="5"/>
      <c r="F2339" s="10"/>
      <c r="G2339" s="11"/>
    </row>
    <row r="2340">
      <c r="A2340" s="5"/>
      <c r="B2340" s="5"/>
      <c r="C2340" s="5"/>
      <c r="D2340" s="10"/>
      <c r="E2340" s="5"/>
      <c r="F2340" s="10"/>
      <c r="G2340" s="11"/>
    </row>
    <row r="2341">
      <c r="A2341" s="5"/>
      <c r="B2341" s="5"/>
      <c r="C2341" s="5"/>
      <c r="D2341" s="10"/>
      <c r="E2341" s="5"/>
      <c r="F2341" s="10"/>
      <c r="G2341" s="11"/>
    </row>
    <row r="2342">
      <c r="A2342" s="5"/>
      <c r="B2342" s="5"/>
      <c r="C2342" s="5"/>
      <c r="D2342" s="10"/>
      <c r="E2342" s="5"/>
      <c r="F2342" s="10"/>
      <c r="G2342" s="11"/>
    </row>
    <row r="2343">
      <c r="A2343" s="5"/>
      <c r="B2343" s="5"/>
      <c r="C2343" s="5"/>
      <c r="D2343" s="10"/>
      <c r="E2343" s="5"/>
      <c r="F2343" s="10"/>
      <c r="G2343" s="11"/>
    </row>
    <row r="2344">
      <c r="A2344" s="5"/>
      <c r="B2344" s="5"/>
      <c r="C2344" s="5"/>
      <c r="D2344" s="10"/>
      <c r="E2344" s="5"/>
      <c r="F2344" s="10"/>
      <c r="G2344" s="11"/>
    </row>
    <row r="2345">
      <c r="A2345" s="5"/>
      <c r="B2345" s="5"/>
      <c r="C2345" s="5"/>
      <c r="D2345" s="10"/>
      <c r="E2345" s="5"/>
      <c r="F2345" s="10"/>
      <c r="G2345" s="11"/>
    </row>
    <row r="2346">
      <c r="A2346" s="5"/>
      <c r="B2346" s="5"/>
      <c r="C2346" s="5"/>
      <c r="D2346" s="10"/>
      <c r="E2346" s="5"/>
      <c r="F2346" s="10"/>
      <c r="G2346" s="11"/>
    </row>
    <row r="2347">
      <c r="A2347" s="5"/>
      <c r="B2347" s="5"/>
      <c r="C2347" s="5"/>
      <c r="D2347" s="10"/>
      <c r="E2347" s="5"/>
      <c r="F2347" s="10"/>
      <c r="G2347" s="11"/>
    </row>
    <row r="2348">
      <c r="A2348" s="5"/>
      <c r="B2348" s="5"/>
      <c r="C2348" s="5"/>
      <c r="D2348" s="10"/>
      <c r="E2348" s="5"/>
      <c r="F2348" s="10"/>
      <c r="G2348" s="11"/>
    </row>
    <row r="2349">
      <c r="A2349" s="5"/>
      <c r="B2349" s="5"/>
      <c r="C2349" s="5"/>
      <c r="D2349" s="10"/>
      <c r="E2349" s="5"/>
      <c r="F2349" s="10"/>
      <c r="G2349" s="11"/>
    </row>
    <row r="2350">
      <c r="A2350" s="5"/>
      <c r="B2350" s="5"/>
      <c r="C2350" s="5"/>
      <c r="D2350" s="10"/>
      <c r="E2350" s="5"/>
      <c r="F2350" s="10"/>
      <c r="G2350" s="11"/>
    </row>
    <row r="2351">
      <c r="A2351" s="5"/>
      <c r="B2351" s="5"/>
      <c r="C2351" s="5"/>
      <c r="D2351" s="10"/>
      <c r="E2351" s="5"/>
      <c r="F2351" s="10"/>
      <c r="G2351" s="11"/>
    </row>
    <row r="2352">
      <c r="A2352" s="5"/>
      <c r="B2352" s="5"/>
      <c r="C2352" s="5"/>
      <c r="D2352" s="10"/>
      <c r="E2352" s="5"/>
      <c r="F2352" s="10"/>
      <c r="G2352" s="11"/>
    </row>
    <row r="2353">
      <c r="A2353" s="5"/>
      <c r="B2353" s="5"/>
      <c r="C2353" s="5"/>
      <c r="D2353" s="10"/>
      <c r="E2353" s="5"/>
      <c r="F2353" s="10"/>
      <c r="G2353" s="11"/>
    </row>
    <row r="2354">
      <c r="A2354" s="5"/>
      <c r="B2354" s="5"/>
      <c r="C2354" s="5"/>
      <c r="D2354" s="10"/>
      <c r="E2354" s="5"/>
      <c r="F2354" s="10"/>
      <c r="G2354" s="11"/>
    </row>
    <row r="2355">
      <c r="A2355" s="5"/>
      <c r="B2355" s="5"/>
      <c r="C2355" s="5"/>
      <c r="D2355" s="10"/>
      <c r="E2355" s="5"/>
      <c r="F2355" s="10"/>
      <c r="G2355" s="11"/>
    </row>
    <row r="2356">
      <c r="A2356" s="5"/>
      <c r="B2356" s="5"/>
      <c r="C2356" s="5"/>
      <c r="D2356" s="10"/>
      <c r="E2356" s="5"/>
      <c r="F2356" s="10"/>
      <c r="G2356" s="11"/>
    </row>
    <row r="2357">
      <c r="A2357" s="5"/>
      <c r="B2357" s="5"/>
      <c r="C2357" s="5"/>
      <c r="D2357" s="10"/>
      <c r="E2357" s="5"/>
      <c r="F2357" s="10"/>
      <c r="G2357" s="11"/>
    </row>
    <row r="2358">
      <c r="A2358" s="5"/>
      <c r="B2358" s="5"/>
      <c r="C2358" s="5"/>
      <c r="D2358" s="10"/>
      <c r="E2358" s="5"/>
      <c r="F2358" s="10"/>
      <c r="G2358" s="11"/>
    </row>
    <row r="2359">
      <c r="A2359" s="5"/>
      <c r="B2359" s="5"/>
      <c r="C2359" s="5"/>
      <c r="D2359" s="10"/>
      <c r="E2359" s="5"/>
      <c r="F2359" s="10"/>
      <c r="G2359" s="11"/>
    </row>
    <row r="2360">
      <c r="A2360" s="5"/>
      <c r="B2360" s="5"/>
      <c r="C2360" s="5"/>
      <c r="D2360" s="10"/>
      <c r="E2360" s="5"/>
      <c r="F2360" s="10"/>
      <c r="G2360" s="11"/>
    </row>
    <row r="2361">
      <c r="A2361" s="5"/>
      <c r="B2361" s="5"/>
      <c r="C2361" s="5"/>
      <c r="D2361" s="10"/>
      <c r="E2361" s="5"/>
      <c r="F2361" s="10"/>
      <c r="G2361" s="11"/>
    </row>
    <row r="2362">
      <c r="A2362" s="5"/>
      <c r="B2362" s="5"/>
      <c r="C2362" s="5"/>
      <c r="D2362" s="10"/>
      <c r="E2362" s="5"/>
      <c r="F2362" s="10"/>
      <c r="G2362" s="11"/>
    </row>
    <row r="2363">
      <c r="A2363" s="5"/>
      <c r="B2363" s="5"/>
      <c r="C2363" s="5"/>
      <c r="D2363" s="10"/>
      <c r="E2363" s="5"/>
      <c r="F2363" s="10"/>
      <c r="G2363" s="11"/>
    </row>
    <row r="2364">
      <c r="A2364" s="5"/>
      <c r="B2364" s="5"/>
      <c r="C2364" s="5"/>
      <c r="D2364" s="10"/>
      <c r="E2364" s="5"/>
      <c r="F2364" s="10"/>
      <c r="G2364" s="11"/>
    </row>
    <row r="2365">
      <c r="A2365" s="5"/>
      <c r="B2365" s="5"/>
      <c r="C2365" s="5"/>
      <c r="D2365" s="10"/>
      <c r="E2365" s="5"/>
      <c r="F2365" s="10"/>
      <c r="G2365" s="11"/>
    </row>
    <row r="2366">
      <c r="A2366" s="5"/>
      <c r="B2366" s="5"/>
      <c r="C2366" s="5"/>
      <c r="D2366" s="10"/>
      <c r="E2366" s="5"/>
      <c r="F2366" s="10"/>
      <c r="G2366" s="11"/>
    </row>
    <row r="2367">
      <c r="A2367" s="5"/>
      <c r="B2367" s="5"/>
      <c r="C2367" s="5"/>
      <c r="D2367" s="10"/>
      <c r="E2367" s="5"/>
      <c r="F2367" s="10"/>
      <c r="G2367" s="11"/>
    </row>
    <row r="2368">
      <c r="A2368" s="5"/>
      <c r="B2368" s="5"/>
      <c r="C2368" s="5"/>
      <c r="D2368" s="10"/>
      <c r="E2368" s="5"/>
      <c r="F2368" s="10"/>
      <c r="G2368" s="11"/>
    </row>
    <row r="2369">
      <c r="A2369" s="5"/>
      <c r="B2369" s="5"/>
      <c r="C2369" s="5"/>
      <c r="D2369" s="10"/>
      <c r="E2369" s="5"/>
      <c r="F2369" s="10"/>
      <c r="G2369" s="11"/>
    </row>
    <row r="2370">
      <c r="A2370" s="5"/>
      <c r="B2370" s="5"/>
      <c r="C2370" s="5"/>
      <c r="D2370" s="10"/>
      <c r="E2370" s="5"/>
      <c r="F2370" s="10"/>
      <c r="G2370" s="11"/>
    </row>
    <row r="2371">
      <c r="A2371" s="5"/>
      <c r="B2371" s="5"/>
      <c r="C2371" s="5"/>
      <c r="D2371" s="10"/>
      <c r="E2371" s="5"/>
      <c r="F2371" s="10"/>
      <c r="G2371" s="11"/>
    </row>
    <row r="2372">
      <c r="A2372" s="5"/>
      <c r="B2372" s="5"/>
      <c r="C2372" s="5"/>
      <c r="D2372" s="10"/>
      <c r="E2372" s="5"/>
      <c r="F2372" s="10"/>
      <c r="G2372" s="11"/>
    </row>
    <row r="2373">
      <c r="A2373" s="5"/>
      <c r="B2373" s="5"/>
      <c r="C2373" s="5"/>
      <c r="D2373" s="10"/>
      <c r="E2373" s="5"/>
      <c r="F2373" s="10"/>
      <c r="G2373" s="11"/>
    </row>
    <row r="2374">
      <c r="A2374" s="5"/>
      <c r="B2374" s="5"/>
      <c r="C2374" s="5"/>
      <c r="D2374" s="10"/>
      <c r="E2374" s="5"/>
      <c r="F2374" s="10"/>
      <c r="G2374" s="11"/>
    </row>
    <row r="2375">
      <c r="A2375" s="5"/>
      <c r="B2375" s="5"/>
      <c r="C2375" s="5"/>
      <c r="D2375" s="10"/>
      <c r="E2375" s="5"/>
      <c r="F2375" s="10"/>
      <c r="G2375" s="11"/>
    </row>
    <row r="2376">
      <c r="A2376" s="5"/>
      <c r="B2376" s="5"/>
      <c r="C2376" s="5"/>
      <c r="D2376" s="10"/>
      <c r="E2376" s="5"/>
      <c r="F2376" s="10"/>
      <c r="G2376" s="11"/>
    </row>
    <row r="2377">
      <c r="A2377" s="5"/>
      <c r="B2377" s="5"/>
      <c r="C2377" s="5"/>
      <c r="D2377" s="10"/>
      <c r="E2377" s="5"/>
      <c r="F2377" s="10"/>
      <c r="G2377" s="11"/>
    </row>
    <row r="2378">
      <c r="A2378" s="5"/>
      <c r="B2378" s="5"/>
      <c r="C2378" s="5"/>
      <c r="D2378" s="10"/>
      <c r="E2378" s="5"/>
      <c r="F2378" s="10"/>
      <c r="G2378" s="11"/>
    </row>
    <row r="2379">
      <c r="A2379" s="5"/>
      <c r="B2379" s="5"/>
      <c r="C2379" s="5"/>
      <c r="D2379" s="10"/>
      <c r="E2379" s="5"/>
      <c r="F2379" s="10"/>
      <c r="G2379" s="11"/>
    </row>
    <row r="2380">
      <c r="A2380" s="5"/>
      <c r="B2380" s="5"/>
      <c r="C2380" s="5"/>
      <c r="D2380" s="10"/>
      <c r="E2380" s="5"/>
      <c r="F2380" s="10"/>
      <c r="G2380" s="11"/>
    </row>
    <row r="2381">
      <c r="A2381" s="5"/>
      <c r="B2381" s="5"/>
      <c r="C2381" s="5"/>
      <c r="D2381" s="10"/>
      <c r="E2381" s="5"/>
      <c r="F2381" s="10"/>
      <c r="G2381" s="11"/>
    </row>
    <row r="2382">
      <c r="A2382" s="5"/>
      <c r="B2382" s="5"/>
      <c r="C2382" s="5"/>
      <c r="D2382" s="10"/>
      <c r="E2382" s="5"/>
      <c r="F2382" s="10"/>
      <c r="G2382" s="11"/>
    </row>
    <row r="2383">
      <c r="A2383" s="5"/>
      <c r="B2383" s="5"/>
      <c r="C2383" s="5"/>
      <c r="D2383" s="10"/>
      <c r="E2383" s="5"/>
      <c r="F2383" s="10"/>
      <c r="G2383" s="11"/>
    </row>
    <row r="2384">
      <c r="A2384" s="5"/>
      <c r="B2384" s="5"/>
      <c r="C2384" s="5"/>
      <c r="D2384" s="10"/>
      <c r="E2384" s="5"/>
      <c r="F2384" s="10"/>
      <c r="G2384" s="11"/>
    </row>
    <row r="2385">
      <c r="A2385" s="5"/>
      <c r="B2385" s="5"/>
      <c r="C2385" s="5"/>
      <c r="D2385" s="10"/>
      <c r="E2385" s="5"/>
      <c r="F2385" s="10"/>
      <c r="G2385" s="11"/>
    </row>
    <row r="2386">
      <c r="A2386" s="5"/>
      <c r="B2386" s="5"/>
      <c r="C2386" s="5"/>
      <c r="D2386" s="10"/>
      <c r="E2386" s="5"/>
      <c r="F2386" s="10"/>
      <c r="G2386" s="11"/>
    </row>
    <row r="2387">
      <c r="A2387" s="5"/>
      <c r="B2387" s="5"/>
      <c r="C2387" s="5"/>
      <c r="D2387" s="10"/>
      <c r="E2387" s="5"/>
      <c r="F2387" s="10"/>
      <c r="G2387" s="11"/>
    </row>
    <row r="2388">
      <c r="A2388" s="5"/>
      <c r="B2388" s="5"/>
      <c r="C2388" s="5"/>
      <c r="D2388" s="10"/>
      <c r="E2388" s="5"/>
      <c r="F2388" s="10"/>
      <c r="G2388" s="11"/>
    </row>
    <row r="2389">
      <c r="A2389" s="5"/>
      <c r="B2389" s="5"/>
      <c r="C2389" s="5"/>
      <c r="D2389" s="10"/>
      <c r="E2389" s="5"/>
      <c r="F2389" s="10"/>
      <c r="G2389" s="11"/>
    </row>
    <row r="2390">
      <c r="A2390" s="5"/>
      <c r="B2390" s="5"/>
      <c r="C2390" s="5"/>
      <c r="D2390" s="10"/>
      <c r="E2390" s="5"/>
      <c r="F2390" s="10"/>
      <c r="G2390" s="11"/>
    </row>
    <row r="2391">
      <c r="A2391" s="5"/>
      <c r="B2391" s="5"/>
      <c r="C2391" s="5"/>
      <c r="D2391" s="10"/>
      <c r="E2391" s="5"/>
      <c r="F2391" s="10"/>
      <c r="G2391" s="11"/>
    </row>
    <row r="2392">
      <c r="A2392" s="5"/>
      <c r="B2392" s="5"/>
      <c r="C2392" s="5"/>
      <c r="D2392" s="10"/>
      <c r="E2392" s="5"/>
      <c r="F2392" s="10"/>
      <c r="G2392" s="11"/>
    </row>
    <row r="2393">
      <c r="A2393" s="5"/>
      <c r="B2393" s="5"/>
      <c r="C2393" s="5"/>
      <c r="D2393" s="10"/>
      <c r="E2393" s="5"/>
      <c r="F2393" s="10"/>
      <c r="G2393" s="11"/>
    </row>
    <row r="2394">
      <c r="A2394" s="5"/>
      <c r="B2394" s="5"/>
      <c r="C2394" s="5"/>
      <c r="D2394" s="10"/>
      <c r="E2394" s="5"/>
      <c r="F2394" s="10"/>
      <c r="G2394" s="11"/>
    </row>
    <row r="2395">
      <c r="A2395" s="5"/>
      <c r="B2395" s="5"/>
      <c r="C2395" s="5"/>
      <c r="D2395" s="10"/>
      <c r="E2395" s="5"/>
      <c r="F2395" s="10"/>
      <c r="G2395" s="11"/>
    </row>
    <row r="2396">
      <c r="A2396" s="5"/>
      <c r="B2396" s="5"/>
      <c r="C2396" s="5"/>
      <c r="D2396" s="10"/>
      <c r="E2396" s="5"/>
      <c r="F2396" s="10"/>
      <c r="G2396" s="11"/>
    </row>
    <row r="2397">
      <c r="A2397" s="5"/>
      <c r="B2397" s="5"/>
      <c r="C2397" s="5"/>
      <c r="D2397" s="10"/>
      <c r="E2397" s="5"/>
      <c r="F2397" s="10"/>
      <c r="G2397" s="11"/>
    </row>
    <row r="2398">
      <c r="A2398" s="5"/>
      <c r="B2398" s="5"/>
      <c r="C2398" s="5"/>
      <c r="D2398" s="10"/>
      <c r="E2398" s="5"/>
      <c r="F2398" s="10"/>
      <c r="G2398" s="11"/>
    </row>
    <row r="2399">
      <c r="A2399" s="5"/>
      <c r="B2399" s="5"/>
      <c r="C2399" s="5"/>
      <c r="D2399" s="10"/>
      <c r="E2399" s="5"/>
      <c r="F2399" s="10"/>
      <c r="G2399" s="11"/>
    </row>
    <row r="2400">
      <c r="A2400" s="5"/>
      <c r="B2400" s="5"/>
      <c r="C2400" s="5"/>
      <c r="D2400" s="10"/>
      <c r="E2400" s="5"/>
      <c r="F2400" s="10"/>
      <c r="G2400" s="11"/>
    </row>
    <row r="2401">
      <c r="A2401" s="5"/>
      <c r="B2401" s="5"/>
      <c r="C2401" s="5"/>
      <c r="D2401" s="10"/>
      <c r="E2401" s="5"/>
      <c r="F2401" s="10"/>
      <c r="G2401" s="11"/>
    </row>
    <row r="2402">
      <c r="A2402" s="5"/>
      <c r="B2402" s="5"/>
      <c r="C2402" s="5"/>
      <c r="D2402" s="10"/>
      <c r="E2402" s="5"/>
      <c r="F2402" s="10"/>
      <c r="G2402" s="11"/>
    </row>
    <row r="2403">
      <c r="A2403" s="5"/>
      <c r="B2403" s="5"/>
      <c r="C2403" s="5"/>
      <c r="D2403" s="10"/>
      <c r="E2403" s="5"/>
      <c r="F2403" s="10"/>
      <c r="G2403" s="11"/>
    </row>
    <row r="2404">
      <c r="A2404" s="5"/>
      <c r="B2404" s="5"/>
      <c r="C2404" s="5"/>
      <c r="D2404" s="10"/>
      <c r="E2404" s="5"/>
      <c r="F2404" s="10"/>
      <c r="G2404" s="11"/>
    </row>
    <row r="2405">
      <c r="A2405" s="5"/>
      <c r="B2405" s="5"/>
      <c r="C2405" s="5"/>
      <c r="D2405" s="10"/>
      <c r="E2405" s="5"/>
      <c r="F2405" s="10"/>
      <c r="G2405" s="11"/>
    </row>
    <row r="2406">
      <c r="A2406" s="5"/>
      <c r="B2406" s="5"/>
      <c r="C2406" s="5"/>
      <c r="D2406" s="10"/>
      <c r="E2406" s="5"/>
      <c r="F2406" s="10"/>
      <c r="G2406" s="11"/>
    </row>
    <row r="2407">
      <c r="A2407" s="5"/>
      <c r="B2407" s="5"/>
      <c r="C2407" s="5"/>
      <c r="D2407" s="10"/>
      <c r="E2407" s="5"/>
      <c r="F2407" s="10"/>
      <c r="G2407" s="11"/>
    </row>
    <row r="2408">
      <c r="A2408" s="5"/>
      <c r="B2408" s="5"/>
      <c r="C2408" s="5"/>
      <c r="D2408" s="10"/>
      <c r="E2408" s="5"/>
      <c r="F2408" s="10"/>
      <c r="G2408" s="11"/>
    </row>
    <row r="2409">
      <c r="A2409" s="5"/>
      <c r="B2409" s="5"/>
      <c r="C2409" s="5"/>
      <c r="D2409" s="10"/>
      <c r="E2409" s="5"/>
      <c r="F2409" s="10"/>
      <c r="G2409" s="11"/>
    </row>
    <row r="2410">
      <c r="A2410" s="5"/>
      <c r="B2410" s="5"/>
      <c r="C2410" s="5"/>
      <c r="D2410" s="10"/>
      <c r="E2410" s="5"/>
      <c r="F2410" s="10"/>
      <c r="G2410" s="11"/>
    </row>
    <row r="2411">
      <c r="A2411" s="5"/>
      <c r="B2411" s="5"/>
      <c r="C2411" s="5"/>
      <c r="D2411" s="10"/>
      <c r="E2411" s="5"/>
      <c r="F2411" s="10"/>
      <c r="G2411" s="11"/>
    </row>
    <row r="2412">
      <c r="A2412" s="5"/>
      <c r="B2412" s="5"/>
      <c r="C2412" s="5"/>
      <c r="D2412" s="10"/>
      <c r="E2412" s="5"/>
      <c r="F2412" s="10"/>
      <c r="G2412" s="11"/>
    </row>
    <row r="2413">
      <c r="A2413" s="5"/>
      <c r="B2413" s="5"/>
      <c r="C2413" s="5"/>
      <c r="D2413" s="10"/>
      <c r="E2413" s="5"/>
      <c r="F2413" s="10"/>
      <c r="G2413" s="11"/>
    </row>
    <row r="2414">
      <c r="A2414" s="5"/>
      <c r="B2414" s="5"/>
      <c r="C2414" s="5"/>
      <c r="D2414" s="10"/>
      <c r="E2414" s="5"/>
      <c r="F2414" s="10"/>
      <c r="G2414" s="11"/>
    </row>
    <row r="2415">
      <c r="A2415" s="5"/>
      <c r="B2415" s="5"/>
      <c r="C2415" s="5"/>
      <c r="D2415" s="10"/>
      <c r="E2415" s="5"/>
      <c r="F2415" s="10"/>
      <c r="G2415" s="11"/>
    </row>
    <row r="2416">
      <c r="A2416" s="5"/>
      <c r="B2416" s="5"/>
      <c r="C2416" s="5"/>
      <c r="D2416" s="10"/>
      <c r="E2416" s="5"/>
      <c r="F2416" s="10"/>
      <c r="G2416" s="11"/>
    </row>
    <row r="2417">
      <c r="A2417" s="5"/>
      <c r="B2417" s="5"/>
      <c r="C2417" s="5"/>
      <c r="D2417" s="10"/>
      <c r="E2417" s="5"/>
      <c r="F2417" s="10"/>
      <c r="G2417" s="11"/>
    </row>
    <row r="2418">
      <c r="A2418" s="5"/>
      <c r="B2418" s="5"/>
      <c r="C2418" s="5"/>
      <c r="D2418" s="10"/>
      <c r="E2418" s="5"/>
      <c r="F2418" s="10"/>
      <c r="G2418" s="11"/>
    </row>
    <row r="2419">
      <c r="A2419" s="5"/>
      <c r="B2419" s="5"/>
      <c r="C2419" s="5"/>
      <c r="D2419" s="10"/>
      <c r="E2419" s="5"/>
      <c r="F2419" s="10"/>
      <c r="G2419" s="11"/>
    </row>
    <row r="2420">
      <c r="A2420" s="5"/>
      <c r="B2420" s="5"/>
      <c r="C2420" s="5"/>
      <c r="D2420" s="10"/>
      <c r="E2420" s="5"/>
      <c r="F2420" s="10"/>
      <c r="G2420" s="11"/>
    </row>
    <row r="2421">
      <c r="A2421" s="5"/>
      <c r="B2421" s="5"/>
      <c r="C2421" s="5"/>
      <c r="D2421" s="10"/>
      <c r="E2421" s="5"/>
      <c r="F2421" s="10"/>
      <c r="G2421" s="11"/>
    </row>
    <row r="2422">
      <c r="A2422" s="5"/>
      <c r="B2422" s="5"/>
      <c r="C2422" s="5"/>
      <c r="D2422" s="10"/>
      <c r="E2422" s="5"/>
      <c r="F2422" s="10"/>
      <c r="G2422" s="11"/>
    </row>
    <row r="2423">
      <c r="A2423" s="5"/>
      <c r="B2423" s="5"/>
      <c r="C2423" s="5"/>
      <c r="D2423" s="10"/>
      <c r="E2423" s="5"/>
      <c r="F2423" s="10"/>
      <c r="G2423" s="11"/>
    </row>
    <row r="2424">
      <c r="A2424" s="5"/>
      <c r="B2424" s="5"/>
      <c r="C2424" s="5"/>
      <c r="D2424" s="10"/>
      <c r="E2424" s="5"/>
      <c r="F2424" s="10"/>
      <c r="G2424" s="11"/>
    </row>
    <row r="2425">
      <c r="A2425" s="5"/>
      <c r="B2425" s="5"/>
      <c r="C2425" s="5"/>
      <c r="D2425" s="10"/>
      <c r="E2425" s="5"/>
      <c r="F2425" s="10"/>
      <c r="G2425" s="11"/>
    </row>
    <row r="2426">
      <c r="A2426" s="5"/>
      <c r="B2426" s="5"/>
      <c r="C2426" s="5"/>
      <c r="D2426" s="10"/>
      <c r="E2426" s="5"/>
      <c r="F2426" s="10"/>
      <c r="G2426" s="11"/>
    </row>
    <row r="2427">
      <c r="A2427" s="5"/>
      <c r="B2427" s="5"/>
      <c r="C2427" s="5"/>
      <c r="D2427" s="10"/>
      <c r="E2427" s="5"/>
      <c r="F2427" s="10"/>
      <c r="G2427" s="11"/>
    </row>
    <row r="2428">
      <c r="A2428" s="5"/>
      <c r="B2428" s="5"/>
      <c r="C2428" s="5"/>
      <c r="D2428" s="10"/>
      <c r="E2428" s="5"/>
      <c r="F2428" s="10"/>
      <c r="G2428" s="11"/>
    </row>
    <row r="2429">
      <c r="A2429" s="5"/>
      <c r="B2429" s="5"/>
      <c r="C2429" s="5"/>
      <c r="D2429" s="10"/>
      <c r="E2429" s="5"/>
      <c r="F2429" s="10"/>
      <c r="G2429" s="11"/>
    </row>
    <row r="2430">
      <c r="A2430" s="5"/>
      <c r="B2430" s="5"/>
      <c r="C2430" s="5"/>
      <c r="D2430" s="10"/>
      <c r="E2430" s="5"/>
      <c r="F2430" s="10"/>
      <c r="G2430" s="11"/>
    </row>
    <row r="2431">
      <c r="A2431" s="5"/>
      <c r="B2431" s="5"/>
      <c r="C2431" s="5"/>
      <c r="D2431" s="10"/>
      <c r="E2431" s="5"/>
      <c r="F2431" s="10"/>
      <c r="G2431" s="11"/>
    </row>
    <row r="2432">
      <c r="A2432" s="5"/>
      <c r="B2432" s="5"/>
      <c r="C2432" s="5"/>
      <c r="D2432" s="10"/>
      <c r="E2432" s="5"/>
      <c r="F2432" s="10"/>
      <c r="G2432" s="11"/>
    </row>
    <row r="2433">
      <c r="A2433" s="5"/>
      <c r="B2433" s="5"/>
      <c r="C2433" s="5"/>
      <c r="D2433" s="10"/>
      <c r="E2433" s="5"/>
      <c r="F2433" s="10"/>
      <c r="G2433" s="11"/>
    </row>
    <row r="2434">
      <c r="A2434" s="5"/>
      <c r="B2434" s="5"/>
      <c r="C2434" s="5"/>
      <c r="D2434" s="10"/>
      <c r="E2434" s="5"/>
      <c r="F2434" s="10"/>
      <c r="G2434" s="11"/>
    </row>
    <row r="2435">
      <c r="A2435" s="5"/>
      <c r="B2435" s="5"/>
      <c r="C2435" s="5"/>
      <c r="D2435" s="10"/>
      <c r="E2435" s="5"/>
      <c r="F2435" s="10"/>
      <c r="G2435" s="11"/>
    </row>
    <row r="2436">
      <c r="A2436" s="5"/>
      <c r="B2436" s="5"/>
      <c r="C2436" s="5"/>
      <c r="D2436" s="10"/>
      <c r="E2436" s="5"/>
      <c r="F2436" s="10"/>
      <c r="G2436" s="11"/>
    </row>
    <row r="2437">
      <c r="A2437" s="5"/>
      <c r="B2437" s="5"/>
      <c r="C2437" s="5"/>
      <c r="D2437" s="10"/>
      <c r="E2437" s="5"/>
      <c r="F2437" s="10"/>
      <c r="G2437" s="11"/>
    </row>
    <row r="2438">
      <c r="A2438" s="5"/>
      <c r="B2438" s="5"/>
      <c r="C2438" s="5"/>
      <c r="D2438" s="10"/>
      <c r="E2438" s="5"/>
      <c r="F2438" s="10"/>
      <c r="G2438" s="11"/>
    </row>
    <row r="2439">
      <c r="A2439" s="5"/>
      <c r="B2439" s="5"/>
      <c r="C2439" s="5"/>
      <c r="D2439" s="10"/>
      <c r="E2439" s="5"/>
      <c r="F2439" s="10"/>
      <c r="G2439" s="11"/>
    </row>
    <row r="2440">
      <c r="A2440" s="5"/>
      <c r="B2440" s="5"/>
      <c r="C2440" s="5"/>
      <c r="D2440" s="10"/>
      <c r="E2440" s="5"/>
      <c r="F2440" s="10"/>
      <c r="G2440" s="11"/>
    </row>
    <row r="2441">
      <c r="A2441" s="5"/>
      <c r="B2441" s="5"/>
      <c r="C2441" s="5"/>
      <c r="D2441" s="10"/>
      <c r="E2441" s="5"/>
      <c r="F2441" s="10"/>
      <c r="G2441" s="11"/>
    </row>
    <row r="2442">
      <c r="A2442" s="5"/>
      <c r="B2442" s="5"/>
      <c r="C2442" s="5"/>
      <c r="D2442" s="10"/>
      <c r="E2442" s="5"/>
      <c r="F2442" s="10"/>
      <c r="G2442" s="11"/>
    </row>
    <row r="2443">
      <c r="A2443" s="5"/>
      <c r="B2443" s="5"/>
      <c r="C2443" s="5"/>
      <c r="D2443" s="10"/>
      <c r="E2443" s="5"/>
      <c r="F2443" s="10"/>
      <c r="G2443" s="11"/>
    </row>
    <row r="2444">
      <c r="A2444" s="5"/>
      <c r="B2444" s="5"/>
      <c r="C2444" s="5"/>
      <c r="D2444" s="10"/>
      <c r="E2444" s="5"/>
      <c r="F2444" s="10"/>
      <c r="G2444" s="11"/>
    </row>
    <row r="2445">
      <c r="A2445" s="5"/>
      <c r="B2445" s="5"/>
      <c r="C2445" s="5"/>
      <c r="D2445" s="10"/>
      <c r="E2445" s="5"/>
      <c r="F2445" s="10"/>
      <c r="G2445" s="11"/>
    </row>
    <row r="2446">
      <c r="A2446" s="5"/>
      <c r="B2446" s="5"/>
      <c r="C2446" s="5"/>
      <c r="D2446" s="10"/>
      <c r="E2446" s="5"/>
      <c r="F2446" s="10"/>
      <c r="G2446" s="11"/>
    </row>
    <row r="2447">
      <c r="A2447" s="5"/>
      <c r="B2447" s="5"/>
      <c r="C2447" s="5"/>
      <c r="D2447" s="10"/>
      <c r="E2447" s="5"/>
      <c r="F2447" s="10"/>
      <c r="G2447" s="11"/>
    </row>
    <row r="2448">
      <c r="A2448" s="5"/>
      <c r="B2448" s="5"/>
      <c r="C2448" s="5"/>
      <c r="D2448" s="10"/>
      <c r="E2448" s="5"/>
      <c r="F2448" s="10"/>
      <c r="G2448" s="11"/>
    </row>
    <row r="2449">
      <c r="A2449" s="5"/>
      <c r="B2449" s="5"/>
      <c r="C2449" s="5"/>
      <c r="D2449" s="10"/>
      <c r="E2449" s="5"/>
      <c r="F2449" s="10"/>
      <c r="G2449" s="11"/>
    </row>
    <row r="2450">
      <c r="A2450" s="5"/>
      <c r="B2450" s="5"/>
      <c r="C2450" s="5"/>
      <c r="D2450" s="10"/>
      <c r="E2450" s="5"/>
      <c r="F2450" s="10"/>
      <c r="G2450" s="11"/>
    </row>
    <row r="2451">
      <c r="A2451" s="5"/>
      <c r="B2451" s="5"/>
      <c r="C2451" s="5"/>
      <c r="D2451" s="10"/>
      <c r="E2451" s="5"/>
      <c r="F2451" s="10"/>
      <c r="G2451" s="11"/>
    </row>
    <row r="2452">
      <c r="A2452" s="5"/>
      <c r="B2452" s="5"/>
      <c r="C2452" s="5"/>
      <c r="D2452" s="10"/>
      <c r="E2452" s="5"/>
      <c r="F2452" s="10"/>
      <c r="G2452" s="11"/>
    </row>
    <row r="2453">
      <c r="A2453" s="5"/>
      <c r="B2453" s="5"/>
      <c r="C2453" s="5"/>
      <c r="D2453" s="10"/>
      <c r="E2453" s="5"/>
      <c r="F2453" s="10"/>
      <c r="G2453" s="11"/>
    </row>
    <row r="2454">
      <c r="A2454" s="5"/>
      <c r="B2454" s="5"/>
      <c r="C2454" s="5"/>
      <c r="D2454" s="10"/>
      <c r="E2454" s="5"/>
      <c r="F2454" s="10"/>
      <c r="G2454" s="11"/>
    </row>
    <row r="2455">
      <c r="A2455" s="5"/>
      <c r="B2455" s="5"/>
      <c r="C2455" s="5"/>
      <c r="D2455" s="10"/>
      <c r="E2455" s="5"/>
      <c r="F2455" s="10"/>
      <c r="G2455" s="11"/>
    </row>
    <row r="2456">
      <c r="A2456" s="5"/>
      <c r="B2456" s="5"/>
      <c r="C2456" s="5"/>
      <c r="D2456" s="10"/>
      <c r="E2456" s="5"/>
      <c r="F2456" s="10"/>
      <c r="G2456" s="11"/>
    </row>
    <row r="2457">
      <c r="A2457" s="5"/>
      <c r="B2457" s="5"/>
      <c r="C2457" s="5"/>
      <c r="D2457" s="10"/>
      <c r="E2457" s="5"/>
      <c r="F2457" s="10"/>
      <c r="G2457" s="11"/>
    </row>
    <row r="2458">
      <c r="A2458" s="5"/>
      <c r="B2458" s="5"/>
      <c r="C2458" s="5"/>
      <c r="D2458" s="10"/>
      <c r="E2458" s="5"/>
      <c r="F2458" s="10"/>
      <c r="G2458" s="11"/>
    </row>
    <row r="2459">
      <c r="A2459" s="5"/>
      <c r="B2459" s="5"/>
      <c r="C2459" s="5"/>
      <c r="D2459" s="10"/>
      <c r="E2459" s="5"/>
      <c r="F2459" s="10"/>
      <c r="G2459" s="11"/>
    </row>
    <row r="2460">
      <c r="A2460" s="5"/>
      <c r="B2460" s="5"/>
      <c r="C2460" s="5"/>
      <c r="D2460" s="10"/>
      <c r="E2460" s="5"/>
      <c r="F2460" s="10"/>
      <c r="G2460" s="11"/>
    </row>
    <row r="2461">
      <c r="A2461" s="5"/>
      <c r="B2461" s="5"/>
      <c r="C2461" s="5"/>
      <c r="D2461" s="10"/>
      <c r="E2461" s="5"/>
      <c r="F2461" s="10"/>
      <c r="G2461" s="11"/>
    </row>
    <row r="2462">
      <c r="A2462" s="5"/>
      <c r="B2462" s="5"/>
      <c r="C2462" s="5"/>
      <c r="D2462" s="10"/>
      <c r="E2462" s="5"/>
      <c r="F2462" s="10"/>
      <c r="G2462" s="11"/>
    </row>
    <row r="2463">
      <c r="A2463" s="5"/>
      <c r="B2463" s="5"/>
      <c r="C2463" s="5"/>
      <c r="D2463" s="10"/>
      <c r="E2463" s="5"/>
      <c r="F2463" s="10"/>
      <c r="G2463" s="11"/>
    </row>
    <row r="2464">
      <c r="A2464" s="5"/>
      <c r="B2464" s="5"/>
      <c r="C2464" s="5"/>
      <c r="D2464" s="10"/>
      <c r="E2464" s="5"/>
      <c r="F2464" s="10"/>
      <c r="G2464" s="11"/>
    </row>
    <row r="2465">
      <c r="A2465" s="5"/>
      <c r="B2465" s="5"/>
      <c r="C2465" s="5"/>
      <c r="D2465" s="10"/>
      <c r="E2465" s="5"/>
      <c r="F2465" s="10"/>
      <c r="G2465" s="11"/>
    </row>
    <row r="2466">
      <c r="A2466" s="5"/>
      <c r="B2466" s="5"/>
      <c r="C2466" s="5"/>
      <c r="D2466" s="10"/>
      <c r="E2466" s="5"/>
      <c r="F2466" s="10"/>
      <c r="G2466" s="11"/>
    </row>
    <row r="2467">
      <c r="A2467" s="5"/>
      <c r="B2467" s="5"/>
      <c r="C2467" s="5"/>
      <c r="D2467" s="10"/>
      <c r="E2467" s="5"/>
      <c r="F2467" s="10"/>
      <c r="G2467" s="11"/>
    </row>
    <row r="2468">
      <c r="A2468" s="5"/>
      <c r="B2468" s="5"/>
      <c r="C2468" s="5"/>
      <c r="D2468" s="10"/>
      <c r="E2468" s="5"/>
      <c r="F2468" s="10"/>
      <c r="G2468" s="11"/>
    </row>
    <row r="2469">
      <c r="A2469" s="5"/>
      <c r="B2469" s="5"/>
      <c r="C2469" s="5"/>
      <c r="D2469" s="10"/>
      <c r="E2469" s="5"/>
      <c r="F2469" s="10"/>
      <c r="G2469" s="11"/>
    </row>
    <row r="2470">
      <c r="A2470" s="5"/>
      <c r="B2470" s="5"/>
      <c r="C2470" s="5"/>
      <c r="D2470" s="10"/>
      <c r="E2470" s="5"/>
      <c r="F2470" s="10"/>
      <c r="G2470" s="11"/>
    </row>
    <row r="2471">
      <c r="A2471" s="5"/>
      <c r="B2471" s="5"/>
      <c r="C2471" s="5"/>
      <c r="D2471" s="10"/>
      <c r="E2471" s="5"/>
      <c r="F2471" s="10"/>
      <c r="G2471" s="11"/>
    </row>
    <row r="2472">
      <c r="A2472" s="5"/>
      <c r="B2472" s="5"/>
      <c r="C2472" s="5"/>
      <c r="D2472" s="10"/>
      <c r="E2472" s="5"/>
      <c r="F2472" s="10"/>
      <c r="G2472" s="11"/>
    </row>
    <row r="2473">
      <c r="A2473" s="5"/>
      <c r="B2473" s="5"/>
      <c r="C2473" s="5"/>
      <c r="D2473" s="10"/>
      <c r="E2473" s="5"/>
      <c r="F2473" s="10"/>
      <c r="G2473" s="11"/>
    </row>
    <row r="2474">
      <c r="A2474" s="5"/>
      <c r="B2474" s="5"/>
      <c r="C2474" s="5"/>
      <c r="D2474" s="10"/>
      <c r="E2474" s="5"/>
      <c r="F2474" s="10"/>
      <c r="G2474" s="11"/>
    </row>
    <row r="2475">
      <c r="A2475" s="5"/>
      <c r="B2475" s="5"/>
      <c r="C2475" s="5"/>
      <c r="D2475" s="10"/>
      <c r="E2475" s="5"/>
      <c r="F2475" s="10"/>
      <c r="G2475" s="11"/>
    </row>
    <row r="2476">
      <c r="A2476" s="5"/>
      <c r="B2476" s="5"/>
      <c r="C2476" s="5"/>
      <c r="D2476" s="10"/>
      <c r="E2476" s="5"/>
      <c r="F2476" s="10"/>
      <c r="G2476" s="11"/>
    </row>
    <row r="2477">
      <c r="A2477" s="5"/>
      <c r="B2477" s="5"/>
      <c r="C2477" s="5"/>
      <c r="D2477" s="10"/>
      <c r="E2477" s="5"/>
      <c r="F2477" s="10"/>
      <c r="G2477" s="11"/>
    </row>
    <row r="2478">
      <c r="A2478" s="5"/>
      <c r="B2478" s="5"/>
      <c r="C2478" s="5"/>
      <c r="D2478" s="10"/>
      <c r="E2478" s="5"/>
      <c r="F2478" s="10"/>
      <c r="G2478" s="11"/>
    </row>
    <row r="2479">
      <c r="A2479" s="5"/>
      <c r="B2479" s="5"/>
      <c r="C2479" s="5"/>
      <c r="D2479" s="10"/>
      <c r="E2479" s="5"/>
      <c r="F2479" s="10"/>
      <c r="G2479" s="11"/>
    </row>
    <row r="2480">
      <c r="A2480" s="5"/>
      <c r="B2480" s="5"/>
      <c r="C2480" s="5"/>
      <c r="D2480" s="10"/>
      <c r="E2480" s="5"/>
      <c r="F2480" s="10"/>
      <c r="G2480" s="11"/>
    </row>
    <row r="2481">
      <c r="A2481" s="5"/>
      <c r="B2481" s="5"/>
      <c r="C2481" s="5"/>
      <c r="D2481" s="10"/>
      <c r="E2481" s="5"/>
      <c r="F2481" s="10"/>
      <c r="G2481" s="11"/>
    </row>
    <row r="2482">
      <c r="A2482" s="5"/>
      <c r="B2482" s="5"/>
      <c r="C2482" s="5"/>
      <c r="D2482" s="10"/>
      <c r="E2482" s="5"/>
      <c r="F2482" s="10"/>
      <c r="G2482" s="11"/>
    </row>
    <row r="2483">
      <c r="A2483" s="5"/>
      <c r="B2483" s="5"/>
      <c r="C2483" s="5"/>
      <c r="D2483" s="10"/>
      <c r="E2483" s="5"/>
      <c r="F2483" s="10"/>
      <c r="G2483" s="11"/>
    </row>
    <row r="2484">
      <c r="A2484" s="5"/>
      <c r="B2484" s="5"/>
      <c r="C2484" s="5"/>
      <c r="D2484" s="10"/>
      <c r="E2484" s="5"/>
      <c r="F2484" s="10"/>
      <c r="G2484" s="11"/>
    </row>
    <row r="2485">
      <c r="A2485" s="5"/>
      <c r="B2485" s="5"/>
      <c r="C2485" s="5"/>
      <c r="D2485" s="10"/>
      <c r="E2485" s="5"/>
      <c r="F2485" s="10"/>
      <c r="G2485" s="11"/>
    </row>
    <row r="2486">
      <c r="A2486" s="5"/>
      <c r="B2486" s="5"/>
      <c r="C2486" s="5"/>
      <c r="D2486" s="10"/>
      <c r="E2486" s="5"/>
      <c r="F2486" s="10"/>
      <c r="G2486" s="11"/>
    </row>
    <row r="2487">
      <c r="A2487" s="5"/>
      <c r="B2487" s="5"/>
      <c r="C2487" s="5"/>
      <c r="D2487" s="10"/>
      <c r="E2487" s="5"/>
      <c r="F2487" s="10"/>
      <c r="G2487" s="11"/>
    </row>
    <row r="2488">
      <c r="A2488" s="5"/>
      <c r="B2488" s="5"/>
      <c r="C2488" s="5"/>
      <c r="D2488" s="10"/>
      <c r="E2488" s="5"/>
      <c r="F2488" s="10"/>
      <c r="G2488" s="11"/>
    </row>
    <row r="2489">
      <c r="A2489" s="5"/>
      <c r="B2489" s="5"/>
      <c r="C2489" s="5"/>
      <c r="D2489" s="10"/>
      <c r="E2489" s="5"/>
      <c r="F2489" s="10"/>
      <c r="G2489" s="11"/>
    </row>
    <row r="2490">
      <c r="A2490" s="5"/>
      <c r="B2490" s="5"/>
      <c r="C2490" s="5"/>
      <c r="D2490" s="10"/>
      <c r="E2490" s="5"/>
      <c r="F2490" s="10"/>
      <c r="G2490" s="11"/>
    </row>
    <row r="2491">
      <c r="A2491" s="5"/>
      <c r="B2491" s="5"/>
      <c r="C2491" s="5"/>
      <c r="D2491" s="10"/>
      <c r="E2491" s="5"/>
      <c r="F2491" s="10"/>
      <c r="G2491" s="11"/>
    </row>
    <row r="2492">
      <c r="A2492" s="5"/>
      <c r="B2492" s="5"/>
      <c r="C2492" s="5"/>
      <c r="D2492" s="10"/>
      <c r="E2492" s="5"/>
      <c r="F2492" s="10"/>
      <c r="G2492" s="11"/>
    </row>
    <row r="2493">
      <c r="A2493" s="5"/>
      <c r="B2493" s="5"/>
      <c r="C2493" s="5"/>
      <c r="D2493" s="10"/>
      <c r="E2493" s="5"/>
      <c r="F2493" s="10"/>
      <c r="G2493" s="11"/>
    </row>
    <row r="2494">
      <c r="A2494" s="5"/>
      <c r="B2494" s="5"/>
      <c r="C2494" s="5"/>
      <c r="D2494" s="10"/>
      <c r="E2494" s="5"/>
      <c r="F2494" s="10"/>
      <c r="G2494" s="11"/>
    </row>
    <row r="2495">
      <c r="A2495" s="5"/>
      <c r="B2495" s="5"/>
      <c r="C2495" s="5"/>
      <c r="D2495" s="10"/>
      <c r="E2495" s="5"/>
      <c r="F2495" s="10"/>
      <c r="G2495" s="11"/>
    </row>
    <row r="2496">
      <c r="A2496" s="5"/>
      <c r="B2496" s="5"/>
      <c r="C2496" s="5"/>
      <c r="D2496" s="10"/>
      <c r="E2496" s="5"/>
      <c r="F2496" s="10"/>
      <c r="G2496" s="11"/>
    </row>
    <row r="2497">
      <c r="A2497" s="5"/>
      <c r="B2497" s="5"/>
      <c r="C2497" s="5"/>
      <c r="D2497" s="10"/>
      <c r="E2497" s="5"/>
      <c r="F2497" s="10"/>
      <c r="G2497" s="11"/>
    </row>
    <row r="2498">
      <c r="A2498" s="5"/>
      <c r="B2498" s="5"/>
      <c r="C2498" s="5"/>
      <c r="D2498" s="10"/>
      <c r="E2498" s="5"/>
      <c r="F2498" s="10"/>
      <c r="G2498" s="11"/>
    </row>
    <row r="2499">
      <c r="A2499" s="5"/>
      <c r="B2499" s="5"/>
      <c r="C2499" s="5"/>
      <c r="D2499" s="10"/>
      <c r="E2499" s="5"/>
      <c r="F2499" s="10"/>
      <c r="G2499" s="11"/>
    </row>
    <row r="2500">
      <c r="A2500" s="5"/>
      <c r="B2500" s="5"/>
      <c r="C2500" s="5"/>
      <c r="D2500" s="10"/>
      <c r="E2500" s="5"/>
      <c r="F2500" s="10"/>
      <c r="G2500" s="11"/>
    </row>
    <row r="2501">
      <c r="A2501" s="5"/>
      <c r="B2501" s="5"/>
      <c r="C2501" s="5"/>
      <c r="D2501" s="10"/>
      <c r="E2501" s="5"/>
      <c r="F2501" s="10"/>
      <c r="G2501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11</v>
      </c>
      <c r="B1" s="13" t="s">
        <v>12</v>
      </c>
      <c r="C1" s="14" t="s">
        <v>13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5">
        <f t="array" ref="A2:A191">SORT(UNIQUE(purchases!D2:D1001))</f>
        <v>45293</v>
      </c>
      <c r="B2" s="16">
        <f>IFERROR(__xludf.DUMMYFUNCTION("COUNTUNIQUE(FILTER(purchases!$A$2:$A1001, purchases!$D$2:$D1001=A2))"),1.0)</f>
        <v>1</v>
      </c>
      <c r="C2" s="17">
        <f>VLOOKUP(A2, purchases!$D$2:$F1001, 3, FALSE)</f>
        <v>45292</v>
      </c>
    </row>
    <row r="3">
      <c r="A3" s="15">
        <v>45294.0</v>
      </c>
      <c r="B3" s="16">
        <f>IFERROR(__xludf.DUMMYFUNCTION("COUNTUNIQUE(FILTER(purchases!$A$2:$A1001, purchases!$D$2:$D1001=A3))"),3.0)</f>
        <v>3</v>
      </c>
      <c r="C3" s="17">
        <f>VLOOKUP(A3, purchases!$D$2:$F1001, 3, FALSE)</f>
        <v>45292</v>
      </c>
    </row>
    <row r="4">
      <c r="A4" s="15">
        <v>45295.0</v>
      </c>
      <c r="B4" s="16">
        <f>IFERROR(__xludf.DUMMYFUNCTION("COUNTUNIQUE(FILTER(purchases!$A$2:$A1001, purchases!$D$2:$D1001=A4))"),8.0)</f>
        <v>8</v>
      </c>
      <c r="C4" s="17">
        <f>VLOOKUP(A4, purchases!$D$2:$F1001, 3, FALSE)</f>
        <v>45292</v>
      </c>
    </row>
    <row r="5">
      <c r="A5" s="15">
        <v>45296.0</v>
      </c>
      <c r="B5" s="16">
        <f>IFERROR(__xludf.DUMMYFUNCTION("COUNTUNIQUE(FILTER(purchases!$A$2:$A1001, purchases!$D$2:$D1001=A5))"),8.0)</f>
        <v>8</v>
      </c>
      <c r="C5" s="17">
        <f>VLOOKUP(A5, purchases!$D$2:$F1001, 3, FALSE)</f>
        <v>45292</v>
      </c>
    </row>
    <row r="6">
      <c r="A6" s="15">
        <v>45297.0</v>
      </c>
      <c r="B6" s="16">
        <f>IFERROR(__xludf.DUMMYFUNCTION("COUNTUNIQUE(FILTER(purchases!$A$2:$A1001, purchases!$D$2:$D1001=A6))"),6.0)</f>
        <v>6</v>
      </c>
      <c r="C6" s="17">
        <f>VLOOKUP(A6, purchases!$D$2:$F1001, 3, FALSE)</f>
        <v>45292</v>
      </c>
    </row>
    <row r="7">
      <c r="A7" s="15">
        <v>45298.0</v>
      </c>
      <c r="B7" s="16">
        <f>IFERROR(__xludf.DUMMYFUNCTION("COUNTUNIQUE(FILTER(purchases!$A$2:$A1001, purchases!$D$2:$D1001=A7))"),5.0)</f>
        <v>5</v>
      </c>
      <c r="C7" s="17">
        <f>VLOOKUP(A7, purchases!$D$2:$F1001, 3, FALSE)</f>
        <v>45292</v>
      </c>
    </row>
    <row r="8">
      <c r="A8" s="15">
        <v>45299.0</v>
      </c>
      <c r="B8" s="16">
        <f>IFERROR(__xludf.DUMMYFUNCTION("COUNTUNIQUE(FILTER(purchases!$A$2:$A1001, purchases!$D$2:$D1001=A8))"),8.0)</f>
        <v>8</v>
      </c>
      <c r="C8" s="17">
        <f>VLOOKUP(A8, purchases!$D$2:$F1001, 3, FALSE)</f>
        <v>45292</v>
      </c>
    </row>
    <row r="9">
      <c r="A9" s="15">
        <v>45300.0</v>
      </c>
      <c r="B9" s="16">
        <f>IFERROR(__xludf.DUMMYFUNCTION("COUNTUNIQUE(FILTER(purchases!$A$2:$A1001, purchases!$D$2:$D1001=A9))"),5.0)</f>
        <v>5</v>
      </c>
      <c r="C9" s="17">
        <f>VLOOKUP(A9, purchases!$D$2:$F1001, 3, FALSE)</f>
        <v>45292</v>
      </c>
    </row>
    <row r="10">
      <c r="A10" s="15">
        <v>45301.0</v>
      </c>
      <c r="B10" s="16">
        <f>IFERROR(__xludf.DUMMYFUNCTION("COUNTUNIQUE(FILTER(purchases!$A$2:$A1001, purchases!$D$2:$D1001=A10))"),16.0)</f>
        <v>16</v>
      </c>
      <c r="C10" s="17">
        <f>VLOOKUP(A10, purchases!$D$2:$F1001, 3, FALSE)</f>
        <v>45292</v>
      </c>
    </row>
    <row r="11">
      <c r="A11" s="15">
        <v>45302.0</v>
      </c>
      <c r="B11" s="16">
        <f>IFERROR(__xludf.DUMMYFUNCTION("COUNTUNIQUE(FILTER(purchases!$A$2:$A1001, purchases!$D$2:$D1001=A11))"),13.0)</f>
        <v>13</v>
      </c>
      <c r="C11" s="17">
        <f>VLOOKUP(A11, purchases!$D$2:$F1001, 3, FALSE)</f>
        <v>45292</v>
      </c>
    </row>
    <row r="12">
      <c r="A12" s="15">
        <v>45303.0</v>
      </c>
      <c r="B12" s="16">
        <f>IFERROR(__xludf.DUMMYFUNCTION("COUNTUNIQUE(FILTER(purchases!$A$2:$A1001, purchases!$D$2:$D1001=A12))"),11.0)</f>
        <v>11</v>
      </c>
      <c r="C12" s="17">
        <f>VLOOKUP(A12, purchases!$D$2:$F1001, 3, FALSE)</f>
        <v>45292</v>
      </c>
    </row>
    <row r="13">
      <c r="A13" s="15">
        <v>45304.0</v>
      </c>
      <c r="B13" s="16">
        <f>IFERROR(__xludf.DUMMYFUNCTION("COUNTUNIQUE(FILTER(purchases!$A$2:$A1001, purchases!$D$2:$D1001=A13))"),13.0)</f>
        <v>13</v>
      </c>
      <c r="C13" s="17">
        <f>VLOOKUP(A13, purchases!$D$2:$F1001, 3, FALSE)</f>
        <v>45292</v>
      </c>
    </row>
    <row r="14">
      <c r="A14" s="15">
        <v>45305.0</v>
      </c>
      <c r="B14" s="16">
        <f>IFERROR(__xludf.DUMMYFUNCTION("COUNTUNIQUE(FILTER(purchases!$A$2:$A1001, purchases!$D$2:$D1001=A14))"),9.0)</f>
        <v>9</v>
      </c>
      <c r="C14" s="17">
        <f>VLOOKUP(A14, purchases!$D$2:$F1001, 3, FALSE)</f>
        <v>45292</v>
      </c>
    </row>
    <row r="15">
      <c r="A15" s="15">
        <v>45306.0</v>
      </c>
      <c r="B15" s="16">
        <f>IFERROR(__xludf.DUMMYFUNCTION("COUNTUNIQUE(FILTER(purchases!$A$2:$A1001, purchases!$D$2:$D1001=A15))"),12.0)</f>
        <v>12</v>
      </c>
      <c r="C15" s="17">
        <f>VLOOKUP(A15, purchases!$D$2:$F1001, 3, FALSE)</f>
        <v>45292</v>
      </c>
    </row>
    <row r="16">
      <c r="A16" s="15">
        <v>45307.0</v>
      </c>
      <c r="B16" s="16">
        <f>IFERROR(__xludf.DUMMYFUNCTION("COUNTUNIQUE(FILTER(purchases!$A$2:$A1001, purchases!$D$2:$D1001=A16))"),16.0)</f>
        <v>16</v>
      </c>
      <c r="C16" s="17">
        <f>VLOOKUP(A16, purchases!$D$2:$F1001, 3, FALSE)</f>
        <v>45292</v>
      </c>
    </row>
    <row r="17">
      <c r="A17" s="15">
        <v>45308.0</v>
      </c>
      <c r="B17" s="16">
        <f>IFERROR(__xludf.DUMMYFUNCTION("COUNTUNIQUE(FILTER(purchases!$A$2:$A1001, purchases!$D$2:$D1001=A17))"),15.0)</f>
        <v>15</v>
      </c>
      <c r="C17" s="17">
        <f>VLOOKUP(A17, purchases!$D$2:$F1001, 3, FALSE)</f>
        <v>45292</v>
      </c>
    </row>
    <row r="18">
      <c r="A18" s="15">
        <v>45309.0</v>
      </c>
      <c r="B18" s="16">
        <f>IFERROR(__xludf.DUMMYFUNCTION("COUNTUNIQUE(FILTER(purchases!$A$2:$A1001, purchases!$D$2:$D1001=A18))"),10.0)</f>
        <v>10</v>
      </c>
      <c r="C18" s="17">
        <f>VLOOKUP(A18, purchases!$D$2:$F1001, 3, FALSE)</f>
        <v>45292</v>
      </c>
    </row>
    <row r="19">
      <c r="A19" s="15">
        <v>45310.0</v>
      </c>
      <c r="B19" s="16">
        <f>IFERROR(__xludf.DUMMYFUNCTION("COUNTUNIQUE(FILTER(purchases!$A$2:$A1001, purchases!$D$2:$D1001=A19))"),12.0)</f>
        <v>12</v>
      </c>
      <c r="C19" s="17">
        <f>VLOOKUP(A19, purchases!$D$2:$F1001, 3, FALSE)</f>
        <v>45292</v>
      </c>
    </row>
    <row r="20">
      <c r="A20" s="15">
        <v>45311.0</v>
      </c>
      <c r="B20" s="16">
        <f>IFERROR(__xludf.DUMMYFUNCTION("COUNTUNIQUE(FILTER(purchases!$A$2:$A1001, purchases!$D$2:$D1001=A20))"),13.0)</f>
        <v>13</v>
      </c>
      <c r="C20" s="17">
        <f>VLOOKUP(A20, purchases!$D$2:$F1001, 3, FALSE)</f>
        <v>45292</v>
      </c>
    </row>
    <row r="21">
      <c r="A21" s="15">
        <v>45312.0</v>
      </c>
      <c r="B21" s="16">
        <f>IFERROR(__xludf.DUMMYFUNCTION("COUNTUNIQUE(FILTER(purchases!$A$2:$A1001, purchases!$D$2:$D1001=A21))"),6.0)</f>
        <v>6</v>
      </c>
      <c r="C21" s="17">
        <f>VLOOKUP(A21, purchases!$D$2:$F1001, 3, FALSE)</f>
        <v>45292</v>
      </c>
    </row>
    <row r="22">
      <c r="A22" s="15">
        <v>45313.0</v>
      </c>
      <c r="B22" s="16">
        <f>IFERROR(__xludf.DUMMYFUNCTION("COUNTUNIQUE(FILTER(purchases!$A$2:$A1001, purchases!$D$2:$D1001=A22))"),13.0)</f>
        <v>13</v>
      </c>
      <c r="C22" s="17">
        <f>VLOOKUP(A22, purchases!$D$2:$F1001, 3, FALSE)</f>
        <v>45292</v>
      </c>
    </row>
    <row r="23">
      <c r="A23" s="15">
        <v>45314.0</v>
      </c>
      <c r="B23" s="16">
        <f>IFERROR(__xludf.DUMMYFUNCTION("COUNTUNIQUE(FILTER(purchases!$A$2:$A1001, purchases!$D$2:$D1001=A23))"),8.0)</f>
        <v>8</v>
      </c>
      <c r="C23" s="17">
        <f>VLOOKUP(A23, purchases!$D$2:$F1001, 3, FALSE)</f>
        <v>45292</v>
      </c>
    </row>
    <row r="24">
      <c r="A24" s="15">
        <v>45315.0</v>
      </c>
      <c r="B24" s="16">
        <f>IFERROR(__xludf.DUMMYFUNCTION("COUNTUNIQUE(FILTER(purchases!$A$2:$A1001, purchases!$D$2:$D1001=A24))"),12.0)</f>
        <v>12</v>
      </c>
      <c r="C24" s="17">
        <f>VLOOKUP(A24, purchases!$D$2:$F1001, 3, FALSE)</f>
        <v>45292</v>
      </c>
    </row>
    <row r="25">
      <c r="A25" s="15">
        <v>45316.0</v>
      </c>
      <c r="B25" s="16">
        <f>IFERROR(__xludf.DUMMYFUNCTION("COUNTUNIQUE(FILTER(purchases!$A$2:$A1001, purchases!$D$2:$D1001=A25))"),12.0)</f>
        <v>12</v>
      </c>
      <c r="C25" s="17">
        <f>VLOOKUP(A25, purchases!$D$2:$F1001, 3, FALSE)</f>
        <v>45292</v>
      </c>
    </row>
    <row r="26">
      <c r="A26" s="15">
        <v>45317.0</v>
      </c>
      <c r="B26" s="16">
        <f>IFERROR(__xludf.DUMMYFUNCTION("COUNTUNIQUE(FILTER(purchases!$A$2:$A1001, purchases!$D$2:$D1001=A26))"),14.0)</f>
        <v>14</v>
      </c>
      <c r="C26" s="17">
        <f>VLOOKUP(A26, purchases!$D$2:$F1001, 3, FALSE)</f>
        <v>45292</v>
      </c>
    </row>
    <row r="27">
      <c r="A27" s="15">
        <v>45318.0</v>
      </c>
      <c r="B27" s="16">
        <f>IFERROR(__xludf.DUMMYFUNCTION("COUNTUNIQUE(FILTER(purchases!$A$2:$A1001, purchases!$D$2:$D1001=A27))"),10.0)</f>
        <v>10</v>
      </c>
      <c r="C27" s="17">
        <f>VLOOKUP(A27, purchases!$D$2:$F1001, 3, FALSE)</f>
        <v>45292</v>
      </c>
    </row>
    <row r="28">
      <c r="A28" s="15">
        <v>45319.0</v>
      </c>
      <c r="B28" s="16">
        <f>IFERROR(__xludf.DUMMYFUNCTION("COUNTUNIQUE(FILTER(purchases!$A$2:$A1001, purchases!$D$2:$D1001=A28))"),4.0)</f>
        <v>4</v>
      </c>
      <c r="C28" s="17">
        <f>VLOOKUP(A28, purchases!$D$2:$F1001, 3, FALSE)</f>
        <v>45292</v>
      </c>
    </row>
    <row r="29">
      <c r="A29" s="15">
        <v>45320.0</v>
      </c>
      <c r="B29" s="16">
        <f>IFERROR(__xludf.DUMMYFUNCTION("COUNTUNIQUE(FILTER(purchases!$A$2:$A1001, purchases!$D$2:$D1001=A29))"),21.0)</f>
        <v>21</v>
      </c>
      <c r="C29" s="17">
        <f>VLOOKUP(A29, purchases!$D$2:$F1001, 3, FALSE)</f>
        <v>45292</v>
      </c>
    </row>
    <row r="30">
      <c r="A30" s="15">
        <v>45321.0</v>
      </c>
      <c r="B30" s="16">
        <f>IFERROR(__xludf.DUMMYFUNCTION("COUNTUNIQUE(FILTER(purchases!$A$2:$A1001, purchases!$D$2:$D1001=A30))"),7.0)</f>
        <v>7</v>
      </c>
      <c r="C30" s="17">
        <f>VLOOKUP(A30, purchases!$D$2:$F1001, 3, FALSE)</f>
        <v>45292</v>
      </c>
    </row>
    <row r="31">
      <c r="A31" s="15">
        <v>45322.0</v>
      </c>
      <c r="B31" s="16">
        <f>IFERROR(__xludf.DUMMYFUNCTION("COUNTUNIQUE(FILTER(purchases!$A$2:$A1001, purchases!$D$2:$D1001=A31))"),4.0)</f>
        <v>4</v>
      </c>
      <c r="C31" s="17">
        <f>VLOOKUP(A31, purchases!$D$2:$F1001, 3, FALSE)</f>
        <v>45292</v>
      </c>
    </row>
    <row r="32">
      <c r="A32" s="15">
        <v>45323.0</v>
      </c>
      <c r="B32" s="16">
        <f>IFERROR(__xludf.DUMMYFUNCTION("COUNTUNIQUE(FILTER(purchases!$A$2:$A1001, purchases!$D$2:$D1001=A32))"),11.0)</f>
        <v>11</v>
      </c>
      <c r="C32" s="17">
        <f>VLOOKUP(A32, purchases!$D$2:$F1001, 3, FALSE)</f>
        <v>45323</v>
      </c>
    </row>
    <row r="33">
      <c r="A33" s="15">
        <v>45324.0</v>
      </c>
      <c r="B33" s="16">
        <f>IFERROR(__xludf.DUMMYFUNCTION("COUNTUNIQUE(FILTER(purchases!$A$2:$A1001, purchases!$D$2:$D1001=A33))"),11.0)</f>
        <v>11</v>
      </c>
      <c r="C33" s="17">
        <f>VLOOKUP(A33, purchases!$D$2:$F1001, 3, FALSE)</f>
        <v>45323</v>
      </c>
    </row>
    <row r="34">
      <c r="A34" s="15">
        <v>45325.0</v>
      </c>
      <c r="B34" s="16">
        <f>IFERROR(__xludf.DUMMYFUNCTION("COUNTUNIQUE(FILTER(purchases!$A$2:$A1001, purchases!$D$2:$D1001=A34))"),12.0)</f>
        <v>12</v>
      </c>
      <c r="C34" s="17">
        <f>VLOOKUP(A34, purchases!$D$2:$F1001, 3, FALSE)</f>
        <v>45323</v>
      </c>
    </row>
    <row r="35">
      <c r="A35" s="15">
        <v>45326.0</v>
      </c>
      <c r="B35" s="16">
        <f>IFERROR(__xludf.DUMMYFUNCTION("COUNTUNIQUE(FILTER(purchases!$A$2:$A1001, purchases!$D$2:$D1001=A35))"),13.0)</f>
        <v>13</v>
      </c>
      <c r="C35" s="17">
        <f>VLOOKUP(A35, purchases!$D$2:$F1001, 3, FALSE)</f>
        <v>45323</v>
      </c>
    </row>
    <row r="36">
      <c r="A36" s="15">
        <v>45327.0</v>
      </c>
      <c r="B36" s="16">
        <f>IFERROR(__xludf.DUMMYFUNCTION("COUNTUNIQUE(FILTER(purchases!$A$2:$A1001, purchases!$D$2:$D1001=A36))"),14.0)</f>
        <v>14</v>
      </c>
      <c r="C36" s="17">
        <f>VLOOKUP(A36, purchases!$D$2:$F1001, 3, FALSE)</f>
        <v>45323</v>
      </c>
    </row>
    <row r="37">
      <c r="A37" s="15">
        <v>45328.0</v>
      </c>
      <c r="B37" s="16">
        <f>IFERROR(__xludf.DUMMYFUNCTION("COUNTUNIQUE(FILTER(purchases!$A$2:$A1001, purchases!$D$2:$D1001=A37))"),10.0)</f>
        <v>10</v>
      </c>
      <c r="C37" s="17">
        <f>VLOOKUP(A37, purchases!$D$2:$F1001, 3, FALSE)</f>
        <v>45323</v>
      </c>
    </row>
    <row r="38">
      <c r="A38" s="15">
        <v>45329.0</v>
      </c>
      <c r="B38" s="16">
        <f>IFERROR(__xludf.DUMMYFUNCTION("COUNTUNIQUE(FILTER(purchases!$A$2:$A1001, purchases!$D$2:$D1001=A38))"),19.0)</f>
        <v>19</v>
      </c>
      <c r="C38" s="17">
        <f>VLOOKUP(A38, purchases!$D$2:$F1001, 3, FALSE)</f>
        <v>45323</v>
      </c>
    </row>
    <row r="39">
      <c r="A39" s="15">
        <v>45330.0</v>
      </c>
      <c r="B39" s="16">
        <f>IFERROR(__xludf.DUMMYFUNCTION("COUNTUNIQUE(FILTER(purchases!$A$2:$A1001, purchases!$D$2:$D1001=A39))"),7.0)</f>
        <v>7</v>
      </c>
      <c r="C39" s="17">
        <f>VLOOKUP(A39, purchases!$D$2:$F1001, 3, FALSE)</f>
        <v>45323</v>
      </c>
    </row>
    <row r="40">
      <c r="A40" s="15">
        <v>45331.0</v>
      </c>
      <c r="B40" s="16">
        <f>IFERROR(__xludf.DUMMYFUNCTION("COUNTUNIQUE(FILTER(purchases!$A$2:$A1001, purchases!$D$2:$D1001=A40))"),9.0)</f>
        <v>9</v>
      </c>
      <c r="C40" s="17">
        <f>VLOOKUP(A40, purchases!$D$2:$F1001, 3, FALSE)</f>
        <v>45323</v>
      </c>
    </row>
    <row r="41">
      <c r="A41" s="15">
        <v>45332.0</v>
      </c>
      <c r="B41" s="16">
        <f>IFERROR(__xludf.DUMMYFUNCTION("COUNTUNIQUE(FILTER(purchases!$A$2:$A1001, purchases!$D$2:$D1001=A41))"),16.0)</f>
        <v>16</v>
      </c>
      <c r="C41" s="17">
        <f>VLOOKUP(A41, purchases!$D$2:$F1001, 3, FALSE)</f>
        <v>45323</v>
      </c>
    </row>
    <row r="42">
      <c r="A42" s="15">
        <v>45333.0</v>
      </c>
      <c r="B42" s="16">
        <f>IFERROR(__xludf.DUMMYFUNCTION("COUNTUNIQUE(FILTER(purchases!$A$2:$A1001, purchases!$D$2:$D1001=A42))"),7.0)</f>
        <v>7</v>
      </c>
      <c r="C42" s="17">
        <f>VLOOKUP(A42, purchases!$D$2:$F1001, 3, FALSE)</f>
        <v>45323</v>
      </c>
    </row>
    <row r="43">
      <c r="A43" s="15">
        <v>45334.0</v>
      </c>
      <c r="B43" s="16">
        <f>IFERROR(__xludf.DUMMYFUNCTION("COUNTUNIQUE(FILTER(purchases!$A$2:$A1001, purchases!$D$2:$D1001=A43))"),10.0)</f>
        <v>10</v>
      </c>
      <c r="C43" s="17">
        <f>VLOOKUP(A43, purchases!$D$2:$F1001, 3, FALSE)</f>
        <v>45323</v>
      </c>
    </row>
    <row r="44">
      <c r="A44" s="15">
        <v>45335.0</v>
      </c>
      <c r="B44" s="16">
        <f>IFERROR(__xludf.DUMMYFUNCTION("COUNTUNIQUE(FILTER(purchases!$A$2:$A1001, purchases!$D$2:$D1001=A44))"),14.0)</f>
        <v>14</v>
      </c>
      <c r="C44" s="17">
        <f>VLOOKUP(A44, purchases!$D$2:$F1001, 3, FALSE)</f>
        <v>45323</v>
      </c>
    </row>
    <row r="45">
      <c r="A45" s="15">
        <v>45336.0</v>
      </c>
      <c r="B45" s="16">
        <f>IFERROR(__xludf.DUMMYFUNCTION("COUNTUNIQUE(FILTER(purchases!$A$2:$A1001, purchases!$D$2:$D1001=A45))"),13.0)</f>
        <v>13</v>
      </c>
      <c r="C45" s="17">
        <f>VLOOKUP(A45, purchases!$D$2:$F1001, 3, FALSE)</f>
        <v>45323</v>
      </c>
    </row>
    <row r="46">
      <c r="A46" s="15">
        <v>45337.0</v>
      </c>
      <c r="B46" s="16">
        <f>IFERROR(__xludf.DUMMYFUNCTION("COUNTUNIQUE(FILTER(purchases!$A$2:$A1001, purchases!$D$2:$D1001=A46))"),14.0)</f>
        <v>14</v>
      </c>
      <c r="C46" s="17">
        <f>VLOOKUP(A46, purchases!$D$2:$F1001, 3, FALSE)</f>
        <v>45323</v>
      </c>
    </row>
    <row r="47">
      <c r="A47" s="15">
        <v>45338.0</v>
      </c>
      <c r="B47" s="16">
        <f>IFERROR(__xludf.DUMMYFUNCTION("COUNTUNIQUE(FILTER(purchases!$A$2:$A1001, purchases!$D$2:$D1001=A47))"),8.0)</f>
        <v>8</v>
      </c>
      <c r="C47" s="17">
        <f>VLOOKUP(A47, purchases!$D$2:$F1001, 3, FALSE)</f>
        <v>45323</v>
      </c>
    </row>
    <row r="48">
      <c r="A48" s="15">
        <v>45339.0</v>
      </c>
      <c r="B48" s="16">
        <f>IFERROR(__xludf.DUMMYFUNCTION("COUNTUNIQUE(FILTER(purchases!$A$2:$A1001, purchases!$D$2:$D1001=A48))"),9.0)</f>
        <v>9</v>
      </c>
      <c r="C48" s="17">
        <f>VLOOKUP(A48, purchases!$D$2:$F1001, 3, FALSE)</f>
        <v>45323</v>
      </c>
    </row>
    <row r="49">
      <c r="A49" s="15">
        <v>45340.0</v>
      </c>
      <c r="B49" s="16">
        <f>IFERROR(__xludf.DUMMYFUNCTION("COUNTUNIQUE(FILTER(purchases!$A$2:$A1001, purchases!$D$2:$D1001=A49))"),4.0)</f>
        <v>4</v>
      </c>
      <c r="C49" s="17">
        <f>VLOOKUP(A49, purchases!$D$2:$F1001, 3, FALSE)</f>
        <v>45323</v>
      </c>
    </row>
    <row r="50">
      <c r="A50" s="15">
        <v>45341.0</v>
      </c>
      <c r="B50" s="16">
        <f>IFERROR(__xludf.DUMMYFUNCTION("COUNTUNIQUE(FILTER(purchases!$A$2:$A1001, purchases!$D$2:$D1001=A50))"),13.0)</f>
        <v>13</v>
      </c>
      <c r="C50" s="17">
        <f>VLOOKUP(A50, purchases!$D$2:$F1001, 3, FALSE)</f>
        <v>45323</v>
      </c>
    </row>
    <row r="51">
      <c r="A51" s="15">
        <v>45342.0</v>
      </c>
      <c r="B51" s="16">
        <f>IFERROR(__xludf.DUMMYFUNCTION("COUNTUNIQUE(FILTER(purchases!$A$2:$A1001, purchases!$D$2:$D1001=A51))"),11.0)</f>
        <v>11</v>
      </c>
      <c r="C51" s="17">
        <f>VLOOKUP(A51, purchases!$D$2:$F1001, 3, FALSE)</f>
        <v>45323</v>
      </c>
    </row>
    <row r="52">
      <c r="A52" s="15">
        <v>45343.0</v>
      </c>
      <c r="B52" s="16">
        <f>IFERROR(__xludf.DUMMYFUNCTION("COUNTUNIQUE(FILTER(purchases!$A$2:$A1001, purchases!$D$2:$D1001=A52))"),9.0)</f>
        <v>9</v>
      </c>
      <c r="C52" s="17">
        <f>VLOOKUP(A52, purchases!$D$2:$F1001, 3, FALSE)</f>
        <v>45323</v>
      </c>
    </row>
    <row r="53">
      <c r="A53" s="15">
        <v>45344.0</v>
      </c>
      <c r="B53" s="16">
        <f>IFERROR(__xludf.DUMMYFUNCTION("COUNTUNIQUE(FILTER(purchases!$A$2:$A1001, purchases!$D$2:$D1001=A53))"),14.0)</f>
        <v>14</v>
      </c>
      <c r="C53" s="17">
        <f>VLOOKUP(A53, purchases!$D$2:$F1001, 3, FALSE)</f>
        <v>45323</v>
      </c>
    </row>
    <row r="54">
      <c r="A54" s="15">
        <v>45345.0</v>
      </c>
      <c r="B54" s="16">
        <f>IFERROR(__xludf.DUMMYFUNCTION("COUNTUNIQUE(FILTER(purchases!$A$2:$A1001, purchases!$D$2:$D1001=A54))"),11.0)</f>
        <v>11</v>
      </c>
      <c r="C54" s="17">
        <f>VLOOKUP(A54, purchases!$D$2:$F1001, 3, FALSE)</f>
        <v>45323</v>
      </c>
    </row>
    <row r="55">
      <c r="A55" s="15">
        <v>45346.0</v>
      </c>
      <c r="B55" s="16">
        <f>IFERROR(__xludf.DUMMYFUNCTION("COUNTUNIQUE(FILTER(purchases!$A$2:$A1001, purchases!$D$2:$D1001=A55))"),8.0)</f>
        <v>8</v>
      </c>
      <c r="C55" s="17">
        <f>VLOOKUP(A55, purchases!$D$2:$F1001, 3, FALSE)</f>
        <v>45323</v>
      </c>
    </row>
    <row r="56">
      <c r="A56" s="15">
        <v>45347.0</v>
      </c>
      <c r="B56" s="16">
        <f>IFERROR(__xludf.DUMMYFUNCTION("COUNTUNIQUE(FILTER(purchases!$A$2:$A1001, purchases!$D$2:$D1001=A56))"),6.0)</f>
        <v>6</v>
      </c>
      <c r="C56" s="17">
        <f>VLOOKUP(A56, purchases!$D$2:$F1001, 3, FALSE)</f>
        <v>45323</v>
      </c>
    </row>
    <row r="57">
      <c r="A57" s="15">
        <v>45348.0</v>
      </c>
      <c r="B57" s="16">
        <f>IFERROR(__xludf.DUMMYFUNCTION("COUNTUNIQUE(FILTER(purchases!$A$2:$A1001, purchases!$D$2:$D1001=A57))"),15.0)</f>
        <v>15</v>
      </c>
      <c r="C57" s="17">
        <f>VLOOKUP(A57, purchases!$D$2:$F1001, 3, FALSE)</f>
        <v>45323</v>
      </c>
    </row>
    <row r="58">
      <c r="A58" s="15">
        <v>45349.0</v>
      </c>
      <c r="B58" s="16">
        <f>IFERROR(__xludf.DUMMYFUNCTION("COUNTUNIQUE(FILTER(purchases!$A$2:$A1001, purchases!$D$2:$D1001=A58))"),13.0)</f>
        <v>13</v>
      </c>
      <c r="C58" s="17">
        <f>VLOOKUP(A58, purchases!$D$2:$F1001, 3, FALSE)</f>
        <v>45323</v>
      </c>
    </row>
    <row r="59">
      <c r="A59" s="15">
        <v>45350.0</v>
      </c>
      <c r="B59" s="16">
        <f>IFERROR(__xludf.DUMMYFUNCTION("COUNTUNIQUE(FILTER(purchases!$A$2:$A1001, purchases!$D$2:$D1001=A59))"),5.0)</f>
        <v>5</v>
      </c>
      <c r="C59" s="17">
        <f>VLOOKUP(A59, purchases!$D$2:$F1001, 3, FALSE)</f>
        <v>45323</v>
      </c>
    </row>
    <row r="60">
      <c r="A60" s="15">
        <v>45351.0</v>
      </c>
      <c r="B60" s="16">
        <f>IFERROR(__xludf.DUMMYFUNCTION("COUNTUNIQUE(FILTER(purchases!$A$2:$A1001, purchases!$D$2:$D1001=A60))"),13.0)</f>
        <v>13</v>
      </c>
      <c r="C60" s="17">
        <f>VLOOKUP(A60, purchases!$D$2:$F1001, 3, FALSE)</f>
        <v>45323</v>
      </c>
    </row>
    <row r="61">
      <c r="A61" s="15">
        <v>45352.0</v>
      </c>
      <c r="B61" s="16">
        <f>IFERROR(__xludf.DUMMYFUNCTION("COUNTUNIQUE(FILTER(purchases!$A$2:$A1001, purchases!$D$2:$D1001=A61))"),14.0)</f>
        <v>14</v>
      </c>
      <c r="C61" s="17">
        <f>VLOOKUP(A61, purchases!$D$2:$F1001, 3, FALSE)</f>
        <v>45352</v>
      </c>
    </row>
    <row r="62">
      <c r="A62" s="15">
        <v>45353.0</v>
      </c>
      <c r="B62" s="16">
        <f>IFERROR(__xludf.DUMMYFUNCTION("COUNTUNIQUE(FILTER(purchases!$A$2:$A1001, purchases!$D$2:$D1001=A62))"),8.0)</f>
        <v>8</v>
      </c>
      <c r="C62" s="17">
        <f>VLOOKUP(A62, purchases!$D$2:$F1001, 3, FALSE)</f>
        <v>45352</v>
      </c>
    </row>
    <row r="63">
      <c r="A63" s="15">
        <v>45354.0</v>
      </c>
      <c r="B63" s="16">
        <f>IFERROR(__xludf.DUMMYFUNCTION("COUNTUNIQUE(FILTER(purchases!$A$2:$A1001, purchases!$D$2:$D1001=A63))"),9.0)</f>
        <v>9</v>
      </c>
      <c r="C63" s="17">
        <f>VLOOKUP(A63, purchases!$D$2:$F1001, 3, FALSE)</f>
        <v>45352</v>
      </c>
    </row>
    <row r="64">
      <c r="A64" s="15">
        <v>45355.0</v>
      </c>
      <c r="B64" s="16">
        <f>IFERROR(__xludf.DUMMYFUNCTION("COUNTUNIQUE(FILTER(purchases!$A$2:$A1001, purchases!$D$2:$D1001=A64))"),9.0)</f>
        <v>9</v>
      </c>
      <c r="C64" s="17">
        <f>VLOOKUP(A64, purchases!$D$2:$F1001, 3, FALSE)</f>
        <v>45352</v>
      </c>
    </row>
    <row r="65">
      <c r="A65" s="15">
        <v>45356.0</v>
      </c>
      <c r="B65" s="16">
        <f>IFERROR(__xludf.DUMMYFUNCTION("COUNTUNIQUE(FILTER(purchases!$A$2:$A1001, purchases!$D$2:$D1001=A65))"),7.0)</f>
        <v>7</v>
      </c>
      <c r="C65" s="17">
        <f>VLOOKUP(A65, purchases!$D$2:$F1001, 3, FALSE)</f>
        <v>45352</v>
      </c>
    </row>
    <row r="66">
      <c r="A66" s="15">
        <v>45357.0</v>
      </c>
      <c r="B66" s="16">
        <f>IFERROR(__xludf.DUMMYFUNCTION("COUNTUNIQUE(FILTER(purchases!$A$2:$A1001, purchases!$D$2:$D1001=A66))"),13.0)</f>
        <v>13</v>
      </c>
      <c r="C66" s="17">
        <f>VLOOKUP(A66, purchases!$D$2:$F1001, 3, FALSE)</f>
        <v>45352</v>
      </c>
    </row>
    <row r="67">
      <c r="A67" s="15">
        <v>45358.0</v>
      </c>
      <c r="B67" s="16">
        <f>IFERROR(__xludf.DUMMYFUNCTION("COUNTUNIQUE(FILTER(purchases!$A$2:$A1001, purchases!$D$2:$D1001=A67))"),7.0)</f>
        <v>7</v>
      </c>
      <c r="C67" s="17">
        <f>VLOOKUP(A67, purchases!$D$2:$F1001, 3, FALSE)</f>
        <v>45352</v>
      </c>
    </row>
    <row r="68">
      <c r="A68" s="15">
        <v>45359.0</v>
      </c>
      <c r="B68" s="16">
        <f>IFERROR(__xludf.DUMMYFUNCTION("COUNTUNIQUE(FILTER(purchases!$A$2:$A1001, purchases!$D$2:$D1001=A68))"),14.0)</f>
        <v>14</v>
      </c>
      <c r="C68" s="17">
        <f>VLOOKUP(A68, purchases!$D$2:$F1001, 3, FALSE)</f>
        <v>45352</v>
      </c>
    </row>
    <row r="69">
      <c r="A69" s="15">
        <v>45360.0</v>
      </c>
      <c r="B69" s="16">
        <f>IFERROR(__xludf.DUMMYFUNCTION("COUNTUNIQUE(FILTER(purchases!$A$2:$A1001, purchases!$D$2:$D1001=A69))"),12.0)</f>
        <v>12</v>
      </c>
      <c r="C69" s="17">
        <f>VLOOKUP(A69, purchases!$D$2:$F1001, 3, FALSE)</f>
        <v>45352</v>
      </c>
    </row>
    <row r="70">
      <c r="A70" s="15">
        <v>45361.0</v>
      </c>
      <c r="B70" s="16">
        <f>IFERROR(__xludf.DUMMYFUNCTION("COUNTUNIQUE(FILTER(purchases!$A$2:$A1001, purchases!$D$2:$D1001=A70))"),18.0)</f>
        <v>18</v>
      </c>
      <c r="C70" s="17">
        <f>VLOOKUP(A70, purchases!$D$2:$F1001, 3, FALSE)</f>
        <v>45352</v>
      </c>
    </row>
    <row r="71">
      <c r="A71" s="15">
        <v>45362.0</v>
      </c>
      <c r="B71" s="16">
        <f>IFERROR(__xludf.DUMMYFUNCTION("COUNTUNIQUE(FILTER(purchases!$A$2:$A1001, purchases!$D$2:$D1001=A71))"),12.0)</f>
        <v>12</v>
      </c>
      <c r="C71" s="17">
        <f>VLOOKUP(A71, purchases!$D$2:$F1001, 3, FALSE)</f>
        <v>45352</v>
      </c>
    </row>
    <row r="72">
      <c r="A72" s="15">
        <v>45363.0</v>
      </c>
      <c r="B72" s="16">
        <f>IFERROR(__xludf.DUMMYFUNCTION("COUNTUNIQUE(FILTER(purchases!$A$2:$A1001, purchases!$D$2:$D1001=A72))"),7.0)</f>
        <v>7</v>
      </c>
      <c r="C72" s="17">
        <f>VLOOKUP(A72, purchases!$D$2:$F1001, 3, FALSE)</f>
        <v>45352</v>
      </c>
    </row>
    <row r="73">
      <c r="A73" s="15">
        <v>45364.0</v>
      </c>
      <c r="B73" s="16">
        <f>IFERROR(__xludf.DUMMYFUNCTION("COUNTUNIQUE(FILTER(purchases!$A$2:$A1001, purchases!$D$2:$D1001=A73))"),16.0)</f>
        <v>16</v>
      </c>
      <c r="C73" s="17">
        <f>VLOOKUP(A73, purchases!$D$2:$F1001, 3, FALSE)</f>
        <v>45352</v>
      </c>
    </row>
    <row r="74">
      <c r="A74" s="15">
        <v>45365.0</v>
      </c>
      <c r="B74" s="16">
        <f>IFERROR(__xludf.DUMMYFUNCTION("COUNTUNIQUE(FILTER(purchases!$A$2:$A1001, purchases!$D$2:$D1001=A74))"),17.0)</f>
        <v>17</v>
      </c>
      <c r="C74" s="17">
        <f>VLOOKUP(A74, purchases!$D$2:$F1001, 3, FALSE)</f>
        <v>45352</v>
      </c>
    </row>
    <row r="75">
      <c r="A75" s="15">
        <v>45366.0</v>
      </c>
      <c r="B75" s="16">
        <f>IFERROR(__xludf.DUMMYFUNCTION("COUNTUNIQUE(FILTER(purchases!$A$2:$A1001, purchases!$D$2:$D1001=A75))"),10.0)</f>
        <v>10</v>
      </c>
      <c r="C75" s="17">
        <f>VLOOKUP(A75, purchases!$D$2:$F1001, 3, FALSE)</f>
        <v>45352</v>
      </c>
    </row>
    <row r="76">
      <c r="A76" s="15">
        <v>45367.0</v>
      </c>
      <c r="B76" s="16">
        <f>IFERROR(__xludf.DUMMYFUNCTION("COUNTUNIQUE(FILTER(purchases!$A$2:$A1001, purchases!$D$2:$D1001=A76))"),9.0)</f>
        <v>9</v>
      </c>
      <c r="C76" s="17">
        <f>VLOOKUP(A76, purchases!$D$2:$F1001, 3, FALSE)</f>
        <v>45352</v>
      </c>
    </row>
    <row r="77">
      <c r="A77" s="15">
        <v>45368.0</v>
      </c>
      <c r="B77" s="16">
        <f>IFERROR(__xludf.DUMMYFUNCTION("COUNTUNIQUE(FILTER(purchases!$A$2:$A1001, purchases!$D$2:$D1001=A77))"),11.0)</f>
        <v>11</v>
      </c>
      <c r="C77" s="17">
        <f>VLOOKUP(A77, purchases!$D$2:$F1001, 3, FALSE)</f>
        <v>45352</v>
      </c>
    </row>
    <row r="78">
      <c r="A78" s="15">
        <v>45369.0</v>
      </c>
      <c r="B78" s="16">
        <f>IFERROR(__xludf.DUMMYFUNCTION("COUNTUNIQUE(FILTER(purchases!$A$2:$A1001, purchases!$D$2:$D1001=A78))"),11.0)</f>
        <v>11</v>
      </c>
      <c r="C78" s="17">
        <f>VLOOKUP(A78, purchases!$D$2:$F1001, 3, FALSE)</f>
        <v>45352</v>
      </c>
    </row>
    <row r="79">
      <c r="A79" s="15">
        <v>45370.0</v>
      </c>
      <c r="B79" s="16">
        <f>IFERROR(__xludf.DUMMYFUNCTION("COUNTUNIQUE(FILTER(purchases!$A$2:$A1001, purchases!$D$2:$D1001=A79))"),11.0)</f>
        <v>11</v>
      </c>
      <c r="C79" s="17">
        <f>VLOOKUP(A79, purchases!$D$2:$F1001, 3, FALSE)</f>
        <v>45352</v>
      </c>
    </row>
    <row r="80">
      <c r="A80" s="15">
        <v>45371.0</v>
      </c>
      <c r="B80" s="16">
        <f>IFERROR(__xludf.DUMMYFUNCTION("COUNTUNIQUE(FILTER(purchases!$A$2:$A1001, purchases!$D$2:$D1001=A80))"),9.0)</f>
        <v>9</v>
      </c>
      <c r="C80" s="17">
        <f>VLOOKUP(A80, purchases!$D$2:$F1001, 3, FALSE)</f>
        <v>45352</v>
      </c>
    </row>
    <row r="81">
      <c r="A81" s="15">
        <v>45372.0</v>
      </c>
      <c r="B81" s="16">
        <f>IFERROR(__xludf.DUMMYFUNCTION("COUNTUNIQUE(FILTER(purchases!$A$2:$A1001, purchases!$D$2:$D1001=A81))"),14.0)</f>
        <v>14</v>
      </c>
      <c r="C81" s="17">
        <f>VLOOKUP(A81, purchases!$D$2:$F1001, 3, FALSE)</f>
        <v>45352</v>
      </c>
    </row>
    <row r="82">
      <c r="A82" s="15">
        <v>45373.0</v>
      </c>
      <c r="B82" s="16">
        <f>IFERROR(__xludf.DUMMYFUNCTION("COUNTUNIQUE(FILTER(purchases!$A$2:$A1001, purchases!$D$2:$D1001=A82))"),14.0)</f>
        <v>14</v>
      </c>
      <c r="C82" s="17">
        <f>VLOOKUP(A82, purchases!$D$2:$F1001, 3, FALSE)</f>
        <v>45352</v>
      </c>
    </row>
    <row r="83">
      <c r="A83" s="15">
        <v>45374.0</v>
      </c>
      <c r="B83" s="16">
        <f>IFERROR(__xludf.DUMMYFUNCTION("COUNTUNIQUE(FILTER(purchases!$A$2:$A1001, purchases!$D$2:$D1001=A83))"),23.0)</f>
        <v>23</v>
      </c>
      <c r="C83" s="17">
        <f>VLOOKUP(A83, purchases!$D$2:$F1001, 3, FALSE)</f>
        <v>45352</v>
      </c>
    </row>
    <row r="84">
      <c r="A84" s="15">
        <v>45375.0</v>
      </c>
      <c r="B84" s="16">
        <f>IFERROR(__xludf.DUMMYFUNCTION("COUNTUNIQUE(FILTER(purchases!$A$2:$A1001, purchases!$D$2:$D1001=A84))"),12.0)</f>
        <v>12</v>
      </c>
      <c r="C84" s="17">
        <f>VLOOKUP(A84, purchases!$D$2:$F1001, 3, FALSE)</f>
        <v>45352</v>
      </c>
    </row>
    <row r="85">
      <c r="A85" s="15">
        <v>45376.0</v>
      </c>
      <c r="B85" s="16">
        <f>IFERROR(__xludf.DUMMYFUNCTION("COUNTUNIQUE(FILTER(purchases!$A$2:$A1001, purchases!$D$2:$D1001=A85))"),9.0)</f>
        <v>9</v>
      </c>
      <c r="C85" s="17">
        <f>VLOOKUP(A85, purchases!$D$2:$F1001, 3, FALSE)</f>
        <v>45352</v>
      </c>
    </row>
    <row r="86">
      <c r="A86" s="15">
        <v>45377.0</v>
      </c>
      <c r="B86" s="16">
        <f>IFERROR(__xludf.DUMMYFUNCTION("COUNTUNIQUE(FILTER(purchases!$A$2:$A1001, purchases!$D$2:$D1001=A86))"),15.0)</f>
        <v>15</v>
      </c>
      <c r="C86" s="17">
        <f>VLOOKUP(A86, purchases!$D$2:$F1001, 3, FALSE)</f>
        <v>45352</v>
      </c>
    </row>
    <row r="87">
      <c r="A87" s="15">
        <v>45378.0</v>
      </c>
      <c r="B87" s="16">
        <f>IFERROR(__xludf.DUMMYFUNCTION("COUNTUNIQUE(FILTER(purchases!$A$2:$A1001, purchases!$D$2:$D1001=A87))"),10.0)</f>
        <v>10</v>
      </c>
      <c r="C87" s="17">
        <f>VLOOKUP(A87, purchases!$D$2:$F1001, 3, FALSE)</f>
        <v>45352</v>
      </c>
    </row>
    <row r="88">
      <c r="A88" s="15">
        <v>45379.0</v>
      </c>
      <c r="B88" s="16">
        <f>IFERROR(__xludf.DUMMYFUNCTION("COUNTUNIQUE(FILTER(purchases!$A$2:$A1001, purchases!$D$2:$D1001=A88))"),17.0)</f>
        <v>17</v>
      </c>
      <c r="C88" s="17">
        <f>VLOOKUP(A88, purchases!$D$2:$F1001, 3, FALSE)</f>
        <v>45352</v>
      </c>
    </row>
    <row r="89">
      <c r="A89" s="15">
        <v>45380.0</v>
      </c>
      <c r="B89" s="16">
        <f>IFERROR(__xludf.DUMMYFUNCTION("COUNTUNIQUE(FILTER(purchases!$A$2:$A1001, purchases!$D$2:$D1001=A89))"),14.0)</f>
        <v>14</v>
      </c>
      <c r="C89" s="17">
        <f>VLOOKUP(A89, purchases!$D$2:$F1001, 3, FALSE)</f>
        <v>45352</v>
      </c>
    </row>
    <row r="90">
      <c r="A90" s="15">
        <v>45381.0</v>
      </c>
      <c r="B90" s="16">
        <f>IFERROR(__xludf.DUMMYFUNCTION("COUNTUNIQUE(FILTER(purchases!$A$2:$A1001, purchases!$D$2:$D1001=A90))"),10.0)</f>
        <v>10</v>
      </c>
      <c r="C90" s="17">
        <f>VLOOKUP(A90, purchases!$D$2:$F1001, 3, FALSE)</f>
        <v>45352</v>
      </c>
    </row>
    <row r="91">
      <c r="A91" s="15">
        <v>45382.0</v>
      </c>
      <c r="B91" s="16">
        <f>IFERROR(__xludf.DUMMYFUNCTION("COUNTUNIQUE(FILTER(purchases!$A$2:$A1001, purchases!$D$2:$D1001=A91))"),15.0)</f>
        <v>15</v>
      </c>
      <c r="C91" s="17">
        <f>VLOOKUP(A91, purchases!$D$2:$F1001, 3, FALSE)</f>
        <v>45352</v>
      </c>
    </row>
    <row r="92">
      <c r="A92" s="15">
        <v>45383.0</v>
      </c>
      <c r="B92" s="16">
        <f>IFERROR(__xludf.DUMMYFUNCTION("COUNTUNIQUE(FILTER(purchases!$A$2:$A1001, purchases!$D$2:$D1001=A92))"),13.0)</f>
        <v>13</v>
      </c>
      <c r="C92" s="17">
        <f>VLOOKUP(A92, purchases!$D$2:$F1001, 3, FALSE)</f>
        <v>45383</v>
      </c>
    </row>
    <row r="93">
      <c r="A93" s="15">
        <v>45384.0</v>
      </c>
      <c r="B93" s="16">
        <f>IFERROR(__xludf.DUMMYFUNCTION("COUNTUNIQUE(FILTER(purchases!$A$2:$A1001, purchases!$D$2:$D1001=A93))"),7.0)</f>
        <v>7</v>
      </c>
      <c r="C93" s="17">
        <f>VLOOKUP(A93, purchases!$D$2:$F1001, 3, FALSE)</f>
        <v>45383</v>
      </c>
    </row>
    <row r="94">
      <c r="A94" s="15">
        <v>45385.0</v>
      </c>
      <c r="B94" s="16">
        <f>IFERROR(__xludf.DUMMYFUNCTION("COUNTUNIQUE(FILTER(purchases!$A$2:$A1001, purchases!$D$2:$D1001=A94))"),10.0)</f>
        <v>10</v>
      </c>
      <c r="C94" s="17">
        <f>VLOOKUP(A94, purchases!$D$2:$F1001, 3, FALSE)</f>
        <v>45383</v>
      </c>
    </row>
    <row r="95">
      <c r="A95" s="15">
        <v>45386.0</v>
      </c>
      <c r="B95" s="16">
        <f>IFERROR(__xludf.DUMMYFUNCTION("COUNTUNIQUE(FILTER(purchases!$A$2:$A1001, purchases!$D$2:$D1001=A95))"),14.0)</f>
        <v>14</v>
      </c>
      <c r="C95" s="17">
        <f>VLOOKUP(A95, purchases!$D$2:$F1001, 3, FALSE)</f>
        <v>45383</v>
      </c>
    </row>
    <row r="96">
      <c r="A96" s="15">
        <v>45387.0</v>
      </c>
      <c r="B96" s="16">
        <f>IFERROR(__xludf.DUMMYFUNCTION("COUNTUNIQUE(FILTER(purchases!$A$2:$A1001, purchases!$D$2:$D1001=A96))"),8.0)</f>
        <v>8</v>
      </c>
      <c r="C96" s="17">
        <f>VLOOKUP(A96, purchases!$D$2:$F1001, 3, FALSE)</f>
        <v>45383</v>
      </c>
    </row>
    <row r="97">
      <c r="A97" s="15">
        <v>45388.0</v>
      </c>
      <c r="B97" s="16">
        <f>IFERROR(__xludf.DUMMYFUNCTION("COUNTUNIQUE(FILTER(purchases!$A$2:$A1001, purchases!$D$2:$D1001=A97))"),10.0)</f>
        <v>10</v>
      </c>
      <c r="C97" s="17">
        <f>VLOOKUP(A97, purchases!$D$2:$F1001, 3, FALSE)</f>
        <v>45383</v>
      </c>
    </row>
    <row r="98">
      <c r="A98" s="15">
        <v>45389.0</v>
      </c>
      <c r="B98" s="16">
        <f>IFERROR(__xludf.DUMMYFUNCTION("COUNTUNIQUE(FILTER(purchases!$A$2:$A1001, purchases!$D$2:$D1001=A98))"),9.0)</f>
        <v>9</v>
      </c>
      <c r="C98" s="17">
        <f>VLOOKUP(A98, purchases!$D$2:$F1001, 3, FALSE)</f>
        <v>45383</v>
      </c>
    </row>
    <row r="99">
      <c r="A99" s="15">
        <v>45390.0</v>
      </c>
      <c r="B99" s="16">
        <f>IFERROR(__xludf.DUMMYFUNCTION("COUNTUNIQUE(FILTER(purchases!$A$2:$A1001, purchases!$D$2:$D1001=A99))"),6.0)</f>
        <v>6</v>
      </c>
      <c r="C99" s="17">
        <f>VLOOKUP(A99, purchases!$D$2:$F1001, 3, FALSE)</f>
        <v>45383</v>
      </c>
    </row>
    <row r="100">
      <c r="A100" s="15">
        <v>45391.0</v>
      </c>
      <c r="B100" s="16">
        <f>IFERROR(__xludf.DUMMYFUNCTION("COUNTUNIQUE(FILTER(purchases!$A$2:$A1001, purchases!$D$2:$D1001=A100))"),9.0)</f>
        <v>9</v>
      </c>
      <c r="C100" s="17">
        <f>VLOOKUP(A100, purchases!$D$2:$F1001, 3, FALSE)</f>
        <v>45383</v>
      </c>
    </row>
    <row r="101">
      <c r="A101" s="15">
        <v>45392.0</v>
      </c>
      <c r="B101" s="16">
        <f>IFERROR(__xludf.DUMMYFUNCTION("COUNTUNIQUE(FILTER(purchases!$A$2:$A1001, purchases!$D$2:$D1001=A101))"),17.0)</f>
        <v>17</v>
      </c>
      <c r="C101" s="17">
        <f>VLOOKUP(A101, purchases!$D$2:$F1001, 3, FALSE)</f>
        <v>45383</v>
      </c>
    </row>
    <row r="102">
      <c r="A102" s="15">
        <v>45393.0</v>
      </c>
      <c r="B102" s="16">
        <f>IFERROR(__xludf.DUMMYFUNCTION("COUNTUNIQUE(FILTER(purchases!$A$2:$A1001, purchases!$D$2:$D1001=A102))"),8.0)</f>
        <v>8</v>
      </c>
      <c r="C102" s="17">
        <f>VLOOKUP(A102, purchases!$D$2:$F1001, 3, FALSE)</f>
        <v>45383</v>
      </c>
    </row>
    <row r="103">
      <c r="A103" s="15">
        <v>45394.0</v>
      </c>
      <c r="B103" s="16">
        <f>IFERROR(__xludf.DUMMYFUNCTION("COUNTUNIQUE(FILTER(purchases!$A$2:$A1001, purchases!$D$2:$D1001=A103))"),12.0)</f>
        <v>12</v>
      </c>
      <c r="C103" s="17">
        <f>VLOOKUP(A103, purchases!$D$2:$F1001, 3, FALSE)</f>
        <v>45383</v>
      </c>
    </row>
    <row r="104">
      <c r="A104" s="15">
        <v>45395.0</v>
      </c>
      <c r="B104" s="16">
        <f>IFERROR(__xludf.DUMMYFUNCTION("COUNTUNIQUE(FILTER(purchases!$A$2:$A1001, purchases!$D$2:$D1001=A104))"),6.0)</f>
        <v>6</v>
      </c>
      <c r="C104" s="17">
        <f>VLOOKUP(A104, purchases!$D$2:$F1001, 3, FALSE)</f>
        <v>45383</v>
      </c>
    </row>
    <row r="105">
      <c r="A105" s="15">
        <v>45396.0</v>
      </c>
      <c r="B105" s="16">
        <f>IFERROR(__xludf.DUMMYFUNCTION("COUNTUNIQUE(FILTER(purchases!$A$2:$A1001, purchases!$D$2:$D1001=A105))"),14.0)</f>
        <v>14</v>
      </c>
      <c r="C105" s="17">
        <f>VLOOKUP(A105, purchases!$D$2:$F1001, 3, FALSE)</f>
        <v>45383</v>
      </c>
    </row>
    <row r="106">
      <c r="A106" s="15">
        <v>45397.0</v>
      </c>
      <c r="B106" s="16">
        <f>IFERROR(__xludf.DUMMYFUNCTION("COUNTUNIQUE(FILTER(purchases!$A$2:$A1001, purchases!$D$2:$D1001=A106))"),9.0)</f>
        <v>9</v>
      </c>
      <c r="C106" s="17">
        <f>VLOOKUP(A106, purchases!$D$2:$F1001, 3, FALSE)</f>
        <v>45383</v>
      </c>
    </row>
    <row r="107">
      <c r="A107" s="15">
        <v>45398.0</v>
      </c>
      <c r="B107" s="16">
        <f>IFERROR(__xludf.DUMMYFUNCTION("COUNTUNIQUE(FILTER(purchases!$A$2:$A1001, purchases!$D$2:$D1001=A107))"),7.0)</f>
        <v>7</v>
      </c>
      <c r="C107" s="17">
        <f>VLOOKUP(A107, purchases!$D$2:$F1001, 3, FALSE)</f>
        <v>45383</v>
      </c>
    </row>
    <row r="108">
      <c r="A108" s="15">
        <v>45399.0</v>
      </c>
      <c r="B108" s="16">
        <f>IFERROR(__xludf.DUMMYFUNCTION("COUNTUNIQUE(FILTER(purchases!$A$2:$A1001, purchases!$D$2:$D1001=A108))"),14.0)</f>
        <v>14</v>
      </c>
      <c r="C108" s="17">
        <f>VLOOKUP(A108, purchases!$D$2:$F1001, 3, FALSE)</f>
        <v>45383</v>
      </c>
    </row>
    <row r="109">
      <c r="A109" s="15">
        <v>45400.0</v>
      </c>
      <c r="B109" s="16">
        <f>IFERROR(__xludf.DUMMYFUNCTION("COUNTUNIQUE(FILTER(purchases!$A$2:$A1001, purchases!$D$2:$D1001=A109))"),10.0)</f>
        <v>10</v>
      </c>
      <c r="C109" s="17">
        <f>VLOOKUP(A109, purchases!$D$2:$F1001, 3, FALSE)</f>
        <v>45383</v>
      </c>
    </row>
    <row r="110">
      <c r="A110" s="15">
        <v>45401.0</v>
      </c>
      <c r="B110" s="16">
        <f>IFERROR(__xludf.DUMMYFUNCTION("COUNTUNIQUE(FILTER(purchases!$A$2:$A1001, purchases!$D$2:$D1001=A110))"),10.0)</f>
        <v>10</v>
      </c>
      <c r="C110" s="17">
        <f>VLOOKUP(A110, purchases!$D$2:$F1001, 3, FALSE)</f>
        <v>45383</v>
      </c>
    </row>
    <row r="111">
      <c r="A111" s="15">
        <v>45402.0</v>
      </c>
      <c r="B111" s="16">
        <f>IFERROR(__xludf.DUMMYFUNCTION("COUNTUNIQUE(FILTER(purchases!$A$2:$A1001, purchases!$D$2:$D1001=A111))"),13.0)</f>
        <v>13</v>
      </c>
      <c r="C111" s="17">
        <f>VLOOKUP(A111, purchases!$D$2:$F1001, 3, FALSE)</f>
        <v>45383</v>
      </c>
    </row>
    <row r="112">
      <c r="A112" s="15">
        <v>45403.0</v>
      </c>
      <c r="B112" s="16">
        <f>IFERROR(__xludf.DUMMYFUNCTION("COUNTUNIQUE(FILTER(purchases!$A$2:$A1001, purchases!$D$2:$D1001=A112))"),18.0)</f>
        <v>18</v>
      </c>
      <c r="C112" s="17">
        <f>VLOOKUP(A112, purchases!$D$2:$F1001, 3, FALSE)</f>
        <v>45383</v>
      </c>
    </row>
    <row r="113">
      <c r="A113" s="15">
        <v>45404.0</v>
      </c>
      <c r="B113" s="16">
        <f>IFERROR(__xludf.DUMMYFUNCTION("COUNTUNIQUE(FILTER(purchases!$A$2:$A1001, purchases!$D$2:$D1001=A113))"),9.0)</f>
        <v>9</v>
      </c>
      <c r="C113" s="17">
        <f>VLOOKUP(A113, purchases!$D$2:$F1001, 3, FALSE)</f>
        <v>45383</v>
      </c>
    </row>
    <row r="114">
      <c r="A114" s="15">
        <v>45405.0</v>
      </c>
      <c r="B114" s="16">
        <f>IFERROR(__xludf.DUMMYFUNCTION("COUNTUNIQUE(FILTER(purchases!$A$2:$A1001, purchases!$D$2:$D1001=A114))"),16.0)</f>
        <v>16</v>
      </c>
      <c r="C114" s="17">
        <f>VLOOKUP(A114, purchases!$D$2:$F1001, 3, FALSE)</f>
        <v>45383</v>
      </c>
    </row>
    <row r="115">
      <c r="A115" s="15">
        <v>45406.0</v>
      </c>
      <c r="B115" s="16">
        <f>IFERROR(__xludf.DUMMYFUNCTION("COUNTUNIQUE(FILTER(purchases!$A$2:$A1001, purchases!$D$2:$D1001=A115))"),13.0)</f>
        <v>13</v>
      </c>
      <c r="C115" s="17">
        <f>VLOOKUP(A115, purchases!$D$2:$F1001, 3, FALSE)</f>
        <v>45383</v>
      </c>
    </row>
    <row r="116">
      <c r="A116" s="15">
        <v>45407.0</v>
      </c>
      <c r="B116" s="16">
        <f>IFERROR(__xludf.DUMMYFUNCTION("COUNTUNIQUE(FILTER(purchases!$A$2:$A1001, purchases!$D$2:$D1001=A116))"),12.0)</f>
        <v>12</v>
      </c>
      <c r="C116" s="17">
        <f>VLOOKUP(A116, purchases!$D$2:$F1001, 3, FALSE)</f>
        <v>45383</v>
      </c>
    </row>
    <row r="117">
      <c r="A117" s="15">
        <v>45408.0</v>
      </c>
      <c r="B117" s="16">
        <f>IFERROR(__xludf.DUMMYFUNCTION("COUNTUNIQUE(FILTER(purchases!$A$2:$A1001, purchases!$D$2:$D1001=A117))"),8.0)</f>
        <v>8</v>
      </c>
      <c r="C117" s="17">
        <f>VLOOKUP(A117, purchases!$D$2:$F1001, 3, FALSE)</f>
        <v>45383</v>
      </c>
    </row>
    <row r="118">
      <c r="A118" s="15">
        <v>45409.0</v>
      </c>
      <c r="B118" s="16">
        <f>IFERROR(__xludf.DUMMYFUNCTION("COUNTUNIQUE(FILTER(purchases!$A$2:$A1001, purchases!$D$2:$D1001=A118))"),7.0)</f>
        <v>7</v>
      </c>
      <c r="C118" s="17">
        <f>VLOOKUP(A118, purchases!$D$2:$F1001, 3, FALSE)</f>
        <v>45383</v>
      </c>
    </row>
    <row r="119">
      <c r="A119" s="15">
        <v>45410.0</v>
      </c>
      <c r="B119" s="16">
        <f>IFERROR(__xludf.DUMMYFUNCTION("COUNTUNIQUE(FILTER(purchases!$A$2:$A1001, purchases!$D$2:$D1001=A119))"),9.0)</f>
        <v>9</v>
      </c>
      <c r="C119" s="17">
        <f>VLOOKUP(A119, purchases!$D$2:$F1001, 3, FALSE)</f>
        <v>45383</v>
      </c>
    </row>
    <row r="120">
      <c r="A120" s="15">
        <v>45411.0</v>
      </c>
      <c r="B120" s="16">
        <f>IFERROR(__xludf.DUMMYFUNCTION("COUNTUNIQUE(FILTER(purchases!$A$2:$A1001, purchases!$D$2:$D1001=A120))"),6.0)</f>
        <v>6</v>
      </c>
      <c r="C120" s="17">
        <f>VLOOKUP(A120, purchases!$D$2:$F1001, 3, FALSE)</f>
        <v>45383</v>
      </c>
    </row>
    <row r="121">
      <c r="A121" s="15">
        <v>45412.0</v>
      </c>
      <c r="B121" s="16">
        <f>IFERROR(__xludf.DUMMYFUNCTION("COUNTUNIQUE(FILTER(purchases!$A$2:$A1001, purchases!$D$2:$D1001=A121))"),14.0)</f>
        <v>14</v>
      </c>
      <c r="C121" s="17">
        <f>VLOOKUP(A121, purchases!$D$2:$F1001, 3, FALSE)</f>
        <v>45383</v>
      </c>
    </row>
    <row r="122">
      <c r="A122" s="15">
        <v>45413.0</v>
      </c>
      <c r="B122" s="16">
        <f>IFERROR(__xludf.DUMMYFUNCTION("COUNTUNIQUE(FILTER(purchases!$A$2:$A1001, purchases!$D$2:$D1001=A122))"),9.0)</f>
        <v>9</v>
      </c>
      <c r="C122" s="17">
        <f>VLOOKUP(A122, purchases!$D$2:$F1001, 3, FALSE)</f>
        <v>45413</v>
      </c>
    </row>
    <row r="123">
      <c r="A123" s="15">
        <v>45414.0</v>
      </c>
      <c r="B123" s="16">
        <f>IFERROR(__xludf.DUMMYFUNCTION("COUNTUNIQUE(FILTER(purchases!$A$2:$A1001, purchases!$D$2:$D1001=A123))"),9.0)</f>
        <v>9</v>
      </c>
      <c r="C123" s="17">
        <f>VLOOKUP(A123, purchases!$D$2:$F1001, 3, FALSE)</f>
        <v>45413</v>
      </c>
    </row>
    <row r="124">
      <c r="A124" s="15">
        <v>45415.0</v>
      </c>
      <c r="B124" s="16">
        <f>IFERROR(__xludf.DUMMYFUNCTION("COUNTUNIQUE(FILTER(purchases!$A$2:$A1001, purchases!$D$2:$D1001=A124))"),8.0)</f>
        <v>8</v>
      </c>
      <c r="C124" s="17">
        <f>VLOOKUP(A124, purchases!$D$2:$F1001, 3, FALSE)</f>
        <v>45413</v>
      </c>
    </row>
    <row r="125">
      <c r="A125" s="15">
        <v>45416.0</v>
      </c>
      <c r="B125" s="16">
        <f>IFERROR(__xludf.DUMMYFUNCTION("COUNTUNIQUE(FILTER(purchases!$A$2:$A1001, purchases!$D$2:$D1001=A125))"),9.0)</f>
        <v>9</v>
      </c>
      <c r="C125" s="17">
        <f>VLOOKUP(A125, purchases!$D$2:$F1001, 3, FALSE)</f>
        <v>45413</v>
      </c>
    </row>
    <row r="126">
      <c r="A126" s="15">
        <v>45417.0</v>
      </c>
      <c r="B126" s="16">
        <f>IFERROR(__xludf.DUMMYFUNCTION("COUNTUNIQUE(FILTER(purchases!$A$2:$A1001, purchases!$D$2:$D1001=A126))"),13.0)</f>
        <v>13</v>
      </c>
      <c r="C126" s="17">
        <f>VLOOKUP(A126, purchases!$D$2:$F1001, 3, FALSE)</f>
        <v>45413</v>
      </c>
    </row>
    <row r="127">
      <c r="A127" s="15">
        <v>45418.0</v>
      </c>
      <c r="B127" s="16">
        <f>IFERROR(__xludf.DUMMYFUNCTION("COUNTUNIQUE(FILTER(purchases!$A$2:$A1001, purchases!$D$2:$D1001=A127))"),10.0)</f>
        <v>10</v>
      </c>
      <c r="C127" s="17">
        <f>VLOOKUP(A127, purchases!$D$2:$F1001, 3, FALSE)</f>
        <v>45413</v>
      </c>
    </row>
    <row r="128">
      <c r="A128" s="15">
        <v>45419.0</v>
      </c>
      <c r="B128" s="16">
        <f>IFERROR(__xludf.DUMMYFUNCTION("COUNTUNIQUE(FILTER(purchases!$A$2:$A1001, purchases!$D$2:$D1001=A128))"),9.0)</f>
        <v>9</v>
      </c>
      <c r="C128" s="17">
        <f>VLOOKUP(A128, purchases!$D$2:$F1001, 3, FALSE)</f>
        <v>45413</v>
      </c>
    </row>
    <row r="129">
      <c r="A129" s="15">
        <v>45420.0</v>
      </c>
      <c r="B129" s="16">
        <f>IFERROR(__xludf.DUMMYFUNCTION("COUNTUNIQUE(FILTER(purchases!$A$2:$A1001, purchases!$D$2:$D1001=A129))"),13.0)</f>
        <v>13</v>
      </c>
      <c r="C129" s="17">
        <f>VLOOKUP(A129, purchases!$D$2:$F1001, 3, FALSE)</f>
        <v>45413</v>
      </c>
    </row>
    <row r="130">
      <c r="A130" s="15">
        <v>45421.0</v>
      </c>
      <c r="B130" s="16">
        <f>IFERROR(__xludf.DUMMYFUNCTION("COUNTUNIQUE(FILTER(purchases!$A$2:$A1001, purchases!$D$2:$D1001=A130))"),15.0)</f>
        <v>15</v>
      </c>
      <c r="C130" s="17">
        <f>VLOOKUP(A130, purchases!$D$2:$F1001, 3, FALSE)</f>
        <v>45413</v>
      </c>
    </row>
    <row r="131">
      <c r="A131" s="15">
        <v>45422.0</v>
      </c>
      <c r="B131" s="16">
        <f>IFERROR(__xludf.DUMMYFUNCTION("COUNTUNIQUE(FILTER(purchases!$A$2:$A1001, purchases!$D$2:$D1001=A131))"),8.0)</f>
        <v>8</v>
      </c>
      <c r="C131" s="17">
        <f>VLOOKUP(A131, purchases!$D$2:$F1001, 3, FALSE)</f>
        <v>45413</v>
      </c>
    </row>
    <row r="132">
      <c r="A132" s="15">
        <v>45423.0</v>
      </c>
      <c r="B132" s="16">
        <f>IFERROR(__xludf.DUMMYFUNCTION("COUNTUNIQUE(FILTER(purchases!$A$2:$A1001, purchases!$D$2:$D1001=A132))"),6.0)</f>
        <v>6</v>
      </c>
      <c r="C132" s="17">
        <f>VLOOKUP(A132, purchases!$D$2:$F1001, 3, FALSE)</f>
        <v>45413</v>
      </c>
    </row>
    <row r="133">
      <c r="A133" s="15">
        <v>45424.0</v>
      </c>
      <c r="B133" s="16">
        <f>IFERROR(__xludf.DUMMYFUNCTION("COUNTUNIQUE(FILTER(purchases!$A$2:$A1001, purchases!$D$2:$D1001=A133))"),8.0)</f>
        <v>8</v>
      </c>
      <c r="C133" s="17">
        <f>VLOOKUP(A133, purchases!$D$2:$F1001, 3, FALSE)</f>
        <v>45413</v>
      </c>
    </row>
    <row r="134">
      <c r="A134" s="15">
        <v>45425.0</v>
      </c>
      <c r="B134" s="16">
        <f>IFERROR(__xludf.DUMMYFUNCTION("COUNTUNIQUE(FILTER(purchases!$A$2:$A1001, purchases!$D$2:$D1001=A134))"),17.0)</f>
        <v>17</v>
      </c>
      <c r="C134" s="17">
        <f>VLOOKUP(A134, purchases!$D$2:$F1001, 3, FALSE)</f>
        <v>45413</v>
      </c>
    </row>
    <row r="135">
      <c r="A135" s="15">
        <v>45426.0</v>
      </c>
      <c r="B135" s="16">
        <f>IFERROR(__xludf.DUMMYFUNCTION("COUNTUNIQUE(FILTER(purchases!$A$2:$A1001, purchases!$D$2:$D1001=A135))"),13.0)</f>
        <v>13</v>
      </c>
      <c r="C135" s="17">
        <f>VLOOKUP(A135, purchases!$D$2:$F1001, 3, FALSE)</f>
        <v>45413</v>
      </c>
    </row>
    <row r="136">
      <c r="A136" s="15">
        <v>45427.0</v>
      </c>
      <c r="B136" s="16">
        <f>IFERROR(__xludf.DUMMYFUNCTION("COUNTUNIQUE(FILTER(purchases!$A$2:$A1001, purchases!$D$2:$D1001=A136))"),7.0)</f>
        <v>7</v>
      </c>
      <c r="C136" s="17">
        <f>VLOOKUP(A136, purchases!$D$2:$F1001, 3, FALSE)</f>
        <v>45413</v>
      </c>
    </row>
    <row r="137">
      <c r="A137" s="15">
        <v>45428.0</v>
      </c>
      <c r="B137" s="16">
        <f>IFERROR(__xludf.DUMMYFUNCTION("COUNTUNIQUE(FILTER(purchases!$A$2:$A1001, purchases!$D$2:$D1001=A137))"),8.0)</f>
        <v>8</v>
      </c>
      <c r="C137" s="17">
        <f>VLOOKUP(A137, purchases!$D$2:$F1001, 3, FALSE)</f>
        <v>45413</v>
      </c>
    </row>
    <row r="138">
      <c r="A138" s="15">
        <v>45429.0</v>
      </c>
      <c r="B138" s="16">
        <f>IFERROR(__xludf.DUMMYFUNCTION("COUNTUNIQUE(FILTER(purchases!$A$2:$A1001, purchases!$D$2:$D1001=A138))"),6.0)</f>
        <v>6</v>
      </c>
      <c r="C138" s="17">
        <f>VLOOKUP(A138, purchases!$D$2:$F1001, 3, FALSE)</f>
        <v>45413</v>
      </c>
    </row>
    <row r="139">
      <c r="A139" s="15">
        <v>45430.0</v>
      </c>
      <c r="B139" s="16">
        <f>IFERROR(__xludf.DUMMYFUNCTION("COUNTUNIQUE(FILTER(purchases!$A$2:$A1001, purchases!$D$2:$D1001=A139))"),10.0)</f>
        <v>10</v>
      </c>
      <c r="C139" s="17">
        <f>VLOOKUP(A139, purchases!$D$2:$F1001, 3, FALSE)</f>
        <v>45413</v>
      </c>
    </row>
    <row r="140">
      <c r="A140" s="15">
        <v>45431.0</v>
      </c>
      <c r="B140" s="16">
        <f>IFERROR(__xludf.DUMMYFUNCTION("COUNTUNIQUE(FILTER(purchases!$A$2:$A1001, purchases!$D$2:$D1001=A140))"),13.0)</f>
        <v>13</v>
      </c>
      <c r="C140" s="17">
        <f>VLOOKUP(A140, purchases!$D$2:$F1001, 3, FALSE)</f>
        <v>45413</v>
      </c>
    </row>
    <row r="141">
      <c r="A141" s="15">
        <v>45432.0</v>
      </c>
      <c r="B141" s="16">
        <f>IFERROR(__xludf.DUMMYFUNCTION("COUNTUNIQUE(FILTER(purchases!$A$2:$A1001, purchases!$D$2:$D1001=A141))"),11.0)</f>
        <v>11</v>
      </c>
      <c r="C141" s="17">
        <f>VLOOKUP(A141, purchases!$D$2:$F1001, 3, FALSE)</f>
        <v>45413</v>
      </c>
    </row>
    <row r="142">
      <c r="A142" s="15">
        <v>45433.0</v>
      </c>
      <c r="B142" s="16">
        <f>IFERROR(__xludf.DUMMYFUNCTION("COUNTUNIQUE(FILTER(purchases!$A$2:$A1001, purchases!$D$2:$D1001=A142))"),8.0)</f>
        <v>8</v>
      </c>
      <c r="C142" s="17">
        <f>VLOOKUP(A142, purchases!$D$2:$F1001, 3, FALSE)</f>
        <v>45413</v>
      </c>
    </row>
    <row r="143">
      <c r="A143" s="15">
        <v>45434.0</v>
      </c>
      <c r="B143" s="16">
        <f>IFERROR(__xludf.DUMMYFUNCTION("COUNTUNIQUE(FILTER(purchases!$A$2:$A1001, purchases!$D$2:$D1001=A143))"),5.0)</f>
        <v>5</v>
      </c>
      <c r="C143" s="17">
        <f>VLOOKUP(A143, purchases!$D$2:$F1001, 3, FALSE)</f>
        <v>45413</v>
      </c>
    </row>
    <row r="144">
      <c r="A144" s="15">
        <v>45435.0</v>
      </c>
      <c r="B144" s="16">
        <f>IFERROR(__xludf.DUMMYFUNCTION("COUNTUNIQUE(FILTER(purchases!$A$2:$A1001, purchases!$D$2:$D1001=A144))"),14.0)</f>
        <v>14</v>
      </c>
      <c r="C144" s="17">
        <f>VLOOKUP(A144, purchases!$D$2:$F1001, 3, FALSE)</f>
        <v>45413</v>
      </c>
    </row>
    <row r="145">
      <c r="A145" s="15">
        <v>45436.0</v>
      </c>
      <c r="B145" s="16">
        <f>IFERROR(__xludf.DUMMYFUNCTION("COUNTUNIQUE(FILTER(purchases!$A$2:$A1001, purchases!$D$2:$D1001=A145))"),11.0)</f>
        <v>11</v>
      </c>
      <c r="C145" s="17">
        <f>VLOOKUP(A145, purchases!$D$2:$F1001, 3, FALSE)</f>
        <v>45413</v>
      </c>
    </row>
    <row r="146">
      <c r="A146" s="15">
        <v>45437.0</v>
      </c>
      <c r="B146" s="16">
        <f>IFERROR(__xludf.DUMMYFUNCTION("COUNTUNIQUE(FILTER(purchases!$A$2:$A1001, purchases!$D$2:$D1001=A146))"),16.0)</f>
        <v>16</v>
      </c>
      <c r="C146" s="17">
        <f>VLOOKUP(A146, purchases!$D$2:$F1001, 3, FALSE)</f>
        <v>45413</v>
      </c>
    </row>
    <row r="147">
      <c r="A147" s="15">
        <v>45438.0</v>
      </c>
      <c r="B147" s="16">
        <f>IFERROR(__xludf.DUMMYFUNCTION("COUNTUNIQUE(FILTER(purchases!$A$2:$A1001, purchases!$D$2:$D1001=A147))"),11.0)</f>
        <v>11</v>
      </c>
      <c r="C147" s="17">
        <f>VLOOKUP(A147, purchases!$D$2:$F1001, 3, FALSE)</f>
        <v>45413</v>
      </c>
    </row>
    <row r="148">
      <c r="A148" s="15">
        <v>45439.0</v>
      </c>
      <c r="B148" s="16">
        <f>IFERROR(__xludf.DUMMYFUNCTION("COUNTUNIQUE(FILTER(purchases!$A$2:$A1001, purchases!$D$2:$D1001=A148))"),8.0)</f>
        <v>8</v>
      </c>
      <c r="C148" s="17">
        <f>VLOOKUP(A148, purchases!$D$2:$F1001, 3, FALSE)</f>
        <v>45413</v>
      </c>
    </row>
    <row r="149">
      <c r="A149" s="15">
        <v>45440.0</v>
      </c>
      <c r="B149" s="16">
        <f>IFERROR(__xludf.DUMMYFUNCTION("COUNTUNIQUE(FILTER(purchases!$A$2:$A1001, purchases!$D$2:$D1001=A149))"),9.0)</f>
        <v>9</v>
      </c>
      <c r="C149" s="17">
        <f>VLOOKUP(A149, purchases!$D$2:$F1001, 3, FALSE)</f>
        <v>45413</v>
      </c>
    </row>
    <row r="150">
      <c r="A150" s="15">
        <v>45441.0</v>
      </c>
      <c r="B150" s="16">
        <f>IFERROR(__xludf.DUMMYFUNCTION("COUNTUNIQUE(FILTER(purchases!$A$2:$A1001, purchases!$D$2:$D1001=A150))"),15.0)</f>
        <v>15</v>
      </c>
      <c r="C150" s="17">
        <f>VLOOKUP(A150, purchases!$D$2:$F1001, 3, FALSE)</f>
        <v>45413</v>
      </c>
    </row>
    <row r="151">
      <c r="A151" s="15">
        <v>45442.0</v>
      </c>
      <c r="B151" s="16">
        <f>IFERROR(__xludf.DUMMYFUNCTION("COUNTUNIQUE(FILTER(purchases!$A$2:$A1001, purchases!$D$2:$D1001=A151))"),7.0)</f>
        <v>7</v>
      </c>
      <c r="C151" s="17">
        <f>VLOOKUP(A151, purchases!$D$2:$F1001, 3, FALSE)</f>
        <v>45413</v>
      </c>
    </row>
    <row r="152">
      <c r="A152" s="15">
        <v>45443.0</v>
      </c>
      <c r="B152" s="16">
        <f>IFERROR(__xludf.DUMMYFUNCTION("COUNTUNIQUE(FILTER(purchases!$A$2:$A1001, purchases!$D$2:$D1001=A152))"),10.0)</f>
        <v>10</v>
      </c>
      <c r="C152" s="17">
        <f>VLOOKUP(A152, purchases!$D$2:$F1001, 3, FALSE)</f>
        <v>45413</v>
      </c>
    </row>
    <row r="153">
      <c r="A153" s="15">
        <v>45444.0</v>
      </c>
      <c r="B153" s="16">
        <f>IFERROR(__xludf.DUMMYFUNCTION("COUNTUNIQUE(FILTER(purchases!$A$2:$A1001, purchases!$D$2:$D1001=A153))"),13.0)</f>
        <v>13</v>
      </c>
      <c r="C153" s="17">
        <f>VLOOKUP(A153, purchases!$D$2:$F1001, 3, FALSE)</f>
        <v>45444</v>
      </c>
    </row>
    <row r="154">
      <c r="A154" s="15">
        <v>45445.0</v>
      </c>
      <c r="B154" s="16">
        <f>IFERROR(__xludf.DUMMYFUNCTION("COUNTUNIQUE(FILTER(purchases!$A$2:$A1001, purchases!$D$2:$D1001=A154))"),8.0)</f>
        <v>8</v>
      </c>
      <c r="C154" s="17">
        <f>VLOOKUP(A154, purchases!$D$2:$F1001, 3, FALSE)</f>
        <v>45444</v>
      </c>
    </row>
    <row r="155">
      <c r="A155" s="15">
        <v>45446.0</v>
      </c>
      <c r="B155" s="16">
        <f>IFERROR(__xludf.DUMMYFUNCTION("COUNTUNIQUE(FILTER(purchases!$A$2:$A1001, purchases!$D$2:$D1001=A155))"),8.0)</f>
        <v>8</v>
      </c>
      <c r="C155" s="17">
        <f>VLOOKUP(A155, purchases!$D$2:$F1001, 3, FALSE)</f>
        <v>45444</v>
      </c>
    </row>
    <row r="156">
      <c r="A156" s="15">
        <v>45447.0</v>
      </c>
      <c r="B156" s="16">
        <f>IFERROR(__xludf.DUMMYFUNCTION("COUNTUNIQUE(FILTER(purchases!$A$2:$A1001, purchases!$D$2:$D1001=A156))"),18.0)</f>
        <v>18</v>
      </c>
      <c r="C156" s="17">
        <f>VLOOKUP(A156, purchases!$D$2:$F1001, 3, FALSE)</f>
        <v>45444</v>
      </c>
    </row>
    <row r="157">
      <c r="A157" s="15">
        <v>45448.0</v>
      </c>
      <c r="B157" s="16">
        <f>IFERROR(__xludf.DUMMYFUNCTION("COUNTUNIQUE(FILTER(purchases!$A$2:$A1001, purchases!$D$2:$D1001=A157))"),12.0)</f>
        <v>12</v>
      </c>
      <c r="C157" s="17">
        <f>VLOOKUP(A157, purchases!$D$2:$F1001, 3, FALSE)</f>
        <v>45444</v>
      </c>
    </row>
    <row r="158">
      <c r="A158" s="15">
        <v>45449.0</v>
      </c>
      <c r="B158" s="16">
        <f>IFERROR(__xludf.DUMMYFUNCTION("COUNTUNIQUE(FILTER(purchases!$A$2:$A1001, purchases!$D$2:$D1001=A158))"),8.0)</f>
        <v>8</v>
      </c>
      <c r="C158" s="17">
        <f>VLOOKUP(A158, purchases!$D$2:$F1001, 3, FALSE)</f>
        <v>45444</v>
      </c>
    </row>
    <row r="159">
      <c r="A159" s="15">
        <v>45450.0</v>
      </c>
      <c r="B159" s="16">
        <f>IFERROR(__xludf.DUMMYFUNCTION("COUNTUNIQUE(FILTER(purchases!$A$2:$A1001, purchases!$D$2:$D1001=A159))"),7.0)</f>
        <v>7</v>
      </c>
      <c r="C159" s="17">
        <f>VLOOKUP(A159, purchases!$D$2:$F1001, 3, FALSE)</f>
        <v>45444</v>
      </c>
    </row>
    <row r="160">
      <c r="A160" s="15">
        <v>45451.0</v>
      </c>
      <c r="B160" s="16">
        <f>IFERROR(__xludf.DUMMYFUNCTION("COUNTUNIQUE(FILTER(purchases!$A$2:$A1001, purchases!$D$2:$D1001=A160))"),11.0)</f>
        <v>11</v>
      </c>
      <c r="C160" s="17">
        <f>VLOOKUP(A160, purchases!$D$2:$F1001, 3, FALSE)</f>
        <v>45444</v>
      </c>
    </row>
    <row r="161">
      <c r="A161" s="15">
        <v>45452.0</v>
      </c>
      <c r="B161" s="16">
        <f>IFERROR(__xludf.DUMMYFUNCTION("COUNTUNIQUE(FILTER(purchases!$A$2:$A1001, purchases!$D$2:$D1001=A161))"),7.0)</f>
        <v>7</v>
      </c>
      <c r="C161" s="17">
        <f>VLOOKUP(A161, purchases!$D$2:$F1001, 3, FALSE)</f>
        <v>45444</v>
      </c>
    </row>
    <row r="162">
      <c r="A162" s="15">
        <v>45453.0</v>
      </c>
      <c r="B162" s="16">
        <f>IFERROR(__xludf.DUMMYFUNCTION("COUNTUNIQUE(FILTER(purchases!$A$2:$A1001, purchases!$D$2:$D1001=A162))"),10.0)</f>
        <v>10</v>
      </c>
      <c r="C162" s="17">
        <f>VLOOKUP(A162, purchases!$D$2:$F1001, 3, FALSE)</f>
        <v>45444</v>
      </c>
    </row>
    <row r="163">
      <c r="A163" s="15">
        <v>45454.0</v>
      </c>
      <c r="B163" s="16">
        <f>IFERROR(__xludf.DUMMYFUNCTION("COUNTUNIQUE(FILTER(purchases!$A$2:$A1001, purchases!$D$2:$D1001=A163))"),12.0)</f>
        <v>12</v>
      </c>
      <c r="C163" s="17">
        <f>VLOOKUP(A163, purchases!$D$2:$F1001, 3, FALSE)</f>
        <v>45444</v>
      </c>
    </row>
    <row r="164">
      <c r="A164" s="15">
        <v>45455.0</v>
      </c>
      <c r="B164" s="16">
        <f>IFERROR(__xludf.DUMMYFUNCTION("COUNTUNIQUE(FILTER(purchases!$A$2:$A1001, purchases!$D$2:$D1001=A164))"),12.0)</f>
        <v>12</v>
      </c>
      <c r="C164" s="17">
        <f>VLOOKUP(A164, purchases!$D$2:$F1001, 3, FALSE)</f>
        <v>45444</v>
      </c>
    </row>
    <row r="165">
      <c r="A165" s="15">
        <v>45456.0</v>
      </c>
      <c r="B165" s="16">
        <f>IFERROR(__xludf.DUMMYFUNCTION("COUNTUNIQUE(FILTER(purchases!$A$2:$A1001, purchases!$D$2:$D1001=A165))"),7.0)</f>
        <v>7</v>
      </c>
      <c r="C165" s="17">
        <f>VLOOKUP(A165, purchases!$D$2:$F1001, 3, FALSE)</f>
        <v>45444</v>
      </c>
    </row>
    <row r="166">
      <c r="A166" s="15">
        <v>45457.0</v>
      </c>
      <c r="B166" s="16">
        <f>IFERROR(__xludf.DUMMYFUNCTION("COUNTUNIQUE(FILTER(purchases!$A$2:$A1001, purchases!$D$2:$D1001=A166))"),14.0)</f>
        <v>14</v>
      </c>
      <c r="C166" s="17">
        <f>VLOOKUP(A166, purchases!$D$2:$F1001, 3, FALSE)</f>
        <v>45444</v>
      </c>
    </row>
    <row r="167">
      <c r="A167" s="15">
        <v>45458.0</v>
      </c>
      <c r="B167" s="16">
        <f>IFERROR(__xludf.DUMMYFUNCTION("COUNTUNIQUE(FILTER(purchases!$A$2:$A1001, purchases!$D$2:$D1001=A167))"),9.0)</f>
        <v>9</v>
      </c>
      <c r="C167" s="17">
        <f>VLOOKUP(A167, purchases!$D$2:$F1001, 3, FALSE)</f>
        <v>45444</v>
      </c>
    </row>
    <row r="168">
      <c r="A168" s="15">
        <v>45459.0</v>
      </c>
      <c r="B168" s="16">
        <f>IFERROR(__xludf.DUMMYFUNCTION("COUNTUNIQUE(FILTER(purchases!$A$2:$A1001, purchases!$D$2:$D1001=A168))"),15.0)</f>
        <v>15</v>
      </c>
      <c r="C168" s="17">
        <f>VLOOKUP(A168, purchases!$D$2:$F1001, 3, FALSE)</f>
        <v>45444</v>
      </c>
    </row>
    <row r="169">
      <c r="A169" s="15">
        <v>45460.0</v>
      </c>
      <c r="B169" s="16">
        <f>IFERROR(__xludf.DUMMYFUNCTION("COUNTUNIQUE(FILTER(purchases!$A$2:$A1001, purchases!$D$2:$D1001=A169))"),13.0)</f>
        <v>13</v>
      </c>
      <c r="C169" s="17">
        <f>VLOOKUP(A169, purchases!$D$2:$F1001, 3, FALSE)</f>
        <v>45444</v>
      </c>
    </row>
    <row r="170">
      <c r="A170" s="15">
        <v>45461.0</v>
      </c>
      <c r="B170" s="16">
        <f>IFERROR(__xludf.DUMMYFUNCTION("COUNTUNIQUE(FILTER(purchases!$A$2:$A1001, purchases!$D$2:$D1001=A170))"),7.0)</f>
        <v>7</v>
      </c>
      <c r="C170" s="17">
        <f>VLOOKUP(A170, purchases!$D$2:$F1001, 3, FALSE)</f>
        <v>45444</v>
      </c>
    </row>
    <row r="171">
      <c r="A171" s="15">
        <v>45462.0</v>
      </c>
      <c r="B171" s="16">
        <f>IFERROR(__xludf.DUMMYFUNCTION("COUNTUNIQUE(FILTER(purchases!$A$2:$A1001, purchases!$D$2:$D1001=A171))"),8.0)</f>
        <v>8</v>
      </c>
      <c r="C171" s="17">
        <f>VLOOKUP(A171, purchases!$D$2:$F1001, 3, FALSE)</f>
        <v>45444</v>
      </c>
    </row>
    <row r="172">
      <c r="A172" s="15">
        <v>45463.0</v>
      </c>
      <c r="B172" s="16">
        <f>IFERROR(__xludf.DUMMYFUNCTION("COUNTUNIQUE(FILTER(purchases!$A$2:$A1001, purchases!$D$2:$D1001=A172))"),9.0)</f>
        <v>9</v>
      </c>
      <c r="C172" s="17">
        <f>VLOOKUP(A172, purchases!$D$2:$F1001, 3, FALSE)</f>
        <v>45444</v>
      </c>
    </row>
    <row r="173">
      <c r="A173" s="15">
        <v>45464.0</v>
      </c>
      <c r="B173" s="16">
        <f>IFERROR(__xludf.DUMMYFUNCTION("COUNTUNIQUE(FILTER(purchases!$A$2:$A1001, purchases!$D$2:$D1001=A173))"),8.0)</f>
        <v>8</v>
      </c>
      <c r="C173" s="17">
        <f>VLOOKUP(A173, purchases!$D$2:$F1001, 3, FALSE)</f>
        <v>45444</v>
      </c>
    </row>
    <row r="174">
      <c r="A174" s="15">
        <v>45465.0</v>
      </c>
      <c r="B174" s="16">
        <f>IFERROR(__xludf.DUMMYFUNCTION("COUNTUNIQUE(FILTER(purchases!$A$2:$A1001, purchases!$D$2:$D1001=A174))"),9.0)</f>
        <v>9</v>
      </c>
      <c r="C174" s="17">
        <f>VLOOKUP(A174, purchases!$D$2:$F1001, 3, FALSE)</f>
        <v>45444</v>
      </c>
    </row>
    <row r="175">
      <c r="A175" s="15">
        <v>45466.0</v>
      </c>
      <c r="B175" s="16">
        <f>IFERROR(__xludf.DUMMYFUNCTION("COUNTUNIQUE(FILTER(purchases!$A$2:$A1001, purchases!$D$2:$D1001=A175))"),9.0)</f>
        <v>9</v>
      </c>
      <c r="C175" s="17">
        <f>VLOOKUP(A175, purchases!$D$2:$F1001, 3, FALSE)</f>
        <v>45444</v>
      </c>
    </row>
    <row r="176">
      <c r="A176" s="15">
        <v>45467.0</v>
      </c>
      <c r="B176" s="16">
        <f>IFERROR(__xludf.DUMMYFUNCTION("COUNTUNIQUE(FILTER(purchases!$A$2:$A1001, purchases!$D$2:$D1001=A176))"),9.0)</f>
        <v>9</v>
      </c>
      <c r="C176" s="17">
        <f>VLOOKUP(A176, purchases!$D$2:$F1001, 3, FALSE)</f>
        <v>45444</v>
      </c>
    </row>
    <row r="177">
      <c r="A177" s="15">
        <v>45468.0</v>
      </c>
      <c r="B177" s="16">
        <f>IFERROR(__xludf.DUMMYFUNCTION("COUNTUNIQUE(FILTER(purchases!$A$2:$A1001, purchases!$D$2:$D1001=A177))"),17.0)</f>
        <v>17</v>
      </c>
      <c r="C177" s="17">
        <f>VLOOKUP(A177, purchases!$D$2:$F1001, 3, FALSE)</f>
        <v>45444</v>
      </c>
    </row>
    <row r="178">
      <c r="A178" s="15">
        <v>45469.0</v>
      </c>
      <c r="B178" s="16">
        <f>IFERROR(__xludf.DUMMYFUNCTION("COUNTUNIQUE(FILTER(purchases!$A$2:$A1001, purchases!$D$2:$D1001=A178))"),8.0)</f>
        <v>8</v>
      </c>
      <c r="C178" s="17">
        <f>VLOOKUP(A178, purchases!$D$2:$F1001, 3, FALSE)</f>
        <v>45444</v>
      </c>
    </row>
    <row r="179">
      <c r="A179" s="15">
        <v>45470.0</v>
      </c>
      <c r="B179" s="16">
        <f>IFERROR(__xludf.DUMMYFUNCTION("COUNTUNIQUE(FILTER(purchases!$A$2:$A1001, purchases!$D$2:$D1001=A179))"),8.0)</f>
        <v>8</v>
      </c>
      <c r="C179" s="17">
        <f>VLOOKUP(A179, purchases!$D$2:$F1001, 3, FALSE)</f>
        <v>45444</v>
      </c>
    </row>
    <row r="180">
      <c r="A180" s="15">
        <v>45471.0</v>
      </c>
      <c r="B180" s="16">
        <f>IFERROR(__xludf.DUMMYFUNCTION("COUNTUNIQUE(FILTER(purchases!$A$2:$A1001, purchases!$D$2:$D1001=A180))"),11.0)</f>
        <v>11</v>
      </c>
      <c r="C180" s="17">
        <f>VLOOKUP(A180, purchases!$D$2:$F1001, 3, FALSE)</f>
        <v>45444</v>
      </c>
    </row>
    <row r="181">
      <c r="A181" s="15">
        <v>45472.0</v>
      </c>
      <c r="B181" s="16">
        <f>IFERROR(__xludf.DUMMYFUNCTION("COUNTUNIQUE(FILTER(purchases!$A$2:$A1001, purchases!$D$2:$D1001=A181))"),12.0)</f>
        <v>12</v>
      </c>
      <c r="C181" s="17">
        <f>VLOOKUP(A181, purchases!$D$2:$F1001, 3, FALSE)</f>
        <v>45444</v>
      </c>
    </row>
    <row r="182">
      <c r="A182" s="15">
        <v>45473.0</v>
      </c>
      <c r="B182" s="16">
        <f>IFERROR(__xludf.DUMMYFUNCTION("COUNTUNIQUE(FILTER(purchases!$A$2:$A1001, purchases!$D$2:$D1001=A182))"),6.0)</f>
        <v>6</v>
      </c>
      <c r="C182" s="17">
        <f>VLOOKUP(A182, purchases!$D$2:$F1001, 3, FALSE)</f>
        <v>45444</v>
      </c>
    </row>
    <row r="183">
      <c r="A183" s="15">
        <v>45474.0</v>
      </c>
      <c r="B183" s="16">
        <f>IFERROR(__xludf.DUMMYFUNCTION("COUNTUNIQUE(FILTER(purchases!$A$2:$A1001, purchases!$D$2:$D1001=A183))"),16.0)</f>
        <v>16</v>
      </c>
      <c r="C183" s="17">
        <f>VLOOKUP(A183, purchases!$D$2:$F1001, 3, FALSE)</f>
        <v>45474</v>
      </c>
    </row>
    <row r="184">
      <c r="A184" s="15">
        <v>45475.0</v>
      </c>
      <c r="B184" s="16">
        <f>IFERROR(__xludf.DUMMYFUNCTION("COUNTUNIQUE(FILTER(purchases!$A$2:$A1001, purchases!$D$2:$D1001=A184))"),13.0)</f>
        <v>13</v>
      </c>
      <c r="C184" s="17">
        <f>VLOOKUP(A184, purchases!$D$2:$F1001, 3, FALSE)</f>
        <v>45474</v>
      </c>
    </row>
    <row r="185">
      <c r="A185" s="15">
        <v>45476.0</v>
      </c>
      <c r="B185" s="16">
        <f>IFERROR(__xludf.DUMMYFUNCTION("COUNTUNIQUE(FILTER(purchases!$A$2:$A1001, purchases!$D$2:$D1001=A185))"),10.0)</f>
        <v>10</v>
      </c>
      <c r="C185" s="17">
        <f>VLOOKUP(A185, purchases!$D$2:$F1001, 3, FALSE)</f>
        <v>45474</v>
      </c>
    </row>
    <row r="186">
      <c r="A186" s="15">
        <v>45477.0</v>
      </c>
      <c r="B186" s="16">
        <f>IFERROR(__xludf.DUMMYFUNCTION("COUNTUNIQUE(FILTER(purchases!$A$2:$A1001, purchases!$D$2:$D1001=A186))"),6.0)</f>
        <v>6</v>
      </c>
      <c r="C186" s="17">
        <f>VLOOKUP(A186, purchases!$D$2:$F1001, 3, FALSE)</f>
        <v>45474</v>
      </c>
    </row>
    <row r="187">
      <c r="A187" s="15">
        <v>45478.0</v>
      </c>
      <c r="B187" s="16">
        <f>IFERROR(__xludf.DUMMYFUNCTION("COUNTUNIQUE(FILTER(purchases!$A$2:$A1001, purchases!$D$2:$D1001=A187))"),12.0)</f>
        <v>12</v>
      </c>
      <c r="C187" s="17">
        <f>VLOOKUP(A187, purchases!$D$2:$F1001, 3, FALSE)</f>
        <v>45474</v>
      </c>
    </row>
    <row r="188">
      <c r="A188" s="15">
        <v>45479.0</v>
      </c>
      <c r="B188" s="16">
        <f>IFERROR(__xludf.DUMMYFUNCTION("COUNTUNIQUE(FILTER(purchases!$A$2:$A1001, purchases!$D$2:$D1001=A188))"),4.0)</f>
        <v>4</v>
      </c>
      <c r="C188" s="17">
        <f>VLOOKUP(A188, purchases!$D$2:$F1001, 3, FALSE)</f>
        <v>45474</v>
      </c>
    </row>
    <row r="189">
      <c r="A189" s="15">
        <v>45480.0</v>
      </c>
      <c r="B189" s="16">
        <f>IFERROR(__xludf.DUMMYFUNCTION("COUNTUNIQUE(FILTER(purchases!$A$2:$A1001, purchases!$D$2:$D1001=A189))"),6.0)</f>
        <v>6</v>
      </c>
      <c r="C189" s="17">
        <f>VLOOKUP(A189, purchases!$D$2:$F1001, 3, FALSE)</f>
        <v>45474</v>
      </c>
    </row>
    <row r="190">
      <c r="A190" s="15">
        <v>45482.0</v>
      </c>
      <c r="B190" s="16">
        <f>IFERROR(__xludf.DUMMYFUNCTION("COUNTUNIQUE(FILTER(purchases!$A$2:$A1001, purchases!$D$2:$D1001=A190))"),3.0)</f>
        <v>3</v>
      </c>
      <c r="C190" s="17">
        <f>VLOOKUP(A190, purchases!$D$2:$F1001, 3, FALSE)</f>
        <v>45474</v>
      </c>
    </row>
    <row r="191">
      <c r="A191" s="10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14</v>
      </c>
      <c r="B1" s="13" t="s">
        <v>15</v>
      </c>
      <c r="C1" s="14" t="s">
        <v>13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5">
        <f t="array" ref="A2:A30">SORT(UNIQUE(purchases!E2:E1000))</f>
        <v>45292</v>
      </c>
      <c r="B2" s="16">
        <f>IFERROR(__xludf.DUMMYFUNCTION("COUNTUNIQUE(FILTER(purchases!$A$2:$A1000, purchases!$E$2:$E1000=A2))"),31.0)</f>
        <v>31</v>
      </c>
      <c r="C2" s="17">
        <f t="array" ref="C2">XLOOKUP(A2, purchases!$E$2:$E1000, purchases!$F$2:$F1000)</f>
        <v>45292</v>
      </c>
    </row>
    <row r="3">
      <c r="A3" s="15">
        <v>45299.0</v>
      </c>
      <c r="B3" s="16">
        <f>IFERROR(__xludf.DUMMYFUNCTION("COUNTUNIQUE(FILTER(purchases!$A$2:$A1000, purchases!$E$2:$E1000=A3))"),75.0)</f>
        <v>75</v>
      </c>
      <c r="C3" s="17">
        <f t="array" ref="C3">XLOOKUP(A3, purchases!$E$2:$E1000, purchases!$F$2:$F1000)</f>
        <v>45292</v>
      </c>
    </row>
    <row r="4">
      <c r="A4" s="15">
        <v>45306.0</v>
      </c>
      <c r="B4" s="16">
        <f>IFERROR(__xludf.DUMMYFUNCTION("COUNTUNIQUE(FILTER(purchases!$A$2:$A1000, purchases!$E$2:$E1000=A4))"),84.0)</f>
        <v>84</v>
      </c>
      <c r="C4" s="17">
        <f t="array" ref="C4">XLOOKUP(A4, purchases!$E$2:$E1000, purchases!$F$2:$F1000)</f>
        <v>45292</v>
      </c>
    </row>
    <row r="5">
      <c r="A5" s="15">
        <v>45313.0</v>
      </c>
      <c r="B5" s="16">
        <f>IFERROR(__xludf.DUMMYFUNCTION("COUNTUNIQUE(FILTER(purchases!$A$2:$A1000, purchases!$E$2:$E1000=A5))"),73.0)</f>
        <v>73</v>
      </c>
      <c r="C5" s="17">
        <f t="array" ref="C5">XLOOKUP(A5, purchases!$E$2:$E1000, purchases!$F$2:$F1000)</f>
        <v>45292</v>
      </c>
    </row>
    <row r="6">
      <c r="A6" s="15">
        <v>45320.0</v>
      </c>
      <c r="B6" s="16">
        <f>IFERROR(__xludf.DUMMYFUNCTION("COUNTUNIQUE(FILTER(purchases!$A$2:$A1000, purchases!$E$2:$E1000=A6))"),79.0)</f>
        <v>79</v>
      </c>
      <c r="C6" s="17">
        <f t="array" ref="C6">XLOOKUP(A6, purchases!$E$2:$E1000, purchases!$F$2:$F1000)</f>
        <v>45292</v>
      </c>
    </row>
    <row r="7">
      <c r="A7" s="15">
        <v>45327.0</v>
      </c>
      <c r="B7" s="16">
        <f>IFERROR(__xludf.DUMMYFUNCTION("COUNTUNIQUE(FILTER(purchases!$A$2:$A1000, purchases!$E$2:$E1000=A7))"),82.0)</f>
        <v>82</v>
      </c>
      <c r="C7" s="17">
        <f t="array" ref="C7">XLOOKUP(A7, purchases!$E$2:$E1000, purchases!$F$2:$F1000)</f>
        <v>45323</v>
      </c>
    </row>
    <row r="8">
      <c r="A8" s="15">
        <v>45334.0</v>
      </c>
      <c r="B8" s="16">
        <f>IFERROR(__xludf.DUMMYFUNCTION("COUNTUNIQUE(FILTER(purchases!$A$2:$A1000, purchases!$E$2:$E1000=A8))"),72.0)</f>
        <v>72</v>
      </c>
      <c r="C8" s="17">
        <f t="array" ref="C8">XLOOKUP(A8, purchases!$E$2:$E1000, purchases!$F$2:$F1000)</f>
        <v>45323</v>
      </c>
    </row>
    <row r="9">
      <c r="A9" s="15">
        <v>45341.0</v>
      </c>
      <c r="B9" s="16">
        <f>IFERROR(__xludf.DUMMYFUNCTION("COUNTUNIQUE(FILTER(purchases!$A$2:$A1000, purchases!$E$2:$E1000=A9))"),72.0)</f>
        <v>72</v>
      </c>
      <c r="C9" s="17">
        <f t="array" ref="C9">XLOOKUP(A9, purchases!$E$2:$E1000, purchases!$F$2:$F1000)</f>
        <v>45323</v>
      </c>
    </row>
    <row r="10">
      <c r="A10" s="15">
        <v>45348.0</v>
      </c>
      <c r="B10" s="16">
        <f>IFERROR(__xludf.DUMMYFUNCTION("COUNTUNIQUE(FILTER(purchases!$A$2:$A1000, purchases!$E$2:$E1000=A10))"),77.0)</f>
        <v>77</v>
      </c>
      <c r="C10" s="17">
        <f t="array" ref="C10">XLOOKUP(A10, purchases!$E$2:$E1000, purchases!$F$2:$F1000)</f>
        <v>45323</v>
      </c>
    </row>
    <row r="11">
      <c r="A11" s="15">
        <v>45355.0</v>
      </c>
      <c r="B11" s="16">
        <f>IFERROR(__xludf.DUMMYFUNCTION("COUNTUNIQUE(FILTER(purchases!$A$2:$A1000, purchases!$E$2:$E1000=A11))"),80.0)</f>
        <v>80</v>
      </c>
      <c r="C11" s="17">
        <f t="array" ref="C11">XLOOKUP(A11, purchases!$E$2:$E1000, purchases!$F$2:$F1000)</f>
        <v>45352</v>
      </c>
    </row>
    <row r="12">
      <c r="A12" s="15">
        <v>45362.0</v>
      </c>
      <c r="B12" s="16">
        <f>IFERROR(__xludf.DUMMYFUNCTION("COUNTUNIQUE(FILTER(purchases!$A$2:$A1000, purchases!$E$2:$E1000=A12))"),82.0)</f>
        <v>82</v>
      </c>
      <c r="C12" s="17">
        <f t="array" ref="C12">XLOOKUP(A12, purchases!$E$2:$E1000, purchases!$F$2:$F1000)</f>
        <v>45352</v>
      </c>
    </row>
    <row r="13">
      <c r="A13" s="15">
        <v>45369.0</v>
      </c>
      <c r="B13" s="16">
        <f>IFERROR(__xludf.DUMMYFUNCTION("COUNTUNIQUE(FILTER(purchases!$A$2:$A1000, purchases!$E$2:$E1000=A13))"),94.0)</f>
        <v>94</v>
      </c>
      <c r="C13" s="17">
        <f t="array" ref="C13">XLOOKUP(A13, purchases!$E$2:$E1000, purchases!$F$2:$F1000)</f>
        <v>45352</v>
      </c>
    </row>
    <row r="14">
      <c r="A14" s="15">
        <v>45376.0</v>
      </c>
      <c r="B14" s="16">
        <f>IFERROR(__xludf.DUMMYFUNCTION("COUNTUNIQUE(FILTER(purchases!$A$2:$A1000, purchases!$E$2:$E1000=A14))"),90.0)</f>
        <v>90</v>
      </c>
      <c r="C14" s="17">
        <f t="array" ref="C14">XLOOKUP(A14, purchases!$E$2:$E1000, purchases!$F$2:$F1000)</f>
        <v>45352</v>
      </c>
    </row>
    <row r="15">
      <c r="A15" s="15">
        <v>45383.0</v>
      </c>
      <c r="B15" s="16">
        <f>IFERROR(__xludf.DUMMYFUNCTION("COUNTUNIQUE(FILTER(purchases!$A$2:$A1000, purchases!$E$2:$E1000=A15))"),71.0)</f>
        <v>71</v>
      </c>
      <c r="C15" s="17">
        <f t="array" ref="C15">XLOOKUP(A15, purchases!$E$2:$E1000, purchases!$F$2:$F1000)</f>
        <v>45383</v>
      </c>
    </row>
    <row r="16">
      <c r="A16" s="15">
        <v>45390.0</v>
      </c>
      <c r="B16" s="16">
        <f>IFERROR(__xludf.DUMMYFUNCTION("COUNTUNIQUE(FILTER(purchases!$A$2:$A1000, purchases!$E$2:$E1000=A16))"),72.0)</f>
        <v>72</v>
      </c>
      <c r="C16" s="17">
        <f t="array" ref="C16">XLOOKUP(A16, purchases!$E$2:$E1000, purchases!$F$2:$F1000)</f>
        <v>45383</v>
      </c>
    </row>
    <row r="17">
      <c r="A17" s="15">
        <v>45397.0</v>
      </c>
      <c r="B17" s="16">
        <f>IFERROR(__xludf.DUMMYFUNCTION("COUNTUNIQUE(FILTER(purchases!$A$2:$A1000, purchases!$E$2:$E1000=A17))"),81.0)</f>
        <v>81</v>
      </c>
      <c r="C17" s="17">
        <f t="array" ref="C17">XLOOKUP(A17, purchases!$E$2:$E1000, purchases!$F$2:$F1000)</f>
        <v>45383</v>
      </c>
    </row>
    <row r="18">
      <c r="A18" s="15">
        <v>45404.0</v>
      </c>
      <c r="B18" s="16">
        <f>IFERROR(__xludf.DUMMYFUNCTION("COUNTUNIQUE(FILTER(purchases!$A$2:$A1000, purchases!$E$2:$E1000=A18))"),74.0)</f>
        <v>74</v>
      </c>
      <c r="C18" s="17">
        <f t="array" ref="C18">XLOOKUP(A18, purchases!$E$2:$E1000, purchases!$F$2:$F1000)</f>
        <v>45383</v>
      </c>
    </row>
    <row r="19">
      <c r="A19" s="15">
        <v>45411.0</v>
      </c>
      <c r="B19" s="16">
        <f>IFERROR(__xludf.DUMMYFUNCTION("COUNTUNIQUE(FILTER(purchases!$A$2:$A1000, purchases!$E$2:$E1000=A19))"),68.0)</f>
        <v>68</v>
      </c>
      <c r="C19" s="17">
        <f t="array" ref="C19">XLOOKUP(A19, purchases!$E$2:$E1000, purchases!$F$2:$F1000)</f>
        <v>45383</v>
      </c>
    </row>
    <row r="20">
      <c r="A20" s="15">
        <v>45418.0</v>
      </c>
      <c r="B20" s="16">
        <f>IFERROR(__xludf.DUMMYFUNCTION("COUNTUNIQUE(FILTER(purchases!$A$2:$A1000, purchases!$E$2:$E1000=A20))"),69.0)</f>
        <v>69</v>
      </c>
      <c r="C20" s="17">
        <f t="array" ref="C20">XLOOKUP(A20, purchases!$E$2:$E1000, purchases!$F$2:$F1000)</f>
        <v>45413</v>
      </c>
    </row>
    <row r="21">
      <c r="A21" s="15">
        <v>45425.0</v>
      </c>
      <c r="B21" s="16">
        <f>IFERROR(__xludf.DUMMYFUNCTION("COUNTUNIQUE(FILTER(purchases!$A$2:$A1000, purchases!$E$2:$E1000=A21))"),74.0)</f>
        <v>74</v>
      </c>
      <c r="C21" s="17">
        <f t="array" ref="C21">XLOOKUP(A21, purchases!$E$2:$E1000, purchases!$F$2:$F1000)</f>
        <v>45413</v>
      </c>
    </row>
    <row r="22">
      <c r="A22" s="15">
        <v>45432.0</v>
      </c>
      <c r="B22" s="16">
        <f>IFERROR(__xludf.DUMMYFUNCTION("COUNTUNIQUE(FILTER(purchases!$A$2:$A1000, purchases!$E$2:$E1000=A22))"),76.0)</f>
        <v>76</v>
      </c>
      <c r="C22" s="17">
        <f t="array" ref="C22">XLOOKUP(A22, purchases!$E$2:$E1000, purchases!$F$2:$F1000)</f>
        <v>45413</v>
      </c>
    </row>
    <row r="23">
      <c r="A23" s="15">
        <v>45439.0</v>
      </c>
      <c r="B23" s="16">
        <f>IFERROR(__xludf.DUMMYFUNCTION("COUNTUNIQUE(FILTER(purchases!$A$2:$A1000, purchases!$E$2:$E1000=A23))"),70.0)</f>
        <v>70</v>
      </c>
      <c r="C23" s="17">
        <f t="array" ref="C23">XLOOKUP(A23, purchases!$E$2:$E1000, purchases!$F$2:$F1000)</f>
        <v>45413</v>
      </c>
    </row>
    <row r="24">
      <c r="A24" s="15">
        <v>45446.0</v>
      </c>
      <c r="B24" s="16">
        <f>IFERROR(__xludf.DUMMYFUNCTION("COUNTUNIQUE(FILTER(purchases!$A$2:$A1000, purchases!$E$2:$E1000=A24))"),71.0)</f>
        <v>71</v>
      </c>
      <c r="C24" s="17">
        <f t="array" ref="C24">XLOOKUP(A24, purchases!$E$2:$E1000, purchases!$F$2:$F1000)</f>
        <v>45444</v>
      </c>
    </row>
    <row r="25">
      <c r="A25" s="15">
        <v>45453.0</v>
      </c>
      <c r="B25" s="16">
        <f>IFERROR(__xludf.DUMMYFUNCTION("COUNTUNIQUE(FILTER(purchases!$A$2:$A1000, purchases!$E$2:$E1000=A25))"),79.0)</f>
        <v>79</v>
      </c>
      <c r="C25" s="17">
        <f t="array" ref="C25">XLOOKUP(A25, purchases!$E$2:$E1000, purchases!$F$2:$F1000)</f>
        <v>45444</v>
      </c>
    </row>
    <row r="26">
      <c r="A26" s="15">
        <v>45460.0</v>
      </c>
      <c r="B26" s="16">
        <f>IFERROR(__xludf.DUMMYFUNCTION("COUNTUNIQUE(FILTER(purchases!$A$2:$A1000, purchases!$E$2:$E1000=A26))"),63.0)</f>
        <v>63</v>
      </c>
      <c r="C26" s="17">
        <f t="array" ref="C26">XLOOKUP(A26, purchases!$E$2:$E1000, purchases!$F$2:$F1000)</f>
        <v>45444</v>
      </c>
    </row>
    <row r="27">
      <c r="A27" s="15">
        <v>45467.0</v>
      </c>
      <c r="B27" s="16">
        <f>IFERROR(__xludf.DUMMYFUNCTION("COUNTUNIQUE(FILTER(purchases!$A$2:$A1000, purchases!$E$2:$E1000=A27))"),71.0)</f>
        <v>71</v>
      </c>
      <c r="C27" s="17">
        <f t="array" ref="C27">XLOOKUP(A27, purchases!$E$2:$E1000, purchases!$F$2:$F1000)</f>
        <v>45444</v>
      </c>
    </row>
    <row r="28">
      <c r="A28" s="15">
        <v>45474.0</v>
      </c>
      <c r="B28" s="16">
        <f>IFERROR(__xludf.DUMMYFUNCTION("COUNTUNIQUE(FILTER(purchases!$A$2:$A1000, purchases!$E$2:$E1000=A28))"),67.0)</f>
        <v>67</v>
      </c>
      <c r="C28" s="17">
        <f t="array" ref="C28">XLOOKUP(A28, purchases!$E$2:$E1000, purchases!$F$2:$F1000)</f>
        <v>45474</v>
      </c>
    </row>
    <row r="29">
      <c r="A29" s="15">
        <v>45481.0</v>
      </c>
      <c r="B29" s="16">
        <f>IFERROR(__xludf.DUMMYFUNCTION("COUNTUNIQUE(FILTER(purchases!$A$2:$A1000, purchases!$E$2:$E1000=A29))"),3.0)</f>
        <v>3</v>
      </c>
      <c r="C29" s="17">
        <f t="array" ref="C29">XLOOKUP(A29, purchases!$E$2:$E1000, purchases!$F$2:$F1000)</f>
        <v>45474</v>
      </c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16</v>
      </c>
      <c r="B1" s="13" t="s">
        <v>17</v>
      </c>
      <c r="C1" s="13" t="s">
        <v>18</v>
      </c>
      <c r="D1" s="13" t="s">
        <v>19</v>
      </c>
      <c r="E1" s="13" t="s">
        <v>20</v>
      </c>
      <c r="F1" s="14" t="s">
        <v>21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5">
        <f t="array" ref="A2:A9">SORT(UNIQUE(purchases!F2:F1000))</f>
        <v>45292</v>
      </c>
      <c r="B2" s="16">
        <f>IFERROR(__xludf.DUMMYFUNCTION("COUNTUNIQUE(FILTER(purchases!$A$2:$A1000, purchases!$F$2:$F1000=A2))"),295.0)</f>
        <v>295</v>
      </c>
      <c r="C2" s="18">
        <f>ROUND(AVERAGEIF(dau!$C$2:$C1000, A2, dau!$B$2:$B1000), 2)</f>
        <v>9.83</v>
      </c>
      <c r="D2" s="18">
        <f>ROUND(AVERAGEIF(wau!$C$2:$C1000, A2, wau!$B$2:$B1000), 2)</f>
        <v>68.4</v>
      </c>
      <c r="E2" s="18">
        <f t="shared" ref="E2:E8" si="1">ROUND(C2/B2, 2)</f>
        <v>0.03</v>
      </c>
      <c r="F2" s="19">
        <f t="shared" ref="F2:F8" si="2">ROUND(D2/B2, 2)</f>
        <v>0.23</v>
      </c>
    </row>
    <row r="3">
      <c r="A3" s="15">
        <v>45323.0</v>
      </c>
      <c r="B3" s="16">
        <f>IFERROR(__xludf.DUMMYFUNCTION("COUNTUNIQUE(FILTER(purchases!$A$2:$A1000, purchases!$F$2:$F1000=A3))"),319.0)</f>
        <v>319</v>
      </c>
      <c r="C3" s="18">
        <f>ROUND(AVERAGEIF(dau!$C$2:$C1000, A3, dau!$B$2:$B1000), 2)</f>
        <v>11</v>
      </c>
      <c r="D3" s="18">
        <f>ROUND(AVERAGEIF(wau!$C$2:$C1000, A3, wau!$B$2:$B1000), 2)</f>
        <v>75.75</v>
      </c>
      <c r="E3" s="18">
        <f t="shared" si="1"/>
        <v>0.03</v>
      </c>
      <c r="F3" s="19">
        <f t="shared" si="2"/>
        <v>0.24</v>
      </c>
    </row>
    <row r="4">
      <c r="A4" s="15">
        <v>45352.0</v>
      </c>
      <c r="B4" s="16">
        <f>IFERROR(__xludf.DUMMYFUNCTION("COUNTUNIQUE(FILTER(purchases!$A$2:$A1000, purchases!$F$2:$F1000=A4))"),377.0)</f>
        <v>377</v>
      </c>
      <c r="C4" s="18">
        <f>ROUND(AVERAGEIF(dau!$C$2:$C1000, A4, dau!$B$2:$B1000), 2)</f>
        <v>12.16</v>
      </c>
      <c r="D4" s="18">
        <f>ROUND(AVERAGEIF(wau!$C$2:$C1000, A4, wau!$B$2:$B1000), 2)</f>
        <v>86.5</v>
      </c>
      <c r="E4" s="18">
        <f t="shared" si="1"/>
        <v>0.03</v>
      </c>
      <c r="F4" s="19">
        <f t="shared" si="2"/>
        <v>0.23</v>
      </c>
    </row>
    <row r="5">
      <c r="A5" s="15">
        <v>45383.0</v>
      </c>
      <c r="B5" s="16">
        <f>IFERROR(__xludf.DUMMYFUNCTION("COUNTUNIQUE(FILTER(purchases!$A$2:$A1000, purchases!$F$2:$F1000=A5))"),318.0)</f>
        <v>318</v>
      </c>
      <c r="C5" s="18">
        <f>ROUND(AVERAGEIF(dau!$C$2:$C1000, A5, dau!$B$2:$B1000), 2)</f>
        <v>10.6</v>
      </c>
      <c r="D5" s="18">
        <f>ROUND(AVERAGEIF(wau!$C$2:$C1000, A5, wau!$B$2:$B1000), 2)</f>
        <v>73.2</v>
      </c>
      <c r="E5" s="18">
        <f t="shared" si="1"/>
        <v>0.03</v>
      </c>
      <c r="F5" s="19">
        <f t="shared" si="2"/>
        <v>0.23</v>
      </c>
    </row>
    <row r="6">
      <c r="A6" s="15">
        <v>45413.0</v>
      </c>
      <c r="B6" s="16">
        <f>IFERROR(__xludf.DUMMYFUNCTION("COUNTUNIQUE(FILTER(purchases!$A$2:$A1000, purchases!$F$2:$F1000=A6))"),316.0)</f>
        <v>316</v>
      </c>
      <c r="C6" s="18">
        <f>ROUND(AVERAGEIF(dau!$C$2:$C1000, A6, dau!$B$2:$B1000), 2)</f>
        <v>10.19</v>
      </c>
      <c r="D6" s="18">
        <f>ROUND(AVERAGEIF(wau!$C$2:$C1000, A6, wau!$B$2:$B1000), 2)</f>
        <v>72.25</v>
      </c>
      <c r="E6" s="18">
        <f t="shared" si="1"/>
        <v>0.03</v>
      </c>
      <c r="F6" s="19">
        <f t="shared" si="2"/>
        <v>0.23</v>
      </c>
    </row>
    <row r="7">
      <c r="A7" s="15">
        <v>45444.0</v>
      </c>
      <c r="B7" s="16">
        <f>IFERROR(__xludf.DUMMYFUNCTION("COUNTUNIQUE(FILTER(purchases!$A$2:$A1000, purchases!$F$2:$F1000=A7))"),305.0)</f>
        <v>305</v>
      </c>
      <c r="C7" s="18">
        <f>ROUND(AVERAGEIF(dau!$C$2:$C1000, A7, dau!$B$2:$B1000), 2)</f>
        <v>10.17</v>
      </c>
      <c r="D7" s="18">
        <f>ROUND(AVERAGEIF(wau!$C$2:$C1000, A7, wau!$B$2:$B1000), 2)</f>
        <v>71</v>
      </c>
      <c r="E7" s="18">
        <f t="shared" si="1"/>
        <v>0.03</v>
      </c>
      <c r="F7" s="19">
        <f t="shared" si="2"/>
        <v>0.23</v>
      </c>
    </row>
    <row r="8">
      <c r="A8" s="15">
        <v>45474.0</v>
      </c>
      <c r="B8" s="16">
        <f>IFERROR(__xludf.DUMMYFUNCTION("COUNTUNIQUE(FILTER(purchases!$A$2:$A1000, purchases!$F$2:$F1000=A8))"),70.0)</f>
        <v>70</v>
      </c>
      <c r="C8" s="18">
        <f>ROUND(AVERAGEIF(dau!$C$2:$C1000, A8, dau!$B$2:$B1000), 2)</f>
        <v>8.75</v>
      </c>
      <c r="D8" s="18">
        <f>ROUND(AVERAGEIF(wau!$C$2:$C1000, A8, wau!$B$2:$B1000), 2)</f>
        <v>35</v>
      </c>
      <c r="E8" s="18">
        <f t="shared" si="1"/>
        <v>0.13</v>
      </c>
      <c r="F8" s="19">
        <f t="shared" si="2"/>
        <v>0.5</v>
      </c>
    </row>
    <row r="9">
      <c r="A9" s="11"/>
      <c r="C9" s="20"/>
      <c r="D9" s="21"/>
      <c r="E9" s="20"/>
      <c r="F9" s="2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38"/>
    <col customWidth="1" min="2" max="2" width="35.0"/>
  </cols>
  <sheetData>
    <row r="1">
      <c r="A1" s="1" t="s">
        <v>22</v>
      </c>
      <c r="B1" s="1" t="s">
        <v>23</v>
      </c>
    </row>
    <row r="2">
      <c r="A2" s="22" t="s">
        <v>24</v>
      </c>
      <c r="B2" s="22" t="s">
        <v>25</v>
      </c>
    </row>
    <row r="3">
      <c r="A3" s="22" t="s">
        <v>26</v>
      </c>
      <c r="B3" s="23" t="s">
        <v>27</v>
      </c>
    </row>
    <row r="4">
      <c r="A4" s="22" t="s">
        <v>28</v>
      </c>
      <c r="B4" s="23" t="s">
        <v>29</v>
      </c>
    </row>
    <row r="5">
      <c r="A5" s="22" t="s">
        <v>30</v>
      </c>
      <c r="B5" s="23" t="s">
        <v>31</v>
      </c>
    </row>
  </sheetData>
  <drawing r:id="rId1"/>
</worksheet>
</file>